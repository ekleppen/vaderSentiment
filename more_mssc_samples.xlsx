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prompt v2 results sonnet" sheetId="3" r:id="rId7"/>
    <sheet state="visible" name="Sheet4" sheetId="4" r:id="rId8"/>
  </sheets>
  <definedNames>
    <definedName hidden="1" localSheetId="2" name="_xlnm._FilterDatabase">'prompt v2 results sonnet'!$A$1:$AA$187</definedName>
  </definedNames>
  <calcPr/>
</workbook>
</file>

<file path=xl/sharedStrings.xml><?xml version="1.0" encoding="utf-8"?>
<sst xmlns="http://schemas.openxmlformats.org/spreadsheetml/2006/main" count="16492" uniqueCount="5182">
  <si>
    <t>company_id</t>
  </si>
  <si>
    <t>convo_id</t>
  </si>
  <si>
    <t>msg_id</t>
  </si>
  <si>
    <t>msg_text</t>
  </si>
  <si>
    <t>Hi! We need towels and my shower gel bottle is empty.</t>
  </si>
  <si>
    <t>It has been great. Enjoying each day</t>
  </si>
  <si>
    <t>for it. We thought it was sewn up, but looking closer it is not.</t>
  </si>
  <si>
    <t>0 - no one replied until I was already home.</t>
  </si>
  <si>
    <t>Every well thank you</t>
  </si>
  <si>
    <t>No shoe polish in the lobby shop. Might be worth getting, maybe not.</t>
  </si>
  <si>
    <t>Hi there can someone call me on this number 1-920-857-8713</t>
  </si>
  <si>
    <t>0 have Max call me please</t>
  </si>
  <si>
    <t>#10 so far everything has been excellent. Housecleaner was very pleasant and accommodating to our request.</t>
  </si>
  <si>
    <t>for the inconvenience. Just wanted to see if that was happening.</t>
  </si>
  <si>
    <t>0- came into our room at 11 last night to our AC not working- finally changed rooms- tried over and hour at room service just to get cokes no one answered. Front desk would not answer so had to go down to front desk 3 times just to talk to someone. They directed us to a vending machine that was broke. Finally went to bed around 1 am with nothing to drink. Woke up took shower only to find 0 towels in our room. This is the worst service and hotel we have stayed in. We travel often and this is horrible!</t>
  </si>
  <si>
    <t>We enjoyed our stay and live the property! . The only issue was the shower hot water. We had to take quick showers because the water was cool</t>
  </si>
  <si>
    <t>Very nice , thanks a lot</t>
  </si>
  <si>
    <t>No shampoo, no tissue, please fill the shampoo bottle</t>
  </si>
  <si>
    <t>be able to have a higher floor? Please let me know what I need to do.</t>
  </si>
  <si>
    <t>I'd have to say a 2 since the building fire alarm went off last night at 1:48am and evveryone had to exit the building when there wasn’t a fire. I had a horrible nights sleep.</t>
  </si>
  <si>
    <t>Hi my stay is Perfect just need a stay over clean that's all and towels</t>
  </si>
  <si>
    <t>(1/2)fantastic! I do have a question. I have an early departure in the morning. should I notify anyone for an itemized bill for check out? what is your late (2/2)night early night procedure.</t>
  </si>
  <si>
    <t>was clogged, garnish disposable broken, I reach out to the manager Orlando he said he can't help, on a scale of 1_10 it' a 1 thank you kindly.</t>
  </si>
  <si>
    <t>I don't know what to rate it! Let's see, the noise from the construction made it totally unacceptable and nobody from HGV said anything about it! Even during the night there was intermittent noise. TV didn't work because of some outage. At least the WiFi was working so we could keep tract of the hurricane. Noise from room above us didn't help. So we only stayed one night! Totally unsatisfied with this trip. Couldn't wait to leave to prep for this storm which did yesterday. Looking forward to your reply. Thanks. Paul and Lois Doric.</t>
  </si>
  <si>
    <t>We only need clean towels . Thanku</t>
  </si>
  <si>
    <t>Everything else was good.</t>
  </si>
  <si>
    <t>Very nice. Is there a patio or sunny outdoor area within the hotel? With lounge chairs?</t>
  </si>
  <si>
    <t>the room does not decrease. With the air on from checkin at 6:30pm to 11:30pm, the temperature dropped 1 degree from 73 to 72. I need the room to get to</t>
  </si>
  <si>
    <t>that hasn't been done already. 😊</t>
  </si>
  <si>
    <t>!🥶. The guy was very nice and fixed the problem quickly . Thank</t>
  </si>
  <si>
    <t>#8 just had lunch at Hattrick's and enjoyed it!</t>
  </si>
  <si>
    <t>Thank you! Absolutely breathtaking property and and very friendly nice staff. Thoroughly enjoying our stay.</t>
  </si>
  <si>
    <t>all good so far, thanks !</t>
  </si>
  <si>
    <t>"10" Is the bottled water in the room free, or is the price deducted from the $300 amount being held that is to be reimbursed once we check out.</t>
  </si>
  <si>
    <t>08. Amazing views and onsite professional management. The oceanfront king, wrap around balcony is perfect ! My new "go to" when visiting Fort Lauderdale.</t>
  </si>
  <si>
    <t>could be much worse.</t>
  </si>
  <si>
    <t>fridge going forward.</t>
  </si>
  <si>
    <t>Toilet malfunction yesterday. Water kept running for a while. Other than that 10.</t>
  </si>
  <si>
    <t>Definitely nine everything's been great</t>
  </si>
  <si>
    <t>0 - very disappointed that the pool is closed. Please reconsider , even if its just for the afternoon .</t>
  </si>
  <si>
    <t>be completely serviced while I am out of the room. I will follow back up with you when I return to the property in regards to the HH points and the park</t>
  </si>
  <si>
    <t>all snacks closed down and unable to use the $15.00 yesterday. If I want snacks I'd have to buy them through a vending machine. Disappointing...</t>
  </si>
  <si>
    <t>. If someone could come this afternoon to fix it after I leave, that would be perfect. Thanks.</t>
  </si>
  <si>
    <t>Loving it was hoping I could pull off a discount with a massage!! Lol</t>
  </si>
  <si>
    <t>urine. Size of room is great and food good too</t>
  </si>
  <si>
    <t>Trash taken out please</t>
  </si>
  <si>
    <t>0 our car license got stolen from the parking lot. we don't feel that safe there</t>
  </si>
  <si>
    <t>Can you or a Manager resolve this so my wife can get a voucher for tomorrow morning for breakfast?</t>
  </si>
  <si>
    <t>review in a bit. Off to dinner right now</t>
  </si>
  <si>
    <t>I'm not actually staying at the resort but thank you for checking.</t>
  </si>
  <si>
    <t>7. A small refrigerator would have been nice for my meds.</t>
  </si>
  <si>
    <t>It's fine however my tv has not worked since I've checked in Monday and engineering was suppose to check it yesterday however it was not checked neither wA my room serviced but otherwise it's been fine thank you</t>
  </si>
  <si>
    <t>0 Because I didn't stay. The person who did doesn't have a mobile phone. I do know that she arrived to her room the door was open and music was playing so I'm quite sure you wouldn't get better than a 3. But you'll never know because she doesn't text.</t>
  </si>
  <si>
    <t>rooms not ready for 5 hours after check in time then being woken up at 8:30am by staff. Just unfortunate series of events</t>
  </si>
  <si>
    <t>id</t>
  </si>
  <si>
    <t>10- also we will be parking a car overnight tonight only 8-9</t>
  </si>
  <si>
    <t>Can you tell me how to get on the wifi? I cannot find the paper</t>
  </si>
  <si>
    <t>#10, but we need more shower gel. Thank you.</t>
  </si>
  <si>
    <t>,,10 because of Karin</t>
  </si>
  <si>
    <t>#10! Great room and million dollar view!</t>
  </si>
  <si>
    <t>I am enjoying my stay thx Yes I would like housekeeping and we need more towels thank you</t>
  </si>
  <si>
    <t>#10 you guys are great!</t>
  </si>
  <si>
    <t>rooms available for my last two nights of stay?</t>
  </si>
  <si>
    <t>I checked out in my hotel app ,I received finalized email also,my card in fie still I need to check out at front desk?</t>
  </si>
  <si>
    <t>Hi can I request housekeeping for today?</t>
  </si>
  <si>
    <t>input</t>
  </si>
  <si>
    <t>so I choose to be happy.</t>
  </si>
  <si>
    <t>9!! Is it lovely. Thank you</t>
  </si>
  <si>
    <t>Everything is great.</t>
  </si>
  <si>
    <t>check in. Then told can not request until day before. No service at pool.</t>
  </si>
  <si>
    <t>expected</t>
  </si>
  <si>
    <t>Human Alert-Worthiness Rating</t>
  </si>
  <si>
    <t>Very well, everything is good. Thank you.</t>
  </si>
  <si>
    <t>Can I have some clean towels sent to my room?</t>
  </si>
  <si>
    <t>shop better than another? Is there a shuttle?</t>
  </si>
  <si>
    <t>We need more regular coffee please, 5-6 more, thanks!</t>
  </si>
  <si>
    <t>Thank you! Can I please get more towels?</t>
  </si>
  <si>
    <t>(Re: )4 it would have been a 5 if it was not for the shooting outside our window</t>
  </si>
  <si>
    <t>Definitely alert-worthy</t>
  </si>
  <si>
    <t>sentiment</t>
  </si>
  <si>
    <t>Need more coffee and cups in room 1618</t>
  </si>
  <si>
    <t>0 - Richard is familiar with my disappointment and the terribly insulting conversation I had with Russ. And I still think 25k points was not particularl y generous - that's not even half of a night at your location. You asked...</t>
  </si>
  <si>
    <t>0 so far. Is there a frig yet?</t>
  </si>
  <si>
    <t>(1/3) It has not been a good experience. No room available the first night. Had to walk to another hotel. No hot water today. Had to take an ice cold shower. No (2/3) a.c. in room. Requested a fan two times with no response from the hotel. Had to sleep with the window open. No screen on the window, felt unsafe and (3/3) there was a lot of street noise. I would like compensation for these numerous problems.</t>
  </si>
  <si>
    <t>#8 Meeting room is freezing</t>
  </si>
  <si>
    <t>(5) - we had 2 extremely noisy neighbors next to our room (964). The children were horrendous and the noise bled over throughout the night and morning. Service at Serendipity last evening and this morning was terrible. Not enough staff to account for high hotel occupancy. Overall, not a good stay.</t>
  </si>
  <si>
    <t>polarity_score</t>
  </si>
  <si>
    <t>0, this stay is definitely the worst Hilton I've ever had.</t>
  </si>
  <si>
    <t>0. I never got a response.</t>
  </si>
  <si>
    <t>unit overall. - Lee</t>
  </si>
  <si>
    <t>OS</t>
  </si>
  <si>
    <t>to do the presentation so I opted out they didn't check to see if I was an owner either and also they broke my fiancé's car door today at valet. Not ver</t>
  </si>
  <si>
    <t>I'm not in the room because they said my card declined</t>
  </si>
  <si>
    <t>8: -1 for lack of shade sails and not enough umbrellas in the daytime only pool areas and - 1 for lack of communication re: concierge. Everything else has been great.</t>
  </si>
  <si>
    <t>He led out at 6:00 am Thank you</t>
  </si>
  <si>
    <t>, I've been waiting for more than two hours to get an Ethernet cable which should have been in my room in the first place. Still waiting.....go figure. Other than the weather, I'd be hard-pressed to even give a 4. I checked in at 4:00pm. Got the runaround and did not get my room until almost 6:00pm. Now</t>
  </si>
  <si>
    <t>Everything is amazing.</t>
  </si>
  <si>
    <t>%I had a terrible experience at the bar. I was charged for drinks that I didn't have, and when I brought it to the attention of the staff they were nasty %and dismissive. Totally unacceptable.</t>
  </si>
  <si>
    <t>Can I have housekeeping come for the shower and change the bedding..I asked earlier but we were not ready when they came .we also need fresh towels..we left the room now . Thank you !!</t>
  </si>
  <si>
    <t>, front desk, the bellman - superb. Also nice extras like lemon water, coffee, light breakfast, recommendations, transportation........ 5 accommodating, friendly, service oriented, excellent staff. Beautiful view very clean, everyone from the housekeeper, maintenance staff, bartender</t>
  </si>
  <si>
    <t>Could we have a couple extra towels please? There was only two in our room</t>
  </si>
  <si>
    <t>Not alert-worthy</t>
  </si>
  <si>
    <t>(1/3) 6 - toilet had toilet paper in it when we arrived. When we flushed it the water overflowed onto the floor. The bathtub drain is slow leaving you to stand (3/3) ooked and crab legs were cold. (2/3) in a couple inches of water as you shower, also we ate at the dinner buffet and the selection of food was lacking for the price. The prime rib was over c</t>
  </si>
  <si>
    <t>Thanks for the public transit pass but their schedule isn't reliable so still walking</t>
  </si>
  <si>
    <t>(1/4) I checked out yesterday, but would like to know the name of the older, black gentleman that works the club room in the mornings. Just the sweetest, kindes (2/4) t soul that made me feel like I had a friend in Nashville during my 5-day conference. He truly brightened up my mornings and I would like to send him my s (3/4) pecial thanks and appreciation. My entire stay at the Sheraton was wonderful. The service was excellent and the hotel is beautiful! Nothing like that rid (4/4) e in the glass elevator. Thank you for a great experience. Donna Cyrus</t>
  </si>
  <si>
    <t>(1/2) 4, got checked into an occupied room originally (had to change), phone only worked via speakerphone, tv remote was not working--could not order movies or (2/2) checkout online....thx.</t>
  </si>
  <si>
    <t>Please check me out</t>
  </si>
  <si>
    <t>positive</t>
  </si>
  <si>
    <t>0. I left and got another hotel.</t>
  </si>
  <si>
    <t>0 - I have stayed at the Sheraton Marina or the Sheraton La Jolla every week for almost one year and this was the worst visit I've ever had with any SPG hotel. I am very disappointed. They didn't add self park to my room key, and when they tried to fix it, they left off the club lounge so I had to ask them to fix my card access twice. I asked the front desk to fix the slow drain in the tub, and no one came to fix it. I texted this number to fix the slow drain and no one came. I tried to get on the internet today, and my room number wasn't recognized so I couldn't get into the Sheraton wireless. When I checked out, they did not ask me how my stay was. When I started explaining everything that went wrong during my stay, the associate at they front desk tried to tell me my phone messed up my card and that I wasn't following the proper instructions to get online. My key worked to get into my room so it had nothing to do with my card coming into contact with my phone. They tried to explain to me how to get online. I explained that I access the Sheraton wireless every time I visit, so I know how to get online. This was by far the worst experience I have ever had at any SPG hotel.</t>
  </si>
  <si>
    <t>the drinks in it are also expired.</t>
  </si>
  <si>
    <t>(1/2) 5 Wen Wen and her partner we're excellent, friendly and very courteous. Love them and loved our room and view. They make our experience wonderful and wo (2/2) uld be back of they were here.</t>
  </si>
  <si>
    <t>do today and tomorrow😊</t>
  </si>
  <si>
    <t>#5. My wife and I have been serving as volunteers all this week and we have one more week to go. The most rewarding aspect has not only been in the area of service but the primary Joy has been interacting with interns staff and guests and talking about the Lord, sharing the truth of life through Jesus Christ and his awesome word! God gave us opportunity to encourage some of the interns about daily drawing olnear to God in His precious word; praying with and for them, and just being a blessing and fellowship together. God is so good!</t>
  </si>
  <si>
    <t>0 they never answered my question</t>
  </si>
  <si>
    <t>Thank you, Maddie. Overall an 8 The food (Ramsay Bar, Waldhaus and Stock) is a 10. The friendliness of all the staff a 10. The only hiccup is the room. When I booked the room many months ago (and again last week), I requested the same room as last July (Room 365) or something with a similar river view. Unfortunately my room is four floors higher than I requested with a spectacular view of an exterior wall of the hotel. Certainly not what I wanted and rather disappointing since I reached out twice with my request. Thank you for asking. Best, Rachel</t>
  </si>
  <si>
    <t>(8) It was just a 25 minute wait for breakfast. I guess it's because of the bears game</t>
  </si>
  <si>
    <t>Probably an 8 since there's been issues with the bathroom.</t>
  </si>
  <si>
    <t>"9" Room Service was literally unavailable on Friday night. On hold for 15 minutes and gave up</t>
  </si>
  <si>
    <t>Thank you! So far, we've been pleased - all of our concerns have been addressed. 1. I love the soap/shampoo/conditioner dispensers, but hate that it's such a labor intensive process to refill/replace. 2. Evening reception bartender is the most thoughtful, intuitive server. I really appreciate her attentiveness. Please extend my gratitude to her. 3. Magician show in the lobby on Friday was sweet. We enjoyed the show with our family. While I understand they're not part of the hotel, per se, it was a delightful experience. 4. After we check out, please look at our toilet. It runs longer than it should. We remember to jiggle it after we use it. But, it needs service. 5. Reception ladies are delightful and enthusiastic. Thank you!</t>
  </si>
  <si>
    <t>tomorrow. Told him dont bother, just some clean towels for the duration of our stay will be sufficient. So yeah... hitting about a 4 or 5 rating right n</t>
  </si>
  <si>
    <t>negative</t>
  </si>
  <si>
    <t>(1/2) 2 .... For $230 per night the basics such as having a bed not a cot, hot water and a/c are fundamental.... We had none of those for the 1st 24 hours.... (2/2) The 1st night should have been comped.... It was literally the worst night of sleep Ive had in over a year.... and we still got charged $230... Weak!</t>
  </si>
  <si>
    <t>would be appreciated. Our group may be as many as 25</t>
  </si>
  <si>
    <t>&amp;Hello; Kelly. To be candid, the customer service was not what I have experienced in the past. I woke up with not one but two bites from small black bugs ( &amp;one; that I left on the night table). What drew my attention to the bites was the blood. The manager had the pest people check it out and texted me all ac &amp;tivity; came out negative. There was no other communication which does not reflect the service experiences in the past.</t>
  </si>
  <si>
    <t>Good. Can we have our room cleaned and new towels</t>
  </si>
  <si>
    <t>"3" - I am a Pres Club Member and did not get "upgraded" at all???</t>
  </si>
  <si>
    <t>(1/6) I would give it a 9.5 , because the place is beautiful and the people have been extremely kind and helpful. There are several small issues that could be (2/6) improved. We have a shower-head that won't stop dripping. The shower floor is slippery and my dad is 82, we are concerned about a fall. There are 2 lamps (3/6) not working at the bedsides. I mentioned that and nobody followed up. It seems that it may be non-working outlets. Having Kleenex boxes would be a nice (4/6) addition. We are using the sofa-bed. There was a mattress topper which is great because it makes the bed more comfortable. Unfortunately, though, there is (5/6) only one thin blanket and one pillow provided for the sofa-bed. A comforter similar to the ones on the beds would be much better. It would make sleeping (6/6) on the sofa-bed more comfortable. Overall though, the rooms are lovely, the view is amazing, and the tub is fabulous. Thanks for inviting feedback!</t>
  </si>
  <si>
    <t>m trying to relax in our pool or take a break in our room. So please note that my rating of 5 out of 10 is only because of that and not because of you.</t>
  </si>
  <si>
    <t>0..I did not receive any response!!</t>
  </si>
  <si>
    <t>predicted worthiness</t>
  </si>
  <si>
    <t>(3) our meeting room was not setup until after 8am. 8am was our meeting time and I had to call and setup this morning. Also not enough seats</t>
  </si>
  <si>
    <t>match</t>
  </si>
  <si>
    <t>as well who followed up today to assure my sister was made whole a</t>
  </si>
  <si>
    <t>"1" - We were kept up till 2am by a big party in the room above us. We made two complaints. My kids did not get enough sleep.</t>
  </si>
  <si>
    <t>.. Great "outstanding service of all the Staff- 10 for sure" especially the "night shift housekeeper, xtra nice &amp; great superb service"!! The only frustrating experience we had not relating to any Staff of course was - we weren't expecting in such a great vacation resort as Yours, somebody wld take a "Nike"glass case of my Son, thank goodness he didn't take off his glasses &amp; had it in the case, otherwise it could have been a disaster having just had it replaced couple months ago.. UNBELIEVABLE experience that we don't feel secure anymore for such minor thing to lose as this !! I wonder if You guys could improve a very "good security" within the pool especially in instances as this when all of a sudden weather condition is beyond one's control of heavy downpour of storm, thunder &amp; lightning!! Thks much &amp; great Day!!</t>
  </si>
  <si>
    <t>"6". Heater broken, fireplace broken, no movies on TV, no wine opener or wine glasses in room, robes are like burlap - very rough and uncomfortable. J. Farris 377</t>
  </si>
  <si>
    <t>10 going great, thanks</t>
  </si>
  <si>
    <t>0- shuttle service is unreliable</t>
  </si>
  <si>
    <t>(1/2) 10!!! We have stayed here in the past.. but its been awhile. We forget what a perfect location your hotel is! Rooms great! Breakfast GREAT! Thanks fo (2/2) r all of your help yesterday! What a great start to our Holiday Season!</t>
  </si>
  <si>
    <t>So far we would rate at a 9.</t>
  </si>
  <si>
    <t>0. It was never answered</t>
  </si>
  <si>
    <t>, and I'm still being charged due to lack of attention at the Hilto</t>
  </si>
  <si>
    <t>0 except for Josh in the cafe he gets a 10 for service</t>
  </si>
  <si>
    <t>(3/4) finishing a 2 week vacation to Florida and the Caribbean. They were an absolute delight including all five children down to 11 month old Elias and soon-to (4/4) -be 5 year old Agnes. Thank you Hilton. We will be back. (1/4) A 9.5. Everything has been wonderful. Our room us comfortable and spotless. Breakfast was superb. Dinner at Ilios was very well prepared and our waiter (2/4) could not have been more friendly and helpful. Poolside services were outstanding -- thank you Andrew. We met a wonderful family from Sweden who were</t>
  </si>
  <si>
    <t>(1/2) 4..The reason I rate it this way, they had to switch me to another room because the heater wasn't working. The new room seemed to have heater working, but (2/2) when I came back, same issue. So I just slept in the cold.</t>
  </si>
  <si>
    <t>prediction</t>
  </si>
  <si>
    <t>raw_response</t>
  </si>
  <si>
    <t>latency_ms</t>
  </si>
  <si>
    <t>Has been a lovely stay but some suggestions we would provide is that you may need some more staff. I know it is tough to find people these days but we had drinks at the bar last night and we had to clean the table ourselves and there was food all over the floor. The woman handling service at the pool was very nice, she deserves kudos, but she seems like she is covering too many people. Thanks for asking and I hope this helps. All the best,</t>
  </si>
  <si>
    <t>input_tokens</t>
  </si>
  <si>
    <t>(1) I had to call the front desk twice because of unruly guests in the next rooms!!!</t>
  </si>
  <si>
    <t>Can I use my daily credit before/after checkout</t>
  </si>
  <si>
    <t>output_tokens</t>
  </si>
  <si>
    <t>(10) Except the morning shift guy. But he's just the quiet type. That's probably why he works the morning shift</t>
  </si>
  <si>
    <t>Hi i had ask yesterday for tomorrow late check out would that be possible</t>
  </si>
  <si>
    <t>prompt_version</t>
  </si>
  <si>
    <t>Hello! Thanks so much for checking in. We are having a wonderful time. It is at 48th anniversary and things couldn't be better to celebrate. We got our special treat from Alex at the front desk this morning. What a lovely surprise can you please pass on to your general manager how happy we are and kudos to Alex and the entire staff for making our stay so lovely. Thank you Laura Muenchow</t>
  </si>
  <si>
    <t>model</t>
  </si>
  <si>
    <t>..... Hi! 9.99 .... you don't have ABC ..... and I couldn't watch the Bachelorette last night.... 🙄🤣.... great otherwise..... thank you</t>
  </si>
  <si>
    <t>error</t>
  </si>
  <si>
    <t>Probably alert-worthy</t>
  </si>
  <si>
    <t>(1/2) Good morning :) Our stay has been great. Thank you for wishing us a Happy Anniversary, that was very thoughtful of you. We had a great time yesterday. Wra (2/2) pping things up, thank you for attending us and checking in. Have a great week! God bless! Mr and Mrs Kay</t>
  </si>
  <si>
    <t>, thanks for everything</t>
  </si>
  <si>
    <t>get a bottle of champagne to share with my 3 fellow FEW conference attendees from the DMV area?</t>
  </si>
  <si>
    <t>(1/2) 10 ABSOLUTELY BEAUTIFUL ROOM, GREAT BREAKFAST, GREAT SERVICE AND SUPER LOCATION FOR US. WISH IT WAS MORE AFFORDABLE FOR US AS WE ARE RETIRED AND (2/2) HAVE LIMITED INCOME. THANKS. SANDY HOOD</t>
  </si>
  <si>
    <t>Than you for checking. We had to shorten our visit &amp; leave today before we could finish the 94th B'day celebration. My moms blood pressure went really high &amp; we couldn't get it down. About the only real health concern she has. But we thought it best to leave &amp; contact her MD. If she's gotten any worse or needed paramedics called as has happened...the resort &amp; upstairs room not the place! Th o you for your kindness, for graciously waving early check out fee...all why we love Hilton &amp; Honors &amp; will leave stellar review. Hope to see you &amp; Boulders again soon under better healthy circumstances TT MCClure &amp; Teicheira</t>
  </si>
  <si>
    <t>Very disappointed there is no fridge in the room. People are friendly. The view could be better. 7</t>
  </si>
  <si>
    <t>0 we just got bit by bed bugs and had blood on the sheets the day before this</t>
  </si>
  <si>
    <t>Hello. My stay is going well. Is it possible to get fresh towels. Soap in the shower. And 2 robes of you have them. Thanks</t>
  </si>
  <si>
    <t>(2/2) ve &amp; beyond to find us a little bit. But, they really shouldn't run out. (1/2) 9. Why not 10? Because the breakfast buffet had very few berries when we went to the breakfast buffet at 10 AM today. Fortunately the server went abo</t>
  </si>
  <si>
    <t>need regular coffee and towels changed</t>
  </si>
  <si>
    <t>(1/2) 10. Stay was great. Gloria was professsional from the check in, Jorge and Natalie at happy hour and dinner service was outstanding and with a smile, ladie (2/2) s in gift shop was nice, service was great and helpful and driver to airport was outstanding. Overall a 10 and stay again.</t>
  </si>
  <si>
    <t>(1/2) I'd say an 8. I think it is the air conditioner but something has been kicking on at all hours and makes a lot of noise. We didn't notice it the first nig (2/2) ht but it was loud yesterday and last night</t>
  </si>
  <si>
    <t>as well. The staff here is incredible.</t>
  </si>
  <si>
    <t>0, horrible food!! Terrible device for r dinner last night and my room had a horrible odor.</t>
  </si>
  <si>
    <t>I would rate a 5 right now</t>
  </si>
  <si>
    <t>(1/4) Deana, So far, I will say an 8. Im withholding a 10 because my room was given away. Due to an airline delay, I didnt arrive at the hotel until about 6am. (2/4) I was stuck on an airplane for 5 hours, but the coordinator of my group informed the hotel that I would be late. When I got there, all I wanted to do w (4/4) ve me a complimentary breakfast and did their best to make me comfortable while I waited for a room. You employ some incredible people! (4/4) ve me a complimentary breakfast and did their best to make me comfortable while I waited for a room. You employ some incredible people!</t>
  </si>
  <si>
    <t>"10" hallways r very long</t>
  </si>
  <si>
    <t>It's great! May I ask a favor please? Can you email me my bill thus far? Thank you!</t>
  </si>
  <si>
    <t>It's going great. It would be fantastic if we could get more coffee pods</t>
  </si>
  <si>
    <t>$ for a small dry Caesar salad. Also the caprese sandwich is listed as $14.50 on the menu but the hotel charged us $15.5o based on the receipt. We felt ripped off. Just one suggestion is to lower the price of the food, offer Caesar dressing on the side so u can choose how much u want...Also the ketchup a nd mustard come in tiny bottles that are meant to look classy but hard to open, contain very little and are a big waste for the environment :(</t>
  </si>
  <si>
    <t>be a downgrade sorry to say. The bellsman never showed up to trans</t>
  </si>
  <si>
    <t>(1/2) Hi!! Everything has been a 10, excellent. I like that there's a door man checking room keys at night, it really made me feel safe. He's doing a great job (2/2) and important work. The staff has been very friendly and helpful. The facilities are great too. And thank you for checking in on my stay!</t>
  </si>
  <si>
    <t>(1/4) Unfortunately, this has been one of my worst stay ever! This morning in the NEW room in the Somerset building after getting a piece of paper towel from th (2/4) e kitchen roll a small roach jump out on me, at this point we're just going to suck it up since we leave tomorrow... a light fumigation will not work for (3/4) us because my daughter has a upper respiratory problem and cannot be in the room with any fumigation or chemicals... it is very upsetting. As a owner and (4/4) for what I pay, we come here once or twice a year it is VERY! upsetting to be face with this uncomfortable situation...</t>
  </si>
  <si>
    <t>Lilacnut@aol.com</t>
  </si>
  <si>
    <t>day. Thanks for checking! 🙏</t>
  </si>
  <si>
    <t>(1/2) 10 ...but you so need to dust the door frames ..especially by the bathroom. I wrote the word wipe in the dust at the bottom left. We will love to stay a (2/2) gain the view was amazing and the beds at very comfortable.</t>
  </si>
  <si>
    <t>7- when we got in late last night , there were no blankets on the bed or available. We had to wait to get them. Also, it appears to be a roku tv but no instructions or remote to access Roku? Also, if the 2 concierges that I spoke to this morning, one was very pleasant but had no information for me, the other practically threw a map/brochure at me. No eye contact and like he was doing me a great favor . BUT the computer use area was nice and the room is clean and has lovely views. Thanks- Karen</t>
  </si>
  <si>
    <t>#my car got vandalized in your hotel couldn't even finish my stay spoiled my Father's Day vacation #1</t>
  </si>
  <si>
    <t>walk so far back and forth</t>
  </si>
  <si>
    <t>#10... you sure no higher scores are available?? Claudia in housekeeping is amazing, no detail is too small for her! We love Donna in HGVC sales dept. I am sure these employees that we love get these rave reviews! However please understand they make the difference in a great vacation for us. Vinny out at the pool is like an activities director on a cruise ship. Amazing people skills. And Maria Cuvas cleaning on first and second floor is priceless! So again we rate our stay so far at #10 + ?Connie, Sienna, and Shirin</t>
  </si>
  <si>
    <t>take it and I was here first</t>
  </si>
  <si>
    <t>(1/5) Good Morning Carlos all is well with the room! The room is so ac (2/5) comodating for my daughter's needs. And we are all having a wond (4/5) ate our stay with a 10!!!! ❤ Thank you Carlos and have wonderful (4/5) ate our stay with a 10!!!! ❤ Thank you Carlos and have wonderful (5/5) day.</t>
  </si>
  <si>
    <t>(1/3) 7 porque ayer en la habitaci√≥n tuvimos que llamar tres veces par (2/3) a que nos arreglaran la nevera que estaba llena de agua. Por lo (3/3) demas bien hasta ahora.</t>
  </si>
  <si>
    <t>Iii. I forgot my phone charger ...can u set it aside for me? Room 514</t>
  </si>
  <si>
    <t>(1/2) 10 so far. Have one concern. When i checked in i asked for 3 parking passes. I have two rooms. But there are 3 adults with cars. I was told i was given (2/2) the 3 passes but only have 2 in my envelope. Can i pick up a 3rd today?</t>
  </si>
  <si>
    <t>g ha ha ha ha sac</t>
  </si>
  <si>
    <t>(2/4) nderstand the music on a Friday evening, but Monday thru Thursday, i feel the music should end about 8 or 9 as many are there for work and their morning (1/4) My stay was fine, thank you. I rate it a 8. Had i known about the music in the reception area, I would have asked to be on a much higher floor. I can u (4/4) kson (3/4) s start early. The restaurant staff are excellent! Your attentiveness is very good and appreciated as well. Thank you for the service. Ms. Michelle Jac</t>
  </si>
  <si>
    <t>-10! The worst hospitality I have ever experienced! at 8:00AM this morning I went lobby and asked for coffee- a very reluctant desk clerk told me she would get a cup for me, it was not free!!! But she would give it to me free today. Promised free breakfast when we checked in- nothing ready at 8:00 AND told no free continental breakfast. Absolutely rude and terrible experience. -10 -10! The worst hospitality I have ever experienced! at 8:00AM this morning I went lobby and asked for coffee- a very reluctant desk clerk told me she would get a cup for me, it was not free!!! But she would give it to me free today. Promised free breakfast when we checked in- nothing ready at 8:00 AND told no free continental breakfast. Absolutely rude and terrible experience. -10</t>
  </si>
  <si>
    <t>Can I get a pick up at building 6</t>
  </si>
  <si>
    <t>(1/4) Well we're actually on the plane heading home but we had a great (2/4) time we really enjoyed the warm Hospitality of the front desk s (3/4) taff and the Bellman thank you very much God bless! Steve Minus (4/4) ?</t>
  </si>
  <si>
    <t>#3 due to the fact our room was not "done" yesterday until 4 and at this messaging it has not been done today</t>
  </si>
  <si>
    <t>I'm gonna have to stay longer next time</t>
  </si>
  <si>
    <t>(1/2) 7, coffee maker in our room is broken so we ended up purchasing coffee. Also, several pieces of the workout equipment are broken, so it left many to mi (2/2) ss out on cardio. Not my favorite Hilton Property I've stayed.</t>
  </si>
  <si>
    <t>. Is that something you could help us with?</t>
  </si>
  <si>
    <t>"10 plus" Love the holiday decorations and festive atmosphere. Hoping you can put me in for 10k Bonvoy points as a great Holiday gesture! Happy Holidays to you and your family Lorraine!</t>
  </si>
  <si>
    <t>0.. couldn't get a room there yesterday..</t>
  </si>
  <si>
    <t>were told they were coming, they never did in those 2 hours. Extremely unsat!!! We also had issues during the first 2 days. As a Hilton Honors member fo</t>
  </si>
  <si>
    <t>-0 Absolutely horrible!!! Worst experience ever.</t>
  </si>
  <si>
    <t>Hello can I please get my room cleaned today and new towels</t>
  </si>
  <si>
    <t>We have checked out. Overall a great stay. Your manager on duty on Saturday 5 pm or so was exceptionally helpful, as was David at the front desk. I would say that I had internet problems in the room the entire stay. Also, you should grant Diamond status guests a little leeway during the Manager's reception. Your bartender did his job, but he would have had a much better tip had there been more flexibility- especially with Diamond members. Our family has stayed at this property numerous times and we'd like to go back- please keep our suggestions in mind. Thanks Nancy Bradley</t>
  </si>
  <si>
    <t>(1/2) I GIVE YALL A 10 MY STAY IS AWESOME!!!!! I JUST GOT OUT THE JACUZZI NOT TO LONG AGO (WHICH I ABSOLUTELY LOVED) I LOVE THIS PLACE I WILL B BACK!!!!! THANKS (2/2) FOR ASKING!!!! WHO IS THIS IM SPEAKING WITH????</t>
  </si>
  <si>
    <t>The room is great had to ask for towels after 3 days it took 5 days for them to clean the room</t>
  </si>
  <si>
    <t>all. Noise kept going on in intervals for an hour.</t>
  </si>
  <si>
    <t>-5, terrible. Want my money back</t>
  </si>
  <si>
    <t>0 We were awaken at 8:30 despite the do not disturb sign on the door by loud knocking &amp; they continued knocking then the phone rang when I finally looked out the housekeeper said it was room service they finally realized they had the wrong room that was followed by another phone call. Very disturbing!! 0 We were awaken at 8:30 despite the do not disturb sign on the door by loud knocking &amp; they continued knocking then the phone rang when I finally looked out the housekeeper said it was room service they finally realized they had the wrong room that was followed by another phone call. Very disturbing!!</t>
  </si>
  <si>
    <t>"5" (five) Lisa - we enjoyed our stay - a lovely room - thanks for asking - please be sure you send an email with a survey so I can let the Sheraton management know how great you are - best regards, Tim D. Cheers</t>
  </si>
  <si>
    <t>Hi Juan! Thank you so much for reaching out, we are all set on our travel and departure. The stay was 10, excellent</t>
  </si>
  <si>
    <t>! I am out enjoying the History of DC !! But the room is questionab</t>
  </si>
  <si>
    <t>(1/2) Lol woo wee stay is great so far but I'm 0-1 against Vegas right now last night got me. It's a 10 and getting better. We will be out to a show at 530pm th (2/2) en dinner and heading out. Would love to have a nice adult fun night when the wife is ready of course. It's all her call. Can you send no face pix?</t>
  </si>
  <si>
    <t>. Thanks for ✅ing Nice job Rebecca !</t>
  </si>
  <si>
    <t>(1/2) Stay is 10, with a 1 for the valet parking system (the valet staff themselves are a 10) last night I was told 15 min call before needing the car, by the t (2/2) ime I got the car, one hour and 15 min had gone by...I was very late for a meeting I came to DC for - the system needs to</t>
  </si>
  <si>
    <t>(1/6) 5 Good morning Kim?, We enjoyed a very comfortable and (2/6) restful night's sleep. Your breakfast team feed us and catered (4/6) om before hitting the fitness center and exploring the city. (4/6) om before hitting the fitness center and exploring the city. (5/6) Thank you for your kind and much-appreciated care!?? TYJ! (6/6) Beverly Helena Taylor-Mack</t>
  </si>
  <si>
    <t>that we will need housekeeping to turn over our bed late today, around 7 p.m. if that is possible? Second is that I would like bring my niece and nephew</t>
  </si>
  <si>
    <t>them to please have them replenish the coffee and creamer with fresh stuff.</t>
  </si>
  <si>
    <t>Good morning! The stay was excellent. I was very impressed that the hypo-allergenic room was truly that. I don't know that I've ever left the hotel feeling as good as I do today. It was something that I will share with online community that has very similar needs. Thank y'all for an awesome stay. We have checked out and are actually home already.</t>
  </si>
  <si>
    <t>(1/2) It was absolutely great thank you for all you done thank you for the room it was excellent and I'll surely be back soon thank you for your great customer (2/2) service in hospitality. Big Phat 10!!! Tangela</t>
  </si>
  <si>
    <t>#8 Very good stay. Love the location. The a/c fan in room is noisy and clanky overnight and did not sleep well. Would be interested in a room change if available?</t>
  </si>
  <si>
    <t>(1/2) Not a real big deal but no room service for our meals and our ice maker being broken along with the TV in the living room cutting in and out is a little i (2/2) nconvenient with my wife being sick</t>
  </si>
  <si>
    <t>(1/2)Aldene, you are some kind of wonderful! Thank you for checking in. I absolutely love my apartment that's when I call it my apartment. Thank you for being a (2/2)lady of your word. This is my fourth or fifth stay here and it's always a pleasure. Have a glorious weekend. Life is good all of it!!</t>
  </si>
  <si>
    <t>0ther than check in 8</t>
  </si>
  <si>
    <t>(1/2) 7. The bathroom has a cigarette smell that my 11 year old and wife noticed soon as they walked in last night. The smell has dissipated but is still a ling (2/2) ering a bit.</t>
  </si>
  <si>
    <t>right side of the bed do not work.</t>
  </si>
  <si>
    <t>#10, pool could be a little warmer 😃, staff are all friendly and cheerful, everything is very clean and well maintained. Walking trail is great!! Schedule of events like water Zumba and music posted at pool to see . Thanks!</t>
  </si>
  <si>
    <t>Everything is good so far ,ineed pork ri s to eat</t>
  </si>
  <si>
    <t>All good, Martin. Thank you for asking.</t>
  </si>
  <si>
    <t>(1/4) Hello Kadie. Thank you for checking in with me. When we first arrived, the table had food stains on it, but I cleaned it with a hand wipe. There were n (3/4) occupants. Housekeeping responded quickly to ky phone requests for blankets, pillows and towels. All is well now and the family is having a wonderful ti (4/4) me in your lovely hotel, as always. Kind regards, Barbara</t>
  </si>
  <si>
    <t>I just need a digital key</t>
  </si>
  <si>
    <t>0 nobody responded to me</t>
  </si>
  <si>
    <t>-5 because i couldnt find a boyfriend</t>
  </si>
  <si>
    <t>(1/4) Hello Maricar, I give it a rating of 7. The property is gorgeous the resort itself is awesome. We ate dinner off property so can't comment on the restaura (4/4) re you've heard this from other guests. Overall we're pleased. Thanks for asking. (4/4) re you've heard this from other guests. Overall we're pleased. Thanks for asking. (4/4) re you've heard this from other guests. Overall we're pleased. Thanks for asking.</t>
  </si>
  <si>
    <t>Room 1768. Thank you.</t>
  </si>
  <si>
    <t>(1/2) The ≈ôemote control in my room is not working. Tv is on but chan (2/2) nels cannot be changed or tv turned off.</t>
  </si>
  <si>
    <t>(1/7) It was great? Thk u Front desk was 10 check in was great Foo (2/7) d sevice department i would recomend when you have this many pe (3/7) ople you should hv more staff work in that area for sanitation p (4/7) urpose i will gv that a 7 Over all stay was excellent when im (6/7) ople to choose you. Thank you for asking for my input. Have a (5/7) in this area i will be back. And yes i will highly recommend pe (5/7) in this area i will be back. And yes i will highly recommend pe</t>
  </si>
  <si>
    <t>(1/2) 3. Had issue with toilet overflowing as soon as we got in yesterday. Maintenance came and cleaned up but I asked for housekeeping to sanitize it due to a (2/2) ll the toilet water. Told me they would be here in 5 minutes. They never showed up.</t>
  </si>
  <si>
    <t>**Definitely alert-worthy**
 Rationale: The guest references a "shooting outside our window" ‚Äî this is a serious safety/security incident. Regardless of the otherwise positive tone (rating "4/5"), any mention of gunfire or violence near guest rooms requires immediate Manager awareness for safety follow-up, potential guest reassurance, security review, and possible liability/PR considerations. This falls squarely under the safety/security signal that warrants real-time escalation on its own.</t>
  </si>
  <si>
    <t>Very well thank you. However still hear the noise in the back for garbage pick up. But not as bad as it was being right on top of it. Next time maybe you can put me someplace better so I can truly enjoy my vacation. Thank you for asking John Deblasio</t>
  </si>
  <si>
    <t>-8 les prix sont trops √©lever et les employ√©s chez starbucks ne savent pas √©crirent.</t>
  </si>
  <si>
    <t>(1/2) Alexandra.. First You Are Absolutely Wonderful! I Give You A 10! You And Your Spirit Are So Beautiful! As For My Stay.. I Give Embassy Suites And The Mana (2/2) gement And Staff.. A 10! The Excellent Care Of Me And Awesome Amenities Are Fueling My Spirit! Just Want To See And Experience More ! Al B. Sermon</t>
  </si>
  <si>
    <t>(1/3) Good afternoon! Thank you for checkjng in with me. Everything is (3/3) � My rating is definitely a 10! Thank you. (2/3) going great. My room is awesome. I especially love the view! �</t>
  </si>
  <si>
    <t>0 I never got a response</t>
  </si>
  <si>
    <t>v2</t>
  </si>
  <si>
    <t>us.anthropic.claude-sonnet-5</t>
  </si>
  <si>
    <t>Hi is it possible to get 3 sets of towels and trash taken pls, towels and trash is outside door and if can leave at door as well, mahalo!</t>
  </si>
  <si>
    <t>#10 Staff was amazing helping to solve the mix up and took great care of us.</t>
  </si>
  <si>
    <t>(1/2) Ok but just wanted to mske sure refrigerator fixed in our room . Was not working all Ice cream we bought went bad had to though away last night had to ge (2/2) t 2 candy bars from room instead. Lost 12 dollars of Ice Cream &amp; had to spend 10 dollars more for candy bars not too happy about that.</t>
  </si>
  <si>
    <t>chill water, tech said he would replace the fridge assumed he did. Manager was suppose to call me yesterday Sunday and did not. Today Monday 2pm-ish</t>
  </si>
  <si>
    <t>"5" One light in the bathroom was dead. No coffee cups in the room. Amenities are poor.</t>
  </si>
  <si>
    <t>I'm good thank you bud! Sent ya Venmo yesterday. Just working and I have my little Frenchie in the room so I Don't want to risk housekeeping letting her out;)</t>
  </si>
  <si>
    <t>(1/2) 5. We had issues with the light fixture on the patio. Plus we don't have hot water in the shower. Someone came last night to fix it and it still isn't ri (2/2) ght. 1msregina</t>
  </si>
  <si>
    <t>close to the exit door in room 152 which is loud at night woke me up when the door slams that exit door.. one more night staying in Victoria Inn</t>
  </si>
  <si>
    <t>Hello Courtney, We had a Really nice stay but a couple of things I'd like to mention: 1) We had two appetizers at the bar and neither one was very good. We had ceviche and hummus and neither one was anything we'd recommend. 2) We ate at Wright's and the service was great but the entree selection was poor . It was my birthday and we really enjoyed our stay, even though the food was disappointing. One last thing, my wife lost her sunglasses between the coffee shop and our room. They were Kate Spayde designer sunglasses. I left our name and phone number with security so if anyone turns them in we'd really appreciate a call. Thank you. Art Jacobsen 313-428-6805</t>
  </si>
  <si>
    <t>09. I didn't get any water !!</t>
  </si>
  <si>
    <t>The carpet on the hallway on the 15th floor smells absolutely atrocious.</t>
  </si>
  <si>
    <t>0 Read my responses above. Your texts feigning care are insulting.</t>
  </si>
  <si>
    <t>#9.5. It would be a 10 if our room safe was operational. 😔 But we are enjoying our stay very much!</t>
  </si>
  <si>
    <t>Hey Nicolas is it possible to get a late checkout of 1pm ?</t>
  </si>
  <si>
    <t>and shower need to be redone</t>
  </si>
  <si>
    <t>(1/4) I would love to say 9 or 10 but I'm going to have to say 8 My One True dilemma was we did a load of wash last night and when we pulled our clothes out we (2/4) had a few small holes and some of our clothes somebody who stayed in his room prior to us through a steak knife in the washer and it wasn't caught by the (3/4) cleaning crew we also don't have a stopper for our sink so that we can wash dishes as we make them dirty other than that the resort is beautiful and we ha (4/4) ve been enjoying it and a friendly staff thanks room 9105</t>
  </si>
  <si>
    <t>**Definitely alert-worthy**
 Rationale: The guest explicitly describes a "terribly insulting conversation" with a named staff member (Russ) ‚Äî a direct staff-conduct complaint. Combined with continued dissatisfaction over compensation ("25k points was not particularly generous") and reference to prior discussions with another staff member (Richard) about the issue, this shows an escalating, unresolved situation involving both service recovery and staff behavior. A Manager would clearly want real-time visibility into this rather than leaving it to Front Desk.</t>
  </si>
  <si>
    <t>Going really well. Thank you</t>
  </si>
  <si>
    <t>0! I had to be moved to the omnia due to a booking issue after I checked in hours before!!!!</t>
  </si>
  <si>
    <t>appreciate his consideration and care.</t>
  </si>
  <si>
    <t>(1/4) im totally going to let someone know what happened when i checked in. ive stayed they many times b4 &amp; am staying there 23-25th, but the person that checke (2/4) d me in this time was ridiculous. she ran my card, as always what happens, then infront of everyone else at the desk says, your card was declined, so I im (3/4) mediately called my card &amp; they told me she put the wrong expiration date...it goes on from there. im writing into the company because I've never been tre (4/4) ated so weird ever</t>
  </si>
  <si>
    <t>Hi i need a shuttle to the pool</t>
  </si>
  <si>
    <t>05 valet a real issues 35/40 to get my car</t>
  </si>
  <si>
    <t>"10" Excellent Sonia, Thank you 😃</t>
  </si>
  <si>
    <t>(1/3) I eate my overall stay an 8. I stayed in 3 different rooms during my full 30 day stay. I give you an 8 because the last room wasnt the best. The dryer le (2/3) nt capture was broken and the tub was dirty but other than those issues the overall stay was great and the hotel was very accomidating. Also Maria (housek (3/3) eeping) did a great job in my first room. She left notes that were very sweet. Hope you can give her kudos. I was on the 16th floor during that stay.</t>
  </si>
  <si>
    <t>0, the service was unavailable at the time. My flight was at 6:00 am and the gate was not listed on any of the boards, not on my ticket, and not on the frontier website. I got a response through text after I landed. I had to ask a Delta cart driver where frontier usually flies out of.</t>
  </si>
  <si>
    <t>0 this morning for my shower.</t>
  </si>
  <si>
    <t>Can you still send my invoice via mail? I allready checked out, and i get no invoice yet. Thank you and have a nice day.</t>
  </si>
  <si>
    <t>Great 10. Just wondering do you not give snack to diamond members, we didn't get them, just curious?</t>
  </si>
  <si>
    <t>0 (zero) very disappointed in the rooms. As fun as the pool is, it wasn't worth the disappointment in the room quality. When I checked out, I expressed my disappointment and all the receptionist did was write down all the things I listed that was wrong with the room for maintenance to fix and didn't apologize for any inconvenience or comp us. I even cancelled my reservation that I had for Tues, Dec 27th. Again, no apologies. I will be writing a review on Trip Advisor.</t>
  </si>
  <si>
    <t>(1/2) My stay was great! 9. The room was comfortable and breakfast this morning was really good. The front desk and restaurant personnel were awesome! Thank yo (2/2) u for another great stay!</t>
  </si>
  <si>
    <t>#5. I check in on my app to arrived at 3 pm chose my room. I arrived at 11:30pm and they told me my room wasn't ready or clean and they change me to another room .</t>
  </si>
  <si>
    <t>to change it so I can have a full ocean view? She said when I come in she'll see wat she can do to upgrade my room.</t>
  </si>
  <si>
    <t>It has really been great so far. I don't believe in perfection, so I'll say a 9... but the staff has been so friendly and helpful. Thankful for everything. We are out at the main pool enjoying the sun.</t>
  </si>
  <si>
    <t>and that two power outlets don't work.</t>
  </si>
  <si>
    <t>....well...walking into the building just now and having two bus loads of teenagers all over the place probably means I won't be getting much sleep tonight. Ask me tomorrow.</t>
  </si>
  <si>
    <t>I have raised concern that I was looking for an executive to escalate to</t>
  </si>
  <si>
    <t>Definitely alert-worthy.
 Rationale: This is a stacking of multiple serious service failures (no room on arrival requiring a walk to another hotel, no hot water, no AC with unanswered fan requests, unsafe window without a screen, street noise disrupting sleep) plus an explicit request for compensation, signaling intent to escalate. The combination of repeated failures, a safety-related concern (unsecured window), and a compensation demand means the Manager needs real-time awareness to manage guest recovery and financial/reputational exposure ‚Äî this goes well beyond routine Front Desk handling.</t>
  </si>
  <si>
    <t>(1/2) Hi LaShawn! Thanks for asking! Love the Palmer House! My room is great - but it's a bit noisey - I think it's the train noise I'm hearing? Last time I st (2/2) ayed here, I had an inside room that was pretty quiet. Hope you have a good day as well!</t>
  </si>
  <si>
    <t>Are there any other sleeping pillows offered?</t>
  </si>
  <si>
    <t>Afternoon...is it possible to get a late check out tomorrow?</t>
  </si>
  <si>
    <t>0 See issues from yesterday</t>
  </si>
  <si>
    <t>Great so far. Definitely a positive change in management and all staff attitudes. Greatly improved. Well run. Seems like the LQ I loved years ago.</t>
  </si>
  <si>
    <t>I stayed here I thought there would be improvements, but I see there hasn't been. Not worth the money.</t>
  </si>
  <si>
    <t>(1/3) Amazing !!! Thanks For a great service Esteban.. My room is very clean after housekeeping service, drink and food is awesome ,testy and healthy !!! You</t>
  </si>
  <si>
    <t>It's great! Thank you. Everything's great!</t>
  </si>
  <si>
    <t>0. Dog barking in room next to me!!</t>
  </si>
  <si>
    <t>We already checked out and had a very nice stay. Thank you!! I'd give it a 9😀</t>
  </si>
  <si>
    <t>(1/2) 12!!!!! Everybody's so nice so kind and so accommodating totally appreciate it!!.... half of our party had to back out so my daughter's here by herself fr (2/2) ont desk give her candy other guy give her a balloon and you made her a coloring book ....really??? what other place does that?? everything's been great!!</t>
  </si>
  <si>
    <t>Laundry machine on 2 floor building 3 not working plus lost the money 1.00 for detergent so 8-9 is my score</t>
  </si>
  <si>
    <t>(2/2) of service 5+. Especially thanks snd kudos to Tamy and Macy Best regards. (1/2) I can't thanks enoughn for the best services provided by your wonderful staffs. They are above and beyond outstanding. I would rate the the highest level</t>
  </si>
  <si>
    <t>person would check it at 7am. Also, I didn't get the do not disturb sign as requested. And my coworker had no issues requesting late check out. She and</t>
  </si>
  <si>
    <t>0 , very tired, can't sleep at night due to noise , constant partying , hotel is also dirty. One of the worst stay in my history with Hilton family.</t>
  </si>
  <si>
    <t>Excellent! Could we please get a few more waters and pillows?</t>
  </si>
  <si>
    <t>(2/3) oterdam first. We got off the bus and were advised by the Rottterdam people we were in the wrong place. The driver was very abusive in loading our bags b</t>
  </si>
  <si>
    <t>"7". Reasons: 1) pool was full of debris from Friday's wind. I understand that you have a lot of pools but as of Sunday, our hot tub was still not cleaned and I cleaned the pool on Saturday. 2) service at your Mexican restaurant on Saturday was beyond awful. We sat at one of 5 open tables in the bar and were never greeted or served. Eventually I went to the bar and bought drinks. The bartender asked "Miguel" to take care of us, but he never helped us. Finally, after being at our table for over 1/2 hour, a waitress noticed us looking for service (this was not her area) and made us our table side Guacamole and took our order. Her name was Jeanette. She was very apologetic and nice. She deserves the recognition. 3) on a positive note, your check-in was very good and we love this texting service that you now have!!!!</t>
  </si>
  <si>
    <t>10. Having a wonderful stay. Thank you</t>
  </si>
  <si>
    <t>0. I killed a cockroach this morning. This is nasty. This bug was on the bed covers. Floors are also dirty</t>
  </si>
  <si>
    <t>"Fabulous ", thank you for checking. We can use more waters in 3109, and 3111 please. Two Diet Coke in 3111 please. ❤️</t>
  </si>
  <si>
    <t>-1 very frustrated! This is been a very stressful situation and a huge delay for us!</t>
  </si>
  <si>
    <t>(1/4) So far we're doing okay thank you for helping us with the room p (3/4) ng thanks to you guys so we appreciate that and everything seems (3/4) ng thanks to you guys so we appreciate that and everything seems (4/4) to be normal so thank you very much for your help last night?</t>
  </si>
  <si>
    <t>**Definitely alert-worthy**
 Rationale: Multiple stacked failures reported in the guest's own words ‚Äî noise disruption throughout the night/morning affecting sleep, plus explicitly "terrible" service at Serendipity on two separate occasions, attributed to understaffing relative to occupancy. The guest closes with an overall negative verdict on the stay ("not a good stay"). This is a pattern of compounding issues (room experience + repeated F&amp;B service failure + operational/staffing concern) rather than a single minor complaint, and the staffing observation is something a Manager would want visibility into now, especially if occupancy stays high. Meets the bar for real-time Manager awareness even without explicit escalation language.</t>
  </si>
  <si>
    <t>I had requested that my room be made up today - that didn't happen</t>
  </si>
  <si>
    <t>(1/4) Hey thanks for checking back. I'D say we are really pleased - nice property for sure - although we used to stay at Embassy ' s in ORL area for years, it's (2/4) hard to justify the cost to self-park. That's what has kept us away but since we are staying this weekend on points, it's all good. I had to leave before (3/4) breakfast but my wife made it I think and is enjoying her stay - hope the pool is open today. I'd give you all a 4.8. Wish we could have scored an upgrad (4/4) e rm - I tried.</t>
  </si>
  <si>
    <t>For the hot tub... is it a button we press to get it hot?</t>
  </si>
  <si>
    <t>"8" room is nice but a little noisy , because we're right next to elevator. But they were able to accommodate early check in yesterday when we were dead tired so staff gets a "10"</t>
  </si>
  <si>
    <t>Candidly the pool chair situation is ruining everything. People go out there at 6am and put a hat or a book on a chair and don't come until whenever</t>
  </si>
  <si>
    <t>(1/2) Hi Abilio, Pretty good; I can't give it a ten yet, but I moved into 737 this morning, and I think it will be good. Thanks for asking, and I hope you have (2/2) a great day.</t>
  </si>
  <si>
    <t>(1/5) It's a little unfair to compare. We have stayed at the Trump, that is one of your properties. Also at the Rio, in a suite similar to the suite at the Trum (2/5) p. So if we have to rank this one in comparison to those two, this is an 8. Why an 8, one less bathroom. This room seems to be the same size, but the lay (3/5) out is different. Same space, but you get less. Sorry to bring it up again, but the no room service menu it a big negative. The bathtub is really weak. Th (4/5) e hot water pressure is low, which makes the filling take for ever. Plus the jets are weak as well. This may seems minor, but there is no condiments lol. (5/5) The other places I listed has salt and pepper, aslo Tabasco lol.</t>
  </si>
  <si>
    <t>We checked out this morning all was well thank you!</t>
  </si>
  <si>
    <t>10... Really appreciate the gift for my husbands birthday! We were totally not expecting that!</t>
  </si>
  <si>
    <t>(1/2) It's beyond my expectations! The room is fabulous and I definitely appreciate you! This is currently the best trip I've had in Vegas and this room and loc (2/2) ation is the key! So you get a 10 from me because its better than EXCELLENT</t>
  </si>
  <si>
    <t>Hi Nate! It's great. Can we have more waters put in our fridge? Housekeeping didn't leave any. Thanks!</t>
  </si>
  <si>
    <t>0 this hotel is awful and service is also terrible. This experience will serve as warning to other Tripadvisor guests</t>
  </si>
  <si>
    <t>(1/2) A 10 for sure u made my night last night.and i was thank you again ...your excellent "CS skills definitely made me and my son very happy ...and again all (2/2) thanks to you....thank you for the follow up ....you have a great day Carol</t>
  </si>
  <si>
    <t>We have not checkin in yet</t>
  </si>
  <si>
    <t>(1/5) Good Morning Carlos all is well with the room! The room is so ac (2/5) comodating for my daughter's needs. And we are all having a wond (4/5) ate our stay with a 10!!!! ‚ù§ Thank you Carlos and have wonderful (4/5) ate our stay with a 10!!!! ‚ù§ Thank you Carlos and have wonderful (5/5) day.</t>
  </si>
  <si>
    <t>Would I be able to extend one night</t>
  </si>
  <si>
    <t>(1/2) 10. An excellent hotel. Service, staff attitude, friendly, clean facility, confident location, great view from room, great breakfast, quiet room. In other (2/2) words, it's a home run.</t>
  </si>
  <si>
    <t>(1/2) 0 it has been horrible Carol unfortunately. The towels never came on the last request. Only 1 sheet was brought. I made my kids reuse towels because I had (2/2) no more energy to request them a 3rd time.</t>
  </si>
  <si>
    <t>wanted it serviced I declined and you still went ahead and did it anyway. That alone makes me not want to stay with you again.</t>
  </si>
  <si>
    <t>**Probably alert-worthy** ‚Äî Indicates a request or inquiry went unanswered, which is a service failure worth flagging. However, there's no detail on what the original request was, how long they waited, or their level of frustration, so it's unclear if this rises to a "Definitely" (e.g., a safety concern or repeated failure) or is a minor, easily-resolved lapse. A Manager should probably be aware in case this reflects a bigger communication breakdown, but the message alone doesn't confirm serious severity.</t>
  </si>
  <si>
    <t>#10. No issues. Thanks!</t>
  </si>
  <si>
    <t>(1/2) 5. Great location. Alicia was great and very patient with me while giving me directions to the hotel. Roof top lounge is nice. Rooms are spacious and clea (2/2) n. Nice look and overall feel Blessed</t>
  </si>
  <si>
    <t>Hi I'd like to request housekeeping please</t>
  </si>
  <si>
    <t>am and woke us from a dead sleep. 😂 All good.</t>
  </si>
  <si>
    <t>#5. Can't watch any HBO or other HD channels reliably. Tech came up and said it's a known problem and would be fixed next week. But I've seen the same problem before. There is a signal problem somewhere. I got the impression that was a standard answer of "it's being upgraded next week." Also... the first night I had to change rooms/floors because there was smoke coming in from under the door or the air handling system. Worse than most of the casinos I've visited here. Had to get soap and wash all my clothes that night.</t>
  </si>
  <si>
    <t>10 ... thank you, Linda</t>
  </si>
  <si>
    <t>(4 1/2.... the accommodations were wonderful. Lovely condo....The bunk bed issue was remedied quickly n efficiently. Had a wonderful dinner at jam bistro in rehobeth. The only thing is the sheets on the pull out were not changed. There was sand n hairs in bed. On a side note, my daughter wound up w/ a stomach bug, the main bathroom may need to be disinfected. I would feel awful if the next person who stays may get the germ. Thanks for all ur help denise, customer service at its best. ����</t>
  </si>
  <si>
    <t>0 - I checked out 1 hour after arrival. The rooms were sub-par in cleanliness and old/ worn out. Really disappointing considering I was paying $400 per night!</t>
  </si>
  <si>
    <t>Very good, thank you!</t>
  </si>
  <si>
    <t>(1/2) 5 excellent. I'm sooo happy with this hotel. Our house keeper is amazing also. Love the way she organizes our things. You guys have such great service. A (2/2) ll future maui trips will be with this hotel.</t>
  </si>
  <si>
    <t>Yes can i have more towels please</t>
  </si>
  <si>
    <t>0 We hated our stay very disappointed</t>
  </si>
  <si>
    <t>Good morning can I have house keeping come to my room please</t>
  </si>
  <si>
    <t>I departed yesterday. I already received my receipt</t>
  </si>
  <si>
    <t>"10" Aloha! We love this Hotel! Out exploring the Island. Room still clean so we are good. Fresh towels Thursday would be great! Thank you! ??</t>
  </si>
  <si>
    <t>experience has been thus far. Please let us know how we may furthe</t>
  </si>
  <si>
    <t>9. Can't seem to get good night's sleep in this bed! Switched out down for cotton, hopefully will help. Otherwise having great time!! All staff I've encountered are so nice! My dog is in heaven!</t>
  </si>
  <si>
    <t>0. The AC in my room (2123) did not work. I left ny suitcase with the bellman and will need a different room for tonight.</t>
  </si>
  <si>
    <t>Requested Towels/ Lotion / Toliet Paper along with trash pick up for 1804 please.</t>
  </si>
  <si>
    <t>Definitely alert-worthy.
 Rationale: This is a stacking-failures complaint ‚Äî late check-in with "runaround," missing in-room amenity, and now a 2+ hour unresolved wait for a simple request. The guest explicitly signals significant dissatisfaction ("hard-pressed to even give a 4") and the sarcastic tone ("go figure") shows escalating frustration. Multiple service failures compounding on one stay is exactly the kind of pattern a Manager should be aware of now, even though Front Desk can still act on the immediate request.</t>
  </si>
  <si>
    <t>Hope we are having a blast! We are at the pool enjoying ourselves! Thank you</t>
  </si>
  <si>
    <t>(1/3)Hiii!! I just completed a wonderful 45-minute workout in your very nice Health Club after a hot made to order breakfast. Of course I'm enjoying my spacious (2/3)Suite. And I had a very huge smile on my face when I walked in and saw the fruit and cheese plate. That was incredibly kind of you. I feel welcomed. I hope</t>
  </si>
  <si>
    <t>(1/5) Simge...something strange is going on? I checked out this morning. I received a call around 9PM last night from the front desk and they asked me if I had (3/5) e phone stopped to going by the time I answered it. Then a minute or two after that I heard someone opening my front door but I had the latch on it so the (4/5) y couldn't get in. I wasn't very pleased. Then I had my bill emailed to me this morning and I had which had a $42.60 charge from Wolleys Bar which I never (2/5) extended my stay and they kept asking me my name. I told them no that I was only there for one night. Then I had a phone call at 11:34PM last night but th (5/5) went to. So there were several weird things that happen ed in my short stay.</t>
  </si>
  <si>
    <t>？ my room number is 5506. Thanks a lot</t>
  </si>
  <si>
    <t>(1/3) First room received was a double bed. Came back to front desk and reported room was to have a king size bed. Reassigned to another room which still had d</t>
  </si>
  <si>
    <t>(10) I pray that you and your loved ones will have a very Merry Christmas and a peaceful, joyous and healthy 2023!</t>
  </si>
  <si>
    <t>So far very good (9). This unit does not have a non-stick skillet, though; is it possible to get one? Thanks for your help.</t>
  </si>
  <si>
    <t>Still having issues with the wifi ! I have try my last name, lower case , upper case and room Number</t>
  </si>
  <si>
    <t>(1/2) Valerie, wow, you are so sweet and efficient, really proffesional and nice in what you do and wonderful. I wish I can see your face and say hello, befor</t>
  </si>
  <si>
    <t>(1/2) I'm not happy with the sofa sleeper. The mattress is old &amp; not comfortable. My back is hurting from feeling the springs of the no support old mattress. Th</t>
  </si>
  <si>
    <t>departure). Desk said I have to pay for Friday night anyway. Can'</t>
  </si>
  <si>
    <t>Everything is great</t>
  </si>
  <si>
    <t>0. Horrible. We had a quite terrible experience, unfortunately.</t>
  </si>
  <si>
    <t>itinerary. We won't be back until 7pm tonight but need it fixed or a change of room Thank you</t>
  </si>
  <si>
    <t>(1/3) It's been the best vacation I've ever had ! The casa marina is the spot I will recommend it to all my friends and family back home ! We've had an excellen (2/3) t experience. Every one is so nice and respectful. We haven't had any trouble with anyone or anything. This place is just incredible. 10 out of 10! Fro (3/3) m the McCallister's!</t>
  </si>
  <si>
    <t>pay first night with a coupon and remaining nights with points did not materialize. My booking still shows using points for all 3 nights and it would b</t>
  </si>
  <si>
    <t>and I did not receive anything.</t>
  </si>
  <si>
    <t>, but outside that area, parking should be complimentary for guests. Thanks for a great stay! 9. It would be a 10 with free parking. Management should reconsider parking fee. Paid parking is required in a downtown core</t>
  </si>
  <si>
    <t>(1/4) Most all things have beem great, but lasy night at 4 a.m. there were two very drunk young men arguing and physically fighting outside our door. We called</t>
  </si>
  <si>
    <t>Hi yes can we get a change of sheets please? And that tampon never came haha so maybe one of those if that's okay !! Thank you</t>
  </si>
  <si>
    <t>Everything has been great. Thank you.</t>
  </si>
  <si>
    <t>(1/2) Your service is a 10. I'd like to send my comments on price to your manager or someone else in charge. But having this direct and very responsive connect (2/2) ion to your Honors members is a wonderful service and increases my engagement with Hilton.</t>
  </si>
  <si>
    <t>(1/3) Thank you for checking in, we have already left but we were very disappointed on how dusty the room was even the coffee pot had an uncomfortable amount of (2/3) dust layered the room looks as if it hasn't been properly dusted in some time, the mini fridge was dirty, and we found change in our bed, I did notify th (3/3) is with the front desk associate.</t>
  </si>
  <si>
    <t>room. The towels in the bathroom were sort of haphazardly rolled and tossed on the side of the counter. I asked for an ironing board to be delivered, a</t>
  </si>
  <si>
    <t>0/5 the staff are terrible.....grumpy. ...wierd looking.....odd...</t>
  </si>
  <si>
    <t>06...my Owners Information meeting started 15 mins late AND ran over way too long 11:53a. I discovered that I do not have HGVC MAX, even though I was told by the Las Vegas office I would have it if I upgraded that day (1/14/21). It costed me alot of points and an additional reservation fee to secure this trip. Parking a vehicle is ridiculously</t>
  </si>
  <si>
    <t>(1/2) Ok...bathtub drain is very slow to drain...standing in ankle deep water after a few min. But LaShawn was super helpful at check in! She's awesome. Please (2/2) give her a raise.</t>
  </si>
  <si>
    <t>I am not at the hotel however I do feel that I should have been compensated for at least one of my nights from the last visit but 1 would be my choice thank you Sasha</t>
  </si>
  <si>
    <t>0... wasnt real happy about the manditory valet parking and resort fee.... took 90 min. To get a burger and tacos that came out wrong... and the elevator on the skyway was broken</t>
  </si>
  <si>
    <t>Definitely alert-worthy ‚Äî Guest reports a billing error (charged for drinks not received) compounded by staff being "nasty and dismissive" when the guest raised the issue. This is a clear staff-conduct complaint with explicit strong dissatisfaction ("terrible," "totally unacceptable"), which meets the bar for Manager awareness regardless of whether Front Desk can also correct the charge.</t>
  </si>
  <si>
    <t>Do I still have a room ,?</t>
  </si>
  <si>
    <t>0. Wrong info about the pool, fecal matter in the first room that my child stepped in with bare feet, 2nd room pubic hairs, then that room was cleaned. While the room was being cleaned the woman in the lobby selling jewelry couldn't be rider. This is disappointing and unacceptable. I have been in touch with the manager but this is ridiculous and unacceptable</t>
  </si>
  <si>
    <t>I am awarding a 9. Not a huge problem, but the ice machine on floor 9 does not work. Other than that we are very pleased</t>
  </si>
  <si>
    <t>Absolutely unfortunately I have some bad news. It was wonderful until today, a kid had an accident in the kitty pool and there was feces everywhere totally ruin our day because it was diarrhea and they had to close Jade Waters today total bummer for my kids.</t>
  </si>
  <si>
    <t>half of the population.</t>
  </si>
  <si>
    <t>(1/3) Good afternoon! Thank you for checkjng in with me. Everything is (3/3) ÔøΩ My rating is definitely a 10! Thank you. (2/3) going great. My room is awesome. I especially love the view! ÔøΩ</t>
  </si>
  <si>
    <t>christelbarto@kpnplanet.nl</t>
  </si>
  <si>
    <t>0- no hot water since yesterday called the front desk multiple times yesterday and this morning issue still isn't resolve. My entire day is ruined. The front desk was very dismissive of the the issue saying to the let the water run. Who wants to come on vacation and pay for a hotel with no hot water.</t>
  </si>
  <si>
    <t>Stay is lovely. Thanks for checking.</t>
  </si>
  <si>
    <t>(7) upon my arrival I prepared a bath and add bubbles. I noticed brownish crude coming from jets. I didn't notice until the tube was almost full. I drained the tube and took a shower when I returned the tube was full of brown gook. I wiped it with a towel and have it to show admin. It was so disgusting.</t>
  </si>
  <si>
    <t>up but I'm wondering if it's the wind 😊 Probably 7!</t>
  </si>
  <si>
    <t>Everything is wonderful. Ty</t>
  </si>
  <si>
    <t>. Your staff is exceptional.</t>
  </si>
  <si>
    <t>0 zero after having been verbally assaulted by a platinum member guest last night while with 3 other women and my 5 year old child! Hard to believe he was still allowed to stay here after what came out of his mouth last night. I can't even come down to talk to you all about it because my son is terrified and doesn't even want to here me talk about it anymore.</t>
  </si>
  <si>
    <t>0 I found a pair of underwear in the bed that didn't belong to me.</t>
  </si>
  <si>
    <t>Not alert-worthy ‚Äî This is a highly positive review praising staff and amenities across the board. No complaint, issue, or concern requiring Manager attention; if anything, it's worth sharing with the team as positive feedback, but not a real-time alert.</t>
  </si>
  <si>
    <t>(1/3) Not good. We had no internet or TV from 2pm yesterday until midnight- now it's out again. We had no hot water but maintenance came and said the hardware w (3/3) our worst visit so far (2/3) as marked wrong plus showed us a trick, now wake up to no coffee maker! We have stayed in Embassy Suites across the country and I must admit this has been</t>
  </si>
  <si>
    <t>I checked out yesterday</t>
  </si>
  <si>
    <t>0 absolutely disgusting. Having to check in late night from a long drive, we had to check in in a dirty room . Dust everywhere. Even dust mite(white bugs moving in the dust) we couldn't accept that stay and had to find elsewhere</t>
  </si>
  <si>
    <t>Really enjoying our stay.</t>
  </si>
  <si>
    <t>#3 ..... Wait too long for elevators. Mostly going down but long lines going up as well. Dirty floors in back area Overall ambiance ruined‚òπÔ∏è</t>
  </si>
  <si>
    <t>no movement in the room while I'm asleep, the motion detector believes the room is "unoccupied " and turns the setting up to 72 (which is way too warm f</t>
  </si>
  <si>
    <t>Good afternoon! Everything is amazing! Thank you! Any way I can get an appointment for a haircut today?</t>
  </si>
  <si>
    <t>(1/4) Well I never complain but I'm going to tell you since you're asking the waitress at the breakfast this morning she was horrible and extremely rude! I can' (2/4) t remember her name but she made the rudest to me in front of one of my colleagues she said that only the buffet was free for Diamond members and not ever (4/4) n my email when someone sends me an email to ask me how my stay was and that's very upsetting rude rude rude! (4/4) n my email when someone sends me an email to ask me how my stay was and that's very upsetting rude rude rude!</t>
  </si>
  <si>
    <t>Hi could you take out the trash and replace the used towels in my room? I'm not home so feel free to go in</t>
  </si>
  <si>
    <t>Hello. We can use some Plastic wine flutes and extra. Bath towels</t>
  </si>
  <si>
    <t>(4) Unfortunately our first day was ruined by doing the vacation club meeting. Was told it was supposed to take an hour an a 1/2 but we were stuck there for 3 hours. Made to feel like idiots by 2 of the rudest people on the sales team over there. I went over there to spend time with my husband and was begged to go to this meeting. We missed our dinner reservations and any time that I would have had to relax by the pool. It has put a really bad taste in my mouth for Hilton to be honest with you and not sure I will ever stay again.</t>
  </si>
  <si>
    <t>Hotel is beautiful. So I give them a 10. Thank you so much!!!!</t>
  </si>
  <si>
    <t>(8) But the shower was horrible. The knob is broke so it was a cold one and the shower head was only as high as my chest.</t>
  </si>
  <si>
    <t>to check out the phone key feature.</t>
  </si>
  <si>
    <t>*24 on the phone isn't working</t>
  </si>
  <si>
    <t>All good! Thank you!</t>
  </si>
  <si>
    <t>Definitely alert-worthy ‚Äî Multiple stacked failures: a toilet that overflowed onto the bathroom floor (potential property damage/hygiene issue), a slow-draining tub creating an unsanitary/unsafe standing-water shower condition, plus a paid dining experience (buffet) that fell short with overcooked prime rib and cold crab legs. The combination of a room maintenance/sanitation issue and a food quality complaint tied to a specific paid experience is enough stacking that a Manager would want real-time awareness, even without explicit escalation language.</t>
  </si>
  <si>
    <t>#10 for the great engineering department.the 1 check in person.</t>
  </si>
  <si>
    <t>0. I paid for sleep park fly. My receipt says sleep park fly. At 3:30am I had to call the front desk person as he informed my daughter (whom I paid for the room for) that she would have to pay $25 per day for parking (8 days total) as he claimed she did not have a sleep park fly package. When I called, he would not budge or look any further into the matter. He stated that she didn't have parking privileges and she could either move her car or pay $25 a day. Since I was in Miami already and couldn't deal with the problem, we paid the money. She was in a hurry to catch her flight and leave on the 3:30am shuttle. I plan to deal with this matter when I return to the hotel on 1/20. I also plan to call corporate as the night manager "Blue" was incredibly rude. I paid for this room in advance to avoid problems. Even the desk attendant that allowed me to pay for the room in advance, and confirmed that it was in fact a sleep park fly room. At this point we will not be staying there again and I will get a refund on the price gouging that occurred at 3:30 this morning. Please note that my daughter is 18 years old and was accompanied by my 16 year old daughter. They had no idea how to deal with this mess!</t>
  </si>
  <si>
    <t>10 Please send housekeeping to my room</t>
  </si>
  <si>
    <t>0 - we checked out. My father died this morning and the lack of compassion from the timeshare marketing staff was disgusting and appalling and I will be dealing with this further once I've buried my father.</t>
  </si>
  <si>
    <t>We are having a great time so far! Our room has a very musky smell to it, not sure if that is normal or not</t>
  </si>
  <si>
    <t>Very good thanks you</t>
  </si>
  <si>
    <t>"3"...the A/C was not working the entire time I was there..could not get a good night's sleep, newborn cried all night because he was so uncomfortably hot. When I called down to guest services and told the lady my A/C was not working she didn't even offer us a different, just told us the maintenance couldn't be there until the morning. Very dissatisfied.</t>
  </si>
  <si>
    <t>have the older and used towels to give back to housekeeping if they don't mind taking them. If not, then I will leave them under the vanity.</t>
  </si>
  <si>
    <t>0 - we had to call to cancel due to a death in our family. So our room was canceled and we were still charged full price of the room plus an added cancelation fee. Really disappointed that not only did we not stay, but were still charged for room that we did not stay in. Really disappointed that we are already dealing with heartache and now just more bad news.</t>
  </si>
  <si>
    <t>$75 dollars for 2 glasses of wine last night. I looked up the cost of a bottle, $23. So I paid over the price of three brand new bottles for two glasses. My score would be a 3.</t>
  </si>
  <si>
    <t>(5 )they have missed cleaning days. Otherwise it's been ok. Not the level of service I'm accustomed to as a Gold member of Hilton. But this is a vacation accommodation vs a business accommodations. And when I asked for a late check out due to flight change from 1pm to 7 pm. I was given an hour ( check out of 11pm)and offered by hotel desk clerk that I was to pay for an additional full day stay. So I guess I will pay for another full day for 5 hours.. so not thrilled Thanks for asking</t>
  </si>
  <si>
    <t>9 Had an incident with a front desk clerk (female) who could not tell how to get to the business Center She told me it was across the street but only appeared to be frustrated as I returned to the corner to clarify where she took me to concierge I later found out she was changing shift The corner individual should be aware of the Hotel name and location if different rather what was interpretation by me</t>
  </si>
  <si>
    <t>0 Your food gave me food poisoning and ruin my vacation</t>
  </si>
  <si>
    <t>0-1 No one returned my text🤷‍♀️</t>
  </si>
  <si>
    <t>Things are great! Could we get some more toilet paper though?</t>
  </si>
  <si>
    <t>-1 checked out refrigerator was very loud during nite tuned off mattress was terrible bathroom and shower a mess this was by far the worst Hilton ever stayed at</t>
  </si>
  <si>
    <t>Brian it is 10. Thank you</t>
  </si>
  <si>
    <t>Hey Angela, thank you for checking in. I have an odd question.. the air in my room felt extremely dry.. do you guys have any humidifiers or anything? I have asthma also so not sure if thats what's flared up or what</t>
  </si>
  <si>
    <t>9 but minus 1-3 points for the following: 1) No service offered to stock the refrigerator, 2) poor parking near our assigned building and 3) wasted property space. We feel some of the lake space could have been put to better use with a lazy river feature instead. Both pools are disappointingly small for the size of the property. Short of that the accommodations are comfortable.</t>
  </si>
  <si>
    <t>"10", it's excellent! Thanks</t>
  </si>
  <si>
    <t>regular show and no seat?</t>
  </si>
  <si>
    <t>0 our thermostat was broken. We had to move to a sleeper room. This morning I went back to our room to shower and get ready, the drain was so slow the shower tub filled up. Then to top it off....I only had decaf coffee in the room. We had to go back and get coffee out of the sleeper room because it never got delived after I called. I understand that the hotel is at capacity but this is unacceptable. We invested in Hilton as timeshare owners and are incredible disappointed in our accommodations.</t>
  </si>
  <si>
    <t>#4. Toilet issues for the last two nights. Not flushing/overflowing. And it runs constantly, makes a lot of noise. Maintenance people have been wonderful. But it's annoying to have these problems on vacation.</t>
  </si>
  <si>
    <t>"5" only - the thermostat in the room does not seem to be working.</t>
  </si>
  <si>
    <t>We are good! Thanks for checking!</t>
  </si>
  <si>
    <t>**Definitely alert-worthy**
 Rationale: The guest reports being checked into an *already-occupied room* ‚Äî a real security/privacy incident (risk of walking in on another guest or vice versa), not just a minor inconvenience. Stacked on top of that are three additional failures (broken phone forcing speakerphone use, non-functional remote blocking movie ordering, and inability to check out online) with a low satisfaction score (4). This is a clear case of "multiple failures stacking up," and the occupied-room mistake alone is a security-relevant lapse a Manager should know about now, even without an explicit request for escalation.</t>
  </si>
  <si>
    <t>"10" We're having a great time.....especially my son and his family are loving it!!!</t>
  </si>
  <si>
    <t>10. Stay is great. no house keeping needed</t>
  </si>
  <si>
    <t>0.... the fridge is broken and all of my food is spoiled, there's a screaming baby next to me and she cried &amp; screamed most of the night and morning. My shon mmh wer is scalding hot, was unable to take a shower this morning. The bed is beyond lumpy, worst night sleep ever. When you walk outside all you can smell is cigarette smoke, people should not be able to smoke near the building.</t>
  </si>
  <si>
    <t>It's good thank you</t>
  </si>
  <si>
    <t>-1 after staying 4000 plus nights in my travel lifetime it was the worst CX ever. No coffee maker in the room and the bathroom was not fit for human consumption. Hilton should be embarrassed to have their name associated with the a Palmer YMCA</t>
  </si>
  <si>
    <t>Everything is good, thank you!</t>
  </si>
  <si>
    <t>-1. That's negative one. Had to cancel because of potential coronavirus exposure. In spite of that, Hilton has still assessed a cancellation fee, despite continual explanations. Frustrating that a large corporation maintains this rigidity and insensitivity during uncertain and unprecedented times. Marriott next time</t>
  </si>
  <si>
    <t>I checked out, but thank you.</t>
  </si>
  <si>
    <t>and we're here at the park</t>
  </si>
  <si>
    <t>Hi are there tesla chargers on the property</t>
  </si>
  <si>
    <t>-2 I'm not pleased with the amount of trouble it took just to get my room serviced. I've been here for 7 nights and had asked housekeeping day 4 and 5 and they told me no, finally on day 6 I went to the front desk and had to jump thru hoops to get a service. Also my WiFi does not work. This whole stay has been a bad experience and I plan to contact corporate..</t>
  </si>
  <si>
    <t>How can I add another night to my stay ?</t>
  </si>
  <si>
    <t>TV, clock, safe and phone did not work. Last night we could not get into our room because the battery in the door lock was dead. The clock, door lock and TV were fixed. The phone and the safe still don't work!! What's going on??</t>
  </si>
  <si>
    <t>Yes 10 everything is great so far - thank you</t>
  </si>
  <si>
    <t>Our stay has been poor. Although like you are struggling from Covid the hotel itself is tired. When we checked we discovered housekeeping is every other night, there are no robes in the rooms, no towels at the pool, pool dirty and not cleaned until noon, chairs have bird poop, no water in the gym maybe offer bottles there. The gym was dirty. The food is limited. I have a group coming tomorrow for a fun weekend and wish it were nicer for my employees.</t>
  </si>
  <si>
    <t>0, there were bed bugs so we left Stop contacting me</t>
  </si>
  <si>
    <t>Definitely alert-worthy ‚Äî Loyal, frequent SPG guest reports multiple stacked failures (key access, club lounge, slow drain unresolved after two requests, wifi/room recognition issue) plus a checkout interaction where staff was dismissive and argued with the guest rather than acknowledging the problems. Explicit strong dissatisfaction ("worst experience I have ever had") from a high-value repeat guest, combined with a staff-conduct complaint, clearly warrants Manager awareness now.</t>
  </si>
  <si>
    <t>10! It's been wonderful :)</t>
  </si>
  <si>
    <t>-1!!!!. We have had the worst experience imaginable..it's our 30th anniversary and we had to stay in a room that was cold. Front desk sent us a space heater to keep warm. We went down for breakfast this morning and the breakfast area was cold. Everyone was wearing coats and complaining about their rooms being cold last night!. We are highly disappointed in our Embassy Suites experience. We will be checking out today and finding hotel accommodations elsewhere!. I will be contacting corporate early next week!. I am hoping to be re-inbursed of all monies paid....this an unacceptable way to be treated on our 30th anniversary. We chose Embassy to accommodate us out of all the hotel chains available and it's been a nightmare.</t>
  </si>
  <si>
    <t>kept me awake. The bathroom door lock didn't work. The bathroom sink doesn't turn off right. Things just added up.</t>
  </si>
  <si>
    <t>We checked out. It was great.</t>
  </si>
  <si>
    <t>0 rating on restaurant. Last night service was terrible and today ordered lunch and the server said they couldn't find me. I was sitting at the bar the whole time with the number they gave me. All I ordered was a burger. Service sucks</t>
  </si>
  <si>
    <t>1. Again, as I said in a previous text, we checked out early, after 1 day because the experience was so poor. What is the point in asking a guest their opinion if no one cares or follows up? Is it just to waste more of the guests time???.</t>
  </si>
  <si>
    <t>expectations. This problem only showed me how well the team works together when there is an issue. Please thank not only those involved but the whole st</t>
  </si>
  <si>
    <t>"10" - Enjoying every minute..mahalo!</t>
  </si>
  <si>
    <t>general the staff are so excellent</t>
  </si>
  <si>
    <t>8 out of 10 Two outlets one in each both bedroom doesn't work. Also in the main bedroom, in a utility closet, there's a constant sound of water running I don't know if it's the main piping but I was keeping my daughter up last night</t>
  </si>
  <si>
    <t>assist me with the cancellation. I'd say solid 8</t>
  </si>
  <si>
    <t>Cole. I stay at this hotel every time I'm here. Never had any issues but last night, I crawled into bed and discovered that there was blood on my sheets. I slept in that bed Thursday night. Didn't notice Thursday bc we got back at midnight but I'm completely disgusted that I slept in that bed. The bed can be looked at in room 421. I'm now in 419. They brought up sheets and nothing else. They did move me but I did have to sleep in that bed the first night, not checking it first. What is going on with no heat in any of the rooms?</t>
  </si>
  <si>
    <t>It's been ok. Last night the front desk said they were going to get us a dining credit bc we had some difficulty.</t>
  </si>
  <si>
    <t>**Not alert-worthy** ‚Äî This is a positive review praising staff (Wen Wen and partner) for excellent, friendly, courteous service, plus love for the room and view. No complaint, issue, or concern present. While positive feedback like this is great for a Manager to see for recognition/morale purposes, it doesn't meet the bar for a *real-time alert*, which is meant to flag issues needing immediate Manager attention. This could be routed to Manager through normal positive-feedback channels, but no urgency is warranted.</t>
  </si>
  <si>
    <t>(7) the toilet in the main bedroom continues to drain and make nois</t>
  </si>
  <si>
    <t>- The safe on the roomnis not working; - the shower is not good, almost nothing water - I tried to rent a car with a driver with the concierge, he confirmed the car but today the driver (mr. Fludd) could not come; However today: - the new concoerge help me with tickets to aquarium - everybody is kind with us - breakfast is good, however the saloon is a little beat dark So far, so good: 7</t>
  </si>
  <si>
    <t>(has a small ripe) causing residue making me sneeze 🤧</t>
  </si>
  <si>
    <t>We just had a terrible experience at the golf course. We had a 10am reservation under my name "Keegan Martin". On our first swing the the ranger working at the at the first hole pressured us to hurry up. My wife who is recovering from breast cancer surgery got so upset with him she walked off the course and went to her room. I tried to play a few holes with my son but we felt so bad my wife left and so rushed and people were so rude that we left after 6 holes. My wife was in the room calling me crying the whole time we were trying to play. This day has been a total disaster. The golf club refunded my wife's round but really the whole thing was a terrible disappointment and I felt we should have been reimbursed for the whole thing. We ended up canceling tomorrows golf reservation as well since we had such a stressful time there. Is there something else that can be done on your end? Any help would be greatly appreciated. Also we are now looking for some other activities since golf is ruined. Is there a tennis court near by? Any suggestions? Thanks. Sorry for the huge text. Not usually my style LOL.</t>
  </si>
  <si>
    <t>Virginia you all get a 10. Thanks for getting the flower to the room. She was quite surprised!!!</t>
  </si>
  <si>
    <t>had ended in the winter. Dinner was lovely and the pool was very enjoyable.</t>
  </si>
  <si>
    <t>When we checked in we dropped off our luggage in our room, and noticed there were not enough pillows or towels. We also noticed the ceiling light in the living area was broken. I went to the front desk, they gave me two sets of towels, sent someone up from maintenance to fix the light. At that time I also mentioned that the window sheers were ripped (first thing we noticed as it was at eye level). When we got back , the pillows were not there and my wife noticed only one coffee cup was near the coffee maker. (She went down to the front desk to get both). It was only moments later that we were livid upon noticing the cleanliness of the room. IT WAS DISGUSTING (see video and pics attached). I went down to the front desk and spoke to Aileen, who was very nice, but very embarrassed.</t>
  </si>
  <si>
    <t>We didn't end up staying</t>
  </si>
  <si>
    <t>(1/3) Hi Veronica. The room is great. I like the view. The bed is comfortable. The hotel facilities and amenities (gym, cafe n market, pool, pool side bar n bi (2/3) stro, wi-fi) are great. I like the fruit infused water vessels on every floor. My only complaint thus far is the bathroom lighting seems a bit dim. Need t (3/3) o put brighter bulbs in the fixtures. Thanks. - Scott</t>
  </si>
  <si>
    <t>- 1 dirtiest most dated Hilton room we have ever stayed in in my entire life. We would never come back to this property and obviously never recommend it to anyone. We are here with a wedding party of 100 people and it is embarrassing. Extremely disappointed on all levels of room quality bed linens chairs couch kitchen horrible. Extremely disappointed for the amount we have paid.</t>
  </si>
  <si>
    <t>#4 you guys told me I would get a suite upgrade and also parking gate will jot open with our room keys. I'm very disappointed with this reservation</t>
  </si>
  <si>
    <t>-5. There was someone else's poop in our bed. Front desk gave us a $220 credit. But that is just GROSS!!! No cups or drinking glasses. Really should have been given a full refund considering the potential health issues.</t>
  </si>
  <si>
    <t>(1/2) 10! I have LOVED staying here. The hotel is clean and accommodating, the staff is friendly and professional and the complimentary amenities are impressive (2/2) . I will definitely be back.</t>
  </si>
  <si>
    <t>0 Worst service Worst Hilton experience ever May never stay at a Hilton property again</t>
  </si>
  <si>
    <t>0 we had to wait almost four hours for our room, the service desk staff were not very helpful in letting us know any information. When we finally obtain our room the kitchen was not stacked for party of five, it only had dishes for a family of four. I will not stay here anymore. I was also here for a possible timeshare however the customer service for the timeshares were not very helpful and stated that they had no contact information n the hotel. Overall it ruined my family vacation.</t>
  </si>
  <si>
    <t>Tanya, can you please reach out to the spot and see if they can get my wife a massage today? I know they're filled up but if there's anyway that you could make that happen, she's a cardiologist in her back is in a lot of pain and we had a very long flight. Maybe you have someone that can come to the room? What do you think?</t>
  </si>
  <si>
    <t>(1/2) Tim, everything is great so far. Staff is friendly, hotel amenities are outstanding, and the room is clean and well appointed. I'd give it a 9 just becaus (2/2) e, well, no body is perfect.</t>
  </si>
  <si>
    <t>Not alert-worthy ‚Äî This is a positive compliment about staff (Wen Wen and partner) and the room/view; no complaint or issue requiring Manager awareness. Though sharing praise with the Manager could be nice for recognition purposes, it doesn't meet the bar for a real-time alert since there's no dissatisfaction or issue to address urgently. Front Desk can log/pass along the compliment through routine channels.</t>
  </si>
  <si>
    <t>0 - When I arrived our light nor our phone worked. We were moved to another room and the bathroom doors broken. I wasn't able to lay down until 5:30 in the morning. This morning. There's no service at the cafe so I had to stand in line for over 40 minutes to get breakfast. There's no available seating at the pool. The bartenders wont let us sit at the pool bar. The entire property doesnt have champagne. No I'm not enjoying my stay.</t>
  </si>
  <si>
    <t>Visit is nice. Can you arrange for warmer weather? 😊</t>
  </si>
  <si>
    <t>)It started out as an 8.5, but Ralph and Jenny - you guys are making my stay a 10. Excellent attention to details and the warm hospitality. Ralph definit )ely pegged the Customer Service meter. That has made the room cleanliness a distant memory. Jenny thank you for checking in. I am truly grateful.</t>
  </si>
  <si>
    <t>little ants around our bathroom sink. Also, the door handle inside our shower room is loose and jangles every time you close the bathroom door in the mi</t>
  </si>
  <si>
    <t>0. This trip is aweful. This is the absolute worst Hilton experience I've had in 30 years. From making the reservation to checking in and eating in the hotel. All horrible. Horrible. Absolutely horrible. Rude staff. Lazy people with zero interest in service. I was actually told that no one answers the phone at southern elements because it "make them too busy". I have never once in 30 years filed a complaint. This is horrible and I will absolutely pursue this complaint to the highest level possible. You crapped on the wrong client.</t>
  </si>
  <si>
    <t>(1/2) Everything was great. Everyone we encountered was super wonderful. Very impressed with the workers from front desk, to valet (Will) and housekeeper. Sup (2/2) er friendly staff.</t>
  </si>
  <si>
    <t>clean the probably didn't change it after the next guest</t>
  </si>
  <si>
    <t>You deactivated my key. I was checking out at 2;30. Now I can't get my stuff.</t>
  </si>
  <si>
    <t>, thank you so much for checking in on me I am enjoying myself very much so at this particular Hotel your staff is great and you're great for taking the time out to check on me I appreciate that thank you very much</t>
  </si>
  <si>
    <t>Just a 3 bc the room smells very musty Air doesn't cool down room much TV in front area is not functional Carpet very stained We have stayed here before but unfortunately you all need to work on updating a freshening the rooms up it is a disappointment</t>
  </si>
  <si>
    <t>to remedy our thermostat control issues very quickly, this was very appreciated. We have enjoyed the pool daily and the playground.</t>
  </si>
  <si>
    <t>0!!!!!!! I hate I paid for this mess.</t>
  </si>
  <si>
    <t>It's been really lovely. A gentleman from the risk department gave me a call this morning to see how I was feeling as I was under the weather last night and they had called EMS for me. Please tell him thank you so very much I am touched by his kindness. Everything is just really really great thank you so much!</t>
  </si>
  <si>
    <t>10 but my only question is we brought our Apple TV device and we are not sure how to hook that up to this TV any advice?</t>
  </si>
  <si>
    <t>Horrible service. My room not cleaned when I went up at 3:30. Breakfast horrible. Hard pancakes. To charge for parking is a disgrace The holes in the awning ear the pool. Not neat appealing atmosphere</t>
  </si>
  <si>
    <t>(1/3) Good morning Merve (: thanks for checking in--everything's ok overall, however there's a maintenance issue with the toilet--(very loose &amp; wobbly) ironica (2/3) lly I had this same room last week and reported it upon check out. (Issue was noted &amp; written up but toilet hasn't been fixed yet apparently). Also, would (3/3) like to request a "late check out" if possible please. Thanks Merve. (:</t>
  </si>
  <si>
    <t>Good morning. So as discussed I need to check out I guess and check back in with new res and stay in same room. Do I need to go to front desk to do that</t>
  </si>
  <si>
    <t>**Probably alert-worthy** ‚Äî The guest reports being ignored/unanswered, which hints at a service failure or unresponsiveness, but there's no detail on what the question was, how long they waited, or the impact. Not enough specificity to confirm it rises to Manager-level (e.g., could be a minor front-desk miscommunication or could reflect a bigger pattern of neglect). Worth flagging for visibility, but not clearly "Definitely" without more context.</t>
  </si>
  <si>
    <t>(1/2) God is good! He put people, places and things togather to serve and to love each other. Cleo and I would like to thank Dave Tinsely and staff for making (2/2) our 57 year anniversary and my Father's Day commemorable pose. Cleo and I choosing Hilton to celebrate our 57 years and Father's Dayy a chance meeting</t>
  </si>
  <si>
    <t>Hi, may I get some of the travel size hand lotions delivered to my room? My privacy sign is on the door so if they could put it in a bag on my door, I would appreciate it. Thank you.</t>
  </si>
  <si>
    <t>00 hilton points but BFD. Not very happy. Otherwise ok.</t>
  </si>
  <si>
    <t>(1/4) Having an awesome time in our stay at the Hilton. My family and (2/4) I rate you a "10". Beautiful room and great customer service. Th (3/4) e staff is friendly and they are there for us if we need their a (4/4) ssistance. Thank you??</t>
  </si>
  <si>
    <t>Very good so far, thanks.</t>
  </si>
  <si>
    <t>will bring to room.?</t>
  </si>
  <si>
    <t>#4, All the staff are very friendly, but the lady who manages the breakfast is so attentive, pleasant, and knows proper food handling��? #4, All the staff are very friendly, but the lady who manages the breakfast is so attentive, pleasant, and knows proper food handling��?</t>
  </si>
  <si>
    <t>We can't seem to get the microwave to work</t>
  </si>
  <si>
    <t>Not the best Hilton Stay I booked for the Hilton Lounge access and it is closed - we get 15 each a day credit for breakfast - but breakfast buffet is $30 each with gratuity - not a good compensation for a broken system/amenity that was not pre disclosed- better compensation needed . 2. The shower is very hard to operate - the pull mechanism is hard to work Not my usual diamond experience thus far</t>
  </si>
  <si>
    <t>Beautiful hotel. Outstanding friendly, helpful and gracious staff!!</t>
  </si>
  <si>
    <t>a quieter suite. Please let let know.</t>
  </si>
  <si>
    <t>1 The drill is horrible and couldnt do my online work meeting neither sleep. I am with migraine now and eventually left the room to not make it worse. Very disappointing hilton experieence. Although I am a lotal customer, but thebreviews will be very bad.</t>
  </si>
  <si>
    <t>(1/2) I would rate my stay as 5. Thanks for the excellent customer service, delicious breakfast, and the great room service. We enjoyed our weekend and will de (2/2) finitely be back!</t>
  </si>
  <si>
    <t>10 absolutely excellent</t>
  </si>
  <si>
    <t>#10, pool could be a little warmer üòÉ, staff are all friendly and cheerful, everything is very clean and well maintained. Walking trail is great!! Schedule of events like water Zumba and music posted at pool to see . Thanks!</t>
  </si>
  <si>
    <t>0 not to good my first room had bedbugs in 406</t>
  </si>
  <si>
    <t>the room. Also sink faucet runs VERY hot. Could be harmful.</t>
  </si>
  <si>
    <t>(1/3) Good morning Austyn, So far i would rate it a 7.5. The stay has been great though so far as we continue to explore more of the hotel hopefully this number (2/3) will increase. We just had one issue, We saw the housekeeper and she never came to clean our room. (1784). I had to get the new towels from another staf (3/3) f member passing the vacuum. I hope you have a nice afternoon. Let me know if you need any more information. Thanks for checking up.</t>
  </si>
  <si>
    <t>**Not alert-worthy** ‚Äî Guest reports a mild inconvenience (25-minute wait for breakfast) and offers their own understanding of the cause (game-day crowds), with a matter-of-fact, non-frustrated tone. No staff conduct complaint, no escalation signal, no stacking failures. This is routine volume/timing feedback Front Desk can note or address operationally.</t>
  </si>
  <si>
    <t>A 9, the only complaint I'd the cold marble floor in the bathroom. Not a huge deal, good thing it's not winter.</t>
  </si>
  <si>
    <t>they Hilton? Going to Old Cafe Vienna for dinner.</t>
  </si>
  <si>
    <t>(1/3) 8. Had a great time. Would have been a 10, but room was a bit drafty and waited 3.5 hrs at check in. I realize check in is only guaranteed by 4pm. but (2/3) as we waited, we watched many people walk in and receive their rooms on the spot. Fortunately, the lobby bar was comfortable and we enjoyed our wait tim (3/3) e with drinks and light snacks. Dinner at Brissago (sp?) was excellent!</t>
  </si>
  <si>
    <t>need to have corrected. Thanks very much for checking in.</t>
  </si>
  <si>
    <t>(1/3) I give this hotel a 10, The hotel and staff are wonderful. Christine at the front desk is awesome. She was do friendly and assisted me with an earlier che (2/3) ck-in process. I would definitely recommend this hotel. Very happy with my stay, room and view. It also just a short walk to the beach, stores and restau (3/3) rants.</t>
  </si>
  <si>
    <t>handle Amazon deliveries?</t>
  </si>
  <si>
    <t>Going well. I will be leaving in the next 15 min. My email is romane.paul15@gmail.com</t>
  </si>
  <si>
    <t>(1/2) Hi...Total 10, but there was an insect in my restroom this morning. Love, love, lovee the atmosphere, environment, ambiance, and staff! I lost a new j (2/2) ournal I bought here last night. It was found and brought to my room late last night. You guys are awesome!</t>
  </si>
  <si>
    <t>Hello Curtonzia, I appreciate the follow up. Normally my response to these are everything is good or great. I am a lifetime diamond member and have been staying at Hilton properties for decades, I can't ever remember feeling so unhappy with a stay. When I arrived, I only had one towel, not a big deal, except when I call for wash clothes and such no one answers, and I have to spend 20 minutes waiting in line because 10 people are checking in and only one to two people are checking them in. I get towels brought to my room, but I had to do this two more times this week. My stay got extended, so I ask about laundry services. I am told you have laundry services at the hotel, but no laundry detergent, but I could send my laundry out. I plan my stay based on hhis information, but when I go to do it, I find out the hotel charges $3 a sock, $5 for underwear, an arm for a pair of pants, and my first born for a shirt. For something that the hotel will probably get charged $2 a pound for, I would have been charged over $200. That was now not an option. The girl at the desk brought up laundry services in the building, but 3 days later, not only do you still not have laundry soap, it still wasn't ordered yet, and I can go to Walmart or whatever. Probably would not feel this way, but I have been here 6 days and have "requested" cleaning services for 3 days now, and even though I have been told I will get service, still nothing. I now have 6 days of towels taking up my entire bathroom, and the smell from 6 days of garbage building up got so bad, i had to put it out in the hallway. In nearly 20 years at staying at Hilton properties, I don't recall ever sending a note like this, but it was just one thing built on top of another, and my response to you is that I am ver disappointed in my stay. To whom it may concern, I sent the above text yesterday and not only did it take 14 hours to get a response, but my room still never received any service. Ironically, at 9:30AM this morn</t>
  </si>
  <si>
    <t>Hello, can my family and I get a ride from building 7 to the registration building?</t>
  </si>
  <si>
    <t>(2/2) a thoughtful employee. Thank you very much! I rate you a 12 out of 10! (1/2) 10 out of 10!!! Very happy. Paula also thank you very much for the gift basket for my wife's birthay. This Hilton is very lucky to have you. You are such</t>
  </si>
  <si>
    <t>0. This has been going on for hours</t>
  </si>
  <si>
    <t>-100 I got pink eye from your hotel</t>
  </si>
  <si>
    <t>#10 the room is great and the view is beautiful! Also you have some of the best hotel shampoo &amp; conditioner I've come across. Its the little things haha, thank you!</t>
  </si>
  <si>
    <t>I'd have to say a 2 since the building fire alarm went off last night at 1:48am and evveryone had to exit the building when there wasn‚Äôt a fire. I had a horrible nights sleep.</t>
  </si>
  <si>
    <t>(9) only complaint you need to put the lounge back to ready status fully loaded with snacks. I was one of the best ideas at the all expenses of a hotel, the lounge with snacks.</t>
  </si>
  <si>
    <t>**Probably alert-worthy** ‚Äî A full service failure (Room Service completely unavailable Friday night) combined with a 15-minute hold time abandoned is more than a minor inconvenience; it suggests a possible staffing/operations gap on a peak night. However, there's no indication of guest escalation intent, staff rudeness, or broader pattern, so it doesn't clearly meet the "Definitely" bar. A Manager may want visibility into whether this was an isolated issue or a symptom of a Friday-night staffing problem, but the message alone doesn't confirm severity beyond a frustrating single incident.</t>
  </si>
  <si>
    <t>Having a 10 day , thanks</t>
  </si>
  <si>
    <t>"4" hotel &amp; room. View amazing. Concierge is great! Breakfast, how do I say it, good but price steep! Service great. Enjoying our stay.</t>
  </si>
  <si>
    <t>Im you have the wrong number</t>
  </si>
  <si>
    <t>It was great ?? 10 We enjoyed everything. Excellent service. Very friendly. Thank you, Rosa Tavera</t>
  </si>
  <si>
    <t>Can we get 4 more towels please</t>
  </si>
  <si>
    <t>Hi Eric, lol. We are very much enjoying our trip. The room is amazing. Thank you for your help. My wife already loves this place and this just makes a birthday weekend she will never forget. Thank you so much again.</t>
  </si>
  <si>
    <t>10 amazing Th thanks for the offer 🥰</t>
  </si>
  <si>
    <t>Check with Amy. 203-247-5665</t>
  </si>
  <si>
    <t>Great place. Wish I would have checked it out before now. You guys are a 10 in my book!</t>
  </si>
  <si>
    <t>Hi Andrea, I hope all is well. Thank you for checking in, appreciated. Hotel is beautiful, happy to be back. However, as you may know, our check-in and first night were rocky. Hoping today is better! We were disappointed since our room was not available until nearly 2 hours after check-in, so we did not get to enjoy the amenities as planned. Had we been made aware at check-in, we could have planned accordingly. Then, when making the pull out bed for our kiddos, upon removing the cushions, we found crumbs/food in the pullout, bedding had not been changed after previous hotel guests. Housekeeping had to be called and came at approximate 9:30 pm.</t>
  </si>
  <si>
    <t>feet since the tub was filling up while I was showered</t>
  </si>
  <si>
    <t>(1/3) Score 10: staff are very nice. They took care of my phone for me cause I had misplaced it, left it in the front while waiting for a wheelchair. Didn't g (2/3) et wheelchair in time and we had to leave. We struggled with my disable daughter last night when we were out, but I guess that happens. But besides that (3/3) , your staff are super! Room is super too. Thank you.</t>
  </si>
  <si>
    <t>No need for service ,</t>
  </si>
  <si>
    <t>Definitely alert-worthy.
 Rationale: Guest paid a premium rate but experienced multiple stacked failures (no proper bed, no hot water, no A/C) for the first 24 hours, describes it as "the worst night of sleep I've had in over a year," and is explicitly signaling a compensation expectation (the night should have been comped) while still being charged full price. This combination of multiple service failures, strong dissatisfaction, and an implicit billing dispute/escalation intent means the Manager should be aware now, even though Front Desk will also be handling the immediate response.</t>
  </si>
  <si>
    <t>side? They used to be included in the rooms... Missing the zoom</t>
  </si>
  <si>
    <t>(1/2) Hello there yes our stay was lovely. The sleep was great in the comfortable bed, I really enjoyed the quietness my room location with designated smoking a</t>
  </si>
  <si>
    <t>hopefully today is better ❤️</t>
  </si>
  <si>
    <t>(2/2) eciated in our current situation! THANK YOU! (1/2) Oh!!! Thank you for checking on us! Yes do far we have been very comfortable! From the initial phone call i felt welcomed! Feeling welcomed is mostly appr</t>
  </si>
  <si>
    <t>Thank you... all is great!</t>
  </si>
  <si>
    <t>of us don't work either.</t>
  </si>
  <si>
    <t>Thank you for checking! My experience didn't start as expected at all, but Abby made it much better on yesterday. My allergies have finally calmed down so it had to be the room. Her empathetic service should be recognized and duplicated. I was told management would reach out a couple of times through yesterday so I'm glad to see this message.</t>
  </si>
  <si>
    <t>Things are good. Only complaint is our fridge doesn't open properly as it gets stuck on the cabinet for washer/dryer.</t>
  </si>
  <si>
    <t>(1/2) Rating 10 ! Carol, I have been here at the Embassy Suites on 17th St. so many times and I am always delighted. My sister in law took advantage of your (2/2) Snack room on 11 last night and was very pleased with that unexpected benefit. Thanks for excellent follow through. See you again soon. Sandy Preusser</t>
  </si>
  <si>
    <t>Chloe, everything is perfect. Thank you.</t>
  </si>
  <si>
    <t>traveling with 3 kids under 10</t>
  </si>
  <si>
    <t>(1/2) Our stay was very good a 4 - pillows were a little to soft but everything else was fine and the rate was reasonable especisally with the free breakfast. (2/2) Personel were most pleasant. Will be sure to make our stay there again providing rates are no higher. Thanks again for great hospitality Momma Joe</t>
  </si>
  <si>
    <t>Definitely alert-worthy ‚Äî Guest reports possible bed bug bites (with blood, and a specimen retained) and explicitly states dissatisfaction with how follow-up communication was handled after the manager's initial pest response. This is a health/safety concern (potential pest infestation) combined with a service-recovery breakdown and a clear statement that the experience fell below past standards ‚Äî the kind of issue a Manager needs to be aware of immediately, especially since a manager was already involved and the guest still feels unresolved.</t>
  </si>
  <si>
    <t>That was a little weird to me.</t>
  </si>
  <si>
    <t>(1/2) 5. Very happy. My only wish. Instead of always having to do the breakfast buffet (Amex Deal)....would love to just have a daily credit and order room ser (2/2) vice. Breakfast on our patio would be lovely.</t>
  </si>
  <si>
    <t>We had a great time. We will be back thanks for all your help 10</t>
  </si>
  <si>
    <t>machine with detergent and fabric soften was out and her reply was. "Did you call maintenance?" I said no and and her reply was "oh well". Pool area bea</t>
  </si>
  <si>
    <t>(1/2) Hi Haley. We had a wonderful stay. The room was very clean and the staff were very friendly. I will recommend the hotel to my friends (2/2) and family. I would rate the hotel a 4. Thank you.</t>
  </si>
  <si>
    <t># 6. There is no hot water in my shower yesterday and today</t>
  </si>
  <si>
    <t>Everything is great thanks</t>
  </si>
  <si>
    <t>(1/2) 5! Definitely. I have checked out and am at SFO. Feel free to send me a survey to comment. I enjoyed casablanca and the kindness of your staff immensely. (2/2) Great job!!</t>
  </si>
  <si>
    <t>0 I called and was told that a manger would call me at 9 or 930 haven't spoke with one</t>
  </si>
  <si>
    <t>Good morning Mr. Barnes, thank you for traveling during these turbulent times and for choosing our hotel! It means more to us then you know! I hope we exceeded your expectations. If we fell short anywhere I want to know about it so I can make it right. Need a little more time before this stay ends? Extend your departure time for a minimal fee. Please text me back to check on availability and rates for a later check out time. I hope you will have a safe journey home and that you are already making plans to come back and visit us again! -Mandie I got this</t>
  </si>
  <si>
    <t>. All is wonderfull!! 10</t>
  </si>
  <si>
    <t>Good morning. So far so good. The room is comfortable and everything has been great. Thanks for checking. Julia.</t>
  </si>
  <si>
    <t>Thanks for checking in! The only thing I was going to come ask about was my welcome drink vouchers . I think it may have been missed when I checked in b</t>
  </si>
  <si>
    <t>**Probably alert-worthy**
 Rationale: The guest is a top-tier loyalty member (Pres Club) expressing pointed frustration ("???", sarcastic quotes around "upgraded") about not receiving a benefit tied to their status. This is more than a routine complaint ‚Äî VIP-tier benefit failures often signal a service delivery gap that could affect loyalty retention. However, there's no indication of extreme escalation, staff rudeness, or safety/legal concern, and Front Desk may be able to resolve it by checking availability or explaining the upgrade policy. Still, given the guest's status and visible irritation, a Manager may want visibility to ensure the recovery is handled well and to check if this reflects a broader upgrade-inventory issue for elite members.</t>
  </si>
  <si>
    <t>Can I get some clean face towels and wash rags room 317</t>
  </si>
  <si>
    <t>Hello Jordan, It's been wonderful. The room was sparkling and in perfect working order. Please thank housekeeping and maintenance. Breakfast in the restaurant has been excellent, please thank your chef and staff. The waitress for breakfast has been friendly and served us well, Maybe her name was Amy - my husband can't remember and I wasn't there when she first seated us - but She said she'd be there tomorrow morning again for our breakfast! Thanks so much for checking on us - Sarah McCarty</t>
  </si>
  <si>
    <t>about getting one of Chicago's heavenly deep dish pizzas but we don't have any place to put what will be the leftovers</t>
  </si>
  <si>
    <t>(1/2) 10. Perfect room positioning thank you so much for coordinating your efforts definitely made this event for us and Friends an excellent experience thank y (2/2) ou for making that reality</t>
  </si>
  <si>
    <t>I checked out of room 336 yesterday</t>
  </si>
  <si>
    <t>Place is fantastic. Only one issue, the dryer doesn't have heat. I called this am about it. I am airdrying some clothes on the patio</t>
  </si>
  <si>
    <t>(1/3) I am having a wonderful time! Once the comforter was replaced w (3/3) y!! I love my room!!! 5⛤⛤⛤⛤⛤ Letha (3/3) y!! I love my room!!! 5⛤⛤⛤⛤⛤ Letha</t>
  </si>
  <si>
    <t>great stay. Hope you have a great day!! "</t>
  </si>
  <si>
    <t>Hi, Macy, our rating would be about an eight. It's a lovely property, as we expected, and the rooms are very nice and the service quite good. A couple of negatives are that the construction detracts from the ambience of the experience, and we were not told to expect that when we made our reservation about a month ago. Secondly, finding the spa this morning proved to be quite an adventure, taking much longer than it should have because the signage was quite inadequate. Otherwise we are having a nice relaxing time. Thank you for asking.</t>
  </si>
  <si>
    <t>Very nice thank you. Is it possible to schedule housekeeping for 1.30/2pm? Also the toilet seat is very loose. If someone is able to fix that that would be great</t>
  </si>
  <si>
    <t>**Probably alert-worthy**
 Rationale: The guest expresses clear frustration (emphasized by "!!") about not receiving a response to something ‚Äî but the message gives no context about what they were waiting for (a service request, a complaint, a question, etc.) or how long they waited. This could range from a minor unanswered inquiry to a more serious unaddressed issue. The emotional intensity signals potential brewing dissatisfaction worth Manager awareness, but there's insufficient detail to confirm it's a significant issue requiring definite escalation. Front Desk should follow up immediately to clarify the underlying issue, and if it reveals a pattern of neglect or a serious unmet need, it should be escalated further.</t>
  </si>
  <si>
    <t>need to look at it again sometime before the next guest uses this room.</t>
  </si>
  <si>
    <t>(1/3) Boca Raton Resort &amp; Club this Jorge E Basulto from Alan Jay Toyota. I was there for Toyota Pros the stay there was a 10 EXCELLENT do not change anything f (2/3) rom main gate very informative, vallet very helpful, the front desk ready to help with direction to anything I ask for. Also at the beach club was a 10 Ex (3/3) cellent thank you I hope to see next year again.</t>
  </si>
  <si>
    <t>We need fresh towels in 6206</t>
  </si>
  <si>
    <t>Going great. No issues!</t>
  </si>
  <si>
    <t>#7 I enjoyed warm weather activities This is very relaxing Feels like Christmas without a lot of snow. The fireplace in my room, winter loby decorations lights/trees and the floor to ceiling glass windows in the restaurant add a holiday spirit Need more Christmas music. Thanks for asking</t>
  </si>
  <si>
    <t>Not there until tomorrow</t>
  </si>
  <si>
    <t>"5". Everything was perfect Kelsey. Please thank Devon also. Both of you did great. Thank You Kelsey. We will be seeing you again. Thanks Dan Rice</t>
  </si>
  <si>
    <t>service will be coming later today.</t>
  </si>
  <si>
    <t>Very good! 9 Got a late check out for 1 pm but hoping for 2 if possible. Flight at 320. Does the hotel have a shuttle?</t>
  </si>
  <si>
    <t>**Definitely alert-worthy** ‚Äî Multiple stacked failures (meeting room not ready at the scheduled start time, guest had to personally call to get it set up, and then insufficient seating) directly impacted a business meeting/event. This is more than a routine service hiccup ‚Äî it's an operational failure affecting the guest's professional event, which the Manager should know about to assess compensation or process fixes for event/meeting setups.</t>
  </si>
  <si>
    <t>(1/2) We are checked out now at the airport. But we had a wonderful time at Elara. We will likely return again. We will definitely recommend Elara to our family (2/2) and friends.</t>
  </si>
  <si>
    <t>Great so far. We do have a slow drain in the bathroom sink.</t>
  </si>
  <si>
    <t>this afternoon. More, I would like to learn more about ALFA Asia Pacific Region activities. Kevin</t>
  </si>
  <si>
    <t>(1/5) Maggie, Top of the afternoon, and thank you for the text. I hope all is well with you. Everything is good with our stay, a score of 5. A minor issue wi (2/5) th our reservation, earlier today. If I understood the young lady, IHG cancelled both the earlier reservation I made and the reservation you scheduled f (3/5) or us when we checked in. The young lady was unsure what rate you entered for us, so she elected to rebook us using the AAA rate. I told her I did not re (4/5) call the rate you quoted me, and it was not on the form I signed. My understanding is that all is good. We can talk in a few minutes. From my perspecti (5/5) ve, everything is "pretty good fine o.k.," unless you say different. Joe</t>
  </si>
  <si>
    <t>The water this morning was hot then cold then hot then cold. Kind of annoying but I am not sure why that was happening</t>
  </si>
  <si>
    <t>.. hi Kiana I'm responding to your text I've already complained to management of course they haven't called back since I have VIP gold and I'll original owner I would have expected to have a room better than adjacent to the elevator I'm sure you agree at least I would assume you agree when you go to the sales they tell you all the perks you're going to get when you're a VIP gold but I guess one of the perks is having the room closest to the elevator so that's why I'm a little concerned if you want to chat with me my cell is 973-219-1267 or maybe you should train your people that register how to take care of people that have should get upscaled rooms thank you</t>
  </si>
  <si>
    <t>We will not need housekeeping service tomorrow Thank you.</t>
  </si>
  <si>
    <t>It's Excellent! 10's across the board</t>
  </si>
  <si>
    <t># 5 had a great stay! The shuttle driver was really helpful in lett ing us know where to etc! Thank you! Also the view was awesome! ????</t>
  </si>
  <si>
    <t>**Definitely alert-worthy** ‚Äî Guest reports disruptive noise persisting until 2am *despite making two complaints*, meaning front desk's response failed to resolve the issue in real time. This is a stacking failure (noise disturbance + ineffective service recovery) with real impact on the guest's family (kids losing sleep). The Manager needs to know both that a noise complaint wasn't resolved and that follow-up/compensation may be warranted.</t>
  </si>
  <si>
    <t>Hi it looks like the room is getting hot again</t>
  </si>
  <si>
    <t>I'm in room 641 and the tv I have is really old and low quality. Just wanted to know if it could be swapped for a newer model like the one in room 102 where I was before?</t>
  </si>
  <si>
    <t>(1/2) Hi Cesar. We were just about to text you to tell you thank you so very muxh for everything. We ended up having the best time. Room and service was excell (2/2) ent. Happy Easter and thank you all. 10 - excellent!</t>
  </si>
  <si>
    <t>"10", this is one of the most professional experiences I have ever been to. Thank you Darold</t>
  </si>
  <si>
    <t>...ar* Experience is always good st Sherway Gardens and now with Nadege's kiosk it is even better and "excellent" (5). Wish she had larger space to cater for seating as her menu is outstanding !!</t>
  </si>
  <si>
    <t>to sleep in. The fire sirens &amp; room phone woke her up this mornin</t>
  </si>
  <si>
    <t>still be able to receive them?</t>
  </si>
  <si>
    <t>(1/2) Guest room is lovely! So much nicer than my first time here in 2012. I love the new carpeting everywhere. ASBA dinner last night was delicious! So far (2/2) , so exceptional!</t>
  </si>
  <si>
    <t>Can you please send me final bill? I have not received it in my email. Thanks!</t>
  </si>
  <si>
    <t>(1/3) Hi Mert. I appreciate you checking in. I'd say a 9. I had an issue with my fridge, but the technician was prompt and very friendly, so no real issue there (2/3) . I did have some uncleaned glasses (with dried drink at the bottom) from a previous guest... but i took care of it. I'd say that overall I'm very much en (3/3) joying my stay!!! Thank you!!!</t>
  </si>
  <si>
    <t>nobody would sit on it.</t>
  </si>
  <si>
    <t>**Definitely alert-worthy**
 Rationale: This is a stacking of multiple failures in a single room (broken heater, broken fireplace, non-functional TV/movies, missing amenities, poor-quality robes) ‚Äî the "multiple failures stacking up" signal explicitly called out. A heater/fireplace being broken also raises a comfort/possible safety concern depending on season. The guest gave a low satisfaction score ("6") and itemized a detailed list of complaints with their name and room number, indicating this is more than a single minor inconvenience ‚Äî it reflects a room that failed to meet basic standards across several dimensions. A Manager would want to know now to ensure the room is fixed/comped or the guest is relocated, and to check whether this room is being sold in this condition to other guests.</t>
  </si>
  <si>
    <t>(1/2) Good morning Edgar! Everything is great. The breakfast provided a nice time for our family to meet and the variety of food was excellent. So far rating i (2/2) s 10. Thanks for your follow up.</t>
  </si>
  <si>
    <t>. The sheets are fine just the top blanket got wet</t>
  </si>
  <si>
    <t>for tomorrow, but thank you 😊</t>
  </si>
  <si>
    <t>(1/2) Doing fine, thanks. Recovering from a luggage mishap (the airline is supposed to get it here tonight) but the hotel has been perfect thus far. 10/10. You (2/2) have a great day as well.</t>
  </si>
  <si>
    <t>We would score it as an 8 right now. It is a beautiful resort. Unfortunately, it's the little things that we had to score it an 8.</t>
  </si>
  <si>
    <t>(1/2) It was a 10!! Thanks Jim for the excellent massage and reservations at Brissago. Jamie also did an extraordinary job! We had a magical night and one of th (2/2) e best meals ever. The room was perfect. Now I know why the hotel was booked. Can't wait to come back!</t>
  </si>
  <si>
    <t>It's great, thank you!</t>
  </si>
  <si>
    <t>(1/2) 10 very very nice couldn't ask for more friendlier staff expecially Courtney at the front desk or the lady at the bar the blonde everyone was As Nice the (2/2) pool was beautiful and we enjoyed our stay will be back again soon</t>
  </si>
  <si>
    <t>I say 10 great staff and very nice rooms</t>
  </si>
  <si>
    <t>Need the air conditioner to work. Menopause</t>
  </si>
  <si>
    <t>(1/2) 10! Our room was great and hotel staffers were so nice. Alicia at the front desk checked us in and out. She is WONDERFUL! Hope to see her again on ou (2/2) r next visit.</t>
  </si>
  <si>
    <t>9. I need house keeping in 829 and 830</t>
  </si>
  <si>
    <t>**Probably alert-worthy** ‚Äî "Unreliable" suggests a recurring/systemic problem with a core guest service (transportation), not just a one-off inconvenience, which could be worth Manager awareness if it's a pattern affecting multiple guests. However, there's no detail on what happened (missed pickup, long wait, no-show), no strong dissatisfaction language, and no mention of impact (e.g., missed flight) or intent to escalate ‚Äî so it's not clearly Definitely. Front Desk should follow up to get specifics, and Manager should be looped in if this is a repeated guest complaint or operational trend.</t>
  </si>
  <si>
    <t>(1/2) Hello. My stay was good. You need to still improve the house keeping staff. I wanted fresh bed linen, never got it. The breakfast, concg , and happy hour (2/2) staff were all GREAT. So i will rate my stay an 8</t>
  </si>
  <si>
    <t>(actually, I forgot to send this earlier when I wrote it) I'm a quite disappointed in having a very cold shower at around 715 this morning. It was not a matter of settings in the shower, because the straight hot water out of my sink tap was cool to the touch as well. The sink tap is now hot water, but not what I was expecting for the amount of money I'm paying to stay here.</t>
  </si>
  <si>
    <t>0 no fridge you have to pay to rent it and I can't even use my credit on my room for it</t>
  </si>
  <si>
    <t>(1/2) 2 I'm sorry but the cheerleaders running down the hallway doing flips and cheering wasn't enjoyable at all especially at 10pm at night. We didn't get to (2/2) enjoy the ammenities due to all of the kids flipping and running. It should be a time limit so adults can enjoy as well.</t>
  </si>
  <si>
    <t>). A foam type pillow would work better</t>
  </si>
  <si>
    <t>were still sleeping. Service was excellent, beds were very comfortable, room was great and had a great view.</t>
  </si>
  <si>
    <t>10, I presented information on my walk-through at the Riverside Convention Center with the proposed contract. They are asking if we can lower the price for the hotels.....See you this afternoon....PDG James</t>
  </si>
  <si>
    <t>(1/3) Hello Diana. Actually, I'm so glad that you reached out. I Stay is going great we are really enjoying ourselves. But we forgot what day we had our seminar (3/3) nformation and let me know and make sure we have not missed anything? (3/3) nformation and let me know and make sure we have not missed anything?</t>
  </si>
  <si>
    <t>10- Excellent stay so far. Check out is Friday?</t>
  </si>
  <si>
    <t>Not good will talk later</t>
  </si>
  <si>
    <t>(1/2) 10 so far! We left the do not disturb sign on our doors as we didn't want to waste towels or need room service. But the suite is wonderful! Thank you! Wil (2/2) l we be able to have a 4pm checkout tomorrow?</t>
  </si>
  <si>
    <t>--&gt;. 1 I had to check out one day earlier which I do all the time when I am on business trips due to customers need. BUT your front desk charged me an extra night plus TAX!! I am not happy about this!!</t>
  </si>
  <si>
    <t>Thanks for checking in. I would have to say an 8</t>
  </si>
  <si>
    <t>**Probably alert-worthy** ‚Äì The guest references something ("it") that went unaddressed, suggesting a request, call, or question was ignored. This hints at a service failure or unresponsiveness, but without knowing what "it" was (e.g., a safety concern, a complaint, a simple housekeeping request), there's not enough detail to confirm the severity. Front Desk should follow up immediately to clarify, and if it turns out to involve a serious unmet need (safety, security, repeated neglect), it should escalate to Definitely.</t>
  </si>
  <si>
    <t>Need to articulate concerns. Please respond.</t>
  </si>
  <si>
    <t>*10* Food has been wonderful and not tasting like a heated up package. Room was quiet and clean in all areas, stocked and everything worked such as lights and accessories. Staff have been very proactive to greet and interact throughout the facility, make eye contact and smile. The meeting room attention to needs and refreshments have been without asking and staff have been following up on any request. At any meeting time interval on the agenda there has been staff very well presented available to direct food arrangements and verify if there is any need. Thank YOU. -Wes</t>
  </si>
  <si>
    <t>Hi ... yes we're enjoying our stay .... your staff is so nice and accommodating. They are changing rooms for us this afternoon. Thank you!</t>
  </si>
  <si>
    <t>(1/2) Great so far. I would rate it a 9 only due to us leaving yesterday and having the maid service light on to have the room cleaned and having only one towel (2/2) for me and my wife to share as well as washrag. Other than that excellent and love the room amd view</t>
  </si>
  <si>
    <t>enjoyed the pool. Thank you again and looking forward to our next stay at the beautiful castle!</t>
  </si>
  <si>
    <t>#8. Room itself is nice &amp; spacious. Each glass we've tried to use was filthy. The washer wasn't cleaned. Not certain if paper towels are included, but there weren't any. If we were to buy them it would have been nice to know. Also, it would be nice to have a broom. It's great for keeping things tidy.</t>
  </si>
  <si>
    <t>5! It's been good. Could I get my trash taking out and some fresh towels.</t>
  </si>
  <si>
    <t>Great food and great service with Porcia. Thank you!</t>
  </si>
  <si>
    <t>(1/2)We are very happy with our stay so far, but would love an extra blanket for the bed and a firmer pillow of possible. We are switching rooms later today, (2/2)so if we could have those things in the new room, that would be great!</t>
  </si>
  <si>
    <t>Everything has exceeded expectations! Thanks! Juan</t>
  </si>
  <si>
    <t>Lines in lobby are not a vacation. No chairs were available at pool yesterday. Can you please ask a manager for me if we can please have a late checkout tomorrow until about 6:30PM ? In just one of the rooms? Either 6274 or 6276? I am only asking since we were not given room upgrades as I am supposed to get as a Gold member and due to the issues with the room keys yesterday. This would be appreciated and take care of making up for the other two issues above. Consideration is greatly appreciated. Mahalo</t>
  </si>
  <si>
    <t>Not sure. Upset with a few interactions with the canteen yesterday. Otherwise this place is great</t>
  </si>
  <si>
    <t>(1/4) Well as soon as I can get the WiFi working I will be a happy camper I had to call the Hilton honor office I am indeed enrolled and Hilton Honors and she i (2/4) s going to send me my number via email which I cannot open now and then we're going to carry it from there and I'll be down to see you probably again and (3/4) we're going to get this thing working once again I repeat indeed according to the records with the Hilton Honors office I am a member with a valid members (4/4) hip number and whatever</t>
  </si>
  <si>
    <t>**Not alert-worthy**
 Rationale: This is positive feedback praising a specific staff member (Josh) for excellent service. There's no complaint, dissatisfaction, safety issue, or escalation risk here ‚Äî just a compliment. While it's nice recognition that could be logged or passed along to Josh/his supervisor as kudos, it doesn't require real-time Manager awareness or intervention. Front Desk can note it in normal channels.</t>
  </si>
  <si>
    <t>parking spot except on level 5 even though the first 4 floors of valley parking are basically empty.</t>
  </si>
  <si>
    <t>10 excellent !!! Nice view for the fireworks ? nice &amp; clean enjoyed our stay .....</t>
  </si>
  <si>
    <t>Been great so far thank you!</t>
  </si>
  <si>
    <t>(1/2) The stay was definitely a 5. And the wedding was great. Elizabeth Josefina is an awesome customer service staff! To be honest, she was the only one. Every (2/2) one else seemed down and not acting like they liked their jobs.</t>
  </si>
  <si>
    <t>Our air conditioning does not seem very effective. Even with the fan in high we are not getting much cool air.</t>
  </si>
  <si>
    <t>Margaret... The valet "mike" very rude, seemed put out at my request to check a bag The girl that checked me in- wonderful The room looked great the windows seem old thin drafty.the room was drafty. Then No heat? The room was 65 deg. I was freezing. Called front desk.. Space heater helped. Maintainence lady was very nice. Then no Power!!! Really? I didn't use the coffee maker. They said do not use it In shower then no lights! Power went out. Called desk. They said they would fix..20 minutes later still in dark... call desk sorry thought it was taken care of, will fix. 5 minutes later all set. The heat never came on to my knowledge. When portable heater timed out at night the room got cold again. Power went out this morning again when getting ready had some light working... left room All staff with the one exception were very nice and a pleasure. Other than heat and no power the room was cool</t>
  </si>
  <si>
    <t>(6) No refrigerator, no microwave, and shower head with very little water pressure. Last the lousy Dish Network TV</t>
  </si>
  <si>
    <t>07 didn't have hot shower. Hard to find areas Without signs near streets (activities center..pool) no adult chairs in activities center..we re old..</t>
  </si>
  <si>
    <t>(1/2) 8 so far - most of the staff has been excellent as usual; some minor room cleanliness issues; being by the ice machine is not preferred, but no other (2/2) rooms (not by ice machine) were available when we checked in; overall enjoying stay; love this property</t>
  </si>
  <si>
    <t>(Automated Message) - County of Pettis Hi! Please know that this device is not monitored for text messages. Please feel free to give me a call at your convenience. I look forward to hearing from you! YOU MAY ALSO CONTACT ME DIRECTLY AT: 415 S Ohio Ave, Suite 212, Sedalia, MO 65301 Cell Phone: 660-620-0213 Office Phone: 660-826-5000 Ext. 406 Email: baezai@pettiscomo.com</t>
  </si>
  <si>
    <t>**Definitely alert-worthy**
 Rationale: This is a multiple-failure situation ‚Äî the original room's heater was broken, staff moved the guest, and the replacement room had the same unresolved issue. The guest ended up sleeping in the cold with no fix provided. This isn't a single minor inconvenience; it's a stacked service failure (bad room + failed remedy) that left the guest with a genuinely poor night's experience. A Manager would want to know a guest was left without functioning heat despite attempted intervention, both to ensure proper recovery (compensation, room reassignment, maintenance check) and to identify a potential facilities/maintenance gap affecting multiple rooms.</t>
  </si>
  <si>
    <t>NO thank you. All is good.</t>
  </si>
  <si>
    <t>"Reports from the Front Line" Evening all! Thank God Napa is coming back to life! Still fires, lots of smoke &amp; ash But better contained.... driving out of Napa today to SF taking John to UCSF fires are visible on ridges. Checked into Fairmont wandered out for a little walk Crossing Ca. Street FELL flat in middle of street...twisted Ankle stepped In a hole....bruised &amp; sore but nothing broken! One thing I know for sure after this week " We are not in control of anything". That's for sure Amen! Reporting live from bed in room #550 Fairmont "Top of the Hill" ??The Red Fox ❤️?</t>
  </si>
  <si>
    <t>Hi Ann, can we get early check in today?</t>
  </si>
  <si>
    <t>(1/2) Excellent. Spacious and relaxing room facing Michigan Avenue. Will highly recommend Inn of Chicago. Accommodating and pleasing staff. Keep up the good ser</t>
  </si>
  <si>
    <t>It was great until what sounded like a dreamed or saw was running in the early morning hours. Other than that ut was great.</t>
  </si>
  <si>
    <t>(1/2) Thank you for texting Karen we had a great stay we've already checked out thinking about coming back in a few days I will check reservations to see what y (2/2) ou have everybody was very hospitable and very nice thanks again sincerely mr. Joel DeSoto</t>
  </si>
  <si>
    <t>Can I have late check out?</t>
  </si>
  <si>
    <t>Hi - can someone help me get into room 5102</t>
  </si>
  <si>
    <t>#10 Thankyou. Love that the Hilton is smoke free. Love that you need to use hotel key to access everywhere, pretty much.</t>
  </si>
  <si>
    <t>5 , thanks for asking -Corall</t>
  </si>
  <si>
    <t>(1/3) Thank you. I would rate my stay a 3. I have adjoining rooms on each side. The doors allow noise to travel easily and normal conversations in both of th (2/3) ose rooms where heard late into the night. Bathroom very small even for a "normal" room. Expected more for executive upgrade. Clean and comfortable. (3/3) Service has been great.</t>
  </si>
  <si>
    <t>Not alert-worthy ‚Äî This is an overwhelmingly positive review (9.5/10) praising the room, dining, staff (Andrew), and overall experience. No complaints, issues, or concerns requiring Manager awareness. Front Desk can log/pass along the compliment, and staff (Andrew, the waiter) could be recognized, but nothing here needs real-time Manager intervention.</t>
  </si>
  <si>
    <t>All Is good. Thank you</t>
  </si>
  <si>
    <t>Good, I left at 5:30 am this morning. Thank you for having me!</t>
  </si>
  <si>
    <t>(1/6) Hello. Maybe you can help. Originally whem we booked our rooms we made a request for ground floor and adjoining rooms, or room's at least by each other. (3/6) a room near 422 ehich puts us all on the 2nd floor which iw not preferred. Is there anyway to axhieve us both on the first floor tomorrow morning with (3/6) a room near 422 ehich puts us all on the 2nd floor which iw not preferred. Is there anyway to axhieve us both on the first floor tomorrow morning with (4/6) rroms somewhay near each other? Also, my last stay included a desk and this one does not have that which creats another issue. We stayed in building 1 (5/6) last time which may be different, i am not sure. . Either way, is there anyway to accommodate these requests? If so i sincerely appreciate it. If there (6/6) is something i can do to make this easier please let me know. Thanks</t>
  </si>
  <si>
    <t>not_opinion</t>
  </si>
  <si>
    <t>It is very good and have been enjoying my stay. The room and checkin staff have been excellent. there are two minor items in my room. 1) The window sea</t>
  </si>
  <si>
    <t>(1/2) It was great! The place was awesome especially the buffet breakfast. We havent see any hotels that before that offers an excellent breakfast. The only dow (2/2) nside is the charve vallet parking. Wish you have a parking space for your guests at a cheaper rate. I would rate our stay as 9.</t>
  </si>
  <si>
    <t>Thank you so much thst was not necessary but I appreciate it. The stay has been well 8</t>
  </si>
  <si>
    <t>Very happy with the hotel</t>
  </si>
  <si>
    <t>-Start to give cookies away at front desk and make all guess aware of self park option. My friends said they got a bar code so they could park their car themselves. -Keep some small bills at front desk for change. Several time I had to wait a while when I asked for change. -Offer free breakfast to big "repeat visit" groups like mine. (USSS) -Rooms were really nice with plenty of cell phone charges and sockets. -The folks and managers at the front desk were friendly and helpful.</t>
  </si>
  <si>
    <t>ts PERFECT!!!! 10 of 10!!! You are so so seeet :) New view is absolutley perfect!</t>
  </si>
  <si>
    <t>"5" for sure - our room 440 has just an amazing view... very pleased... cheers and thanks!</t>
  </si>
  <si>
    <t>**Definitely alert-worthy**
 Rationale: The guest had to contact the front desk *twice* about disruptive neighboring guests ‚Äî indicating the first intervention failed to resolve the issue and the disturbance continued. This is a stacking/recurring service failure with a potential safety/security dimension (unruly guests, not just noise), and the emphatic tone ("!!!") signals real frustration. A Manager should be aware in case guest safety, room reassignment, or compensation becomes necessary.</t>
  </si>
  <si>
    <t>Great! Thanks for checking in</t>
  </si>
  <si>
    <t>(1/2) 10 all thanks to Heydi!! The upgrade to the penthouse for our birthday celebrations was so amazing!! Our travel companions were speechless!! Such a kind g (2/2) uesture!! Thank you all!!</t>
  </si>
  <si>
    <t>correct number of hangers). This morning I noticed that there was not an extra roll of bathroom paper. The sink faucet appears to need replacing. Seems</t>
  </si>
  <si>
    <t>It was amazing! Thanks!!!</t>
  </si>
  <si>
    <t>(1/3) 10 .... Usual enjoyable stay As always. We have already booked for 10 or 11 days for next year already. I would like to thank Randy in the front office (3/3) for 10 years now ... Keep up the great work.The Andrews family. (2/3) also my favorite waitress Jill at the pool bar and also Amanda with the recreational crew all top notch they all remember because we've been coming there</t>
  </si>
  <si>
    <t>Hi! I already checked out. Thanks so much!</t>
  </si>
  <si>
    <t>(1/4) Hey Ms.Tiffany, Everything was great. We're back in Houston, TX. (2/4) Could you please make sure there's a complete cleaning for the (3/4) next that will be checking in on 1/03/2017. Once again thanks (4/4) for everything &amp; and have the best New Year ever. Score 10?</t>
  </si>
  <si>
    <t>Everything has been great, thank you!</t>
  </si>
  <si>
    <t>10 enjoying our first time here at this resort very much</t>
  </si>
  <si>
    <t>**Not alert-worthy**
 This reads as a mild, almost affectionate observation about a staff member's personality ("quiet type") rather than a complaint. There's no indication of rudeness, poor treatment, or dissatisfaction ‚Äî the guest is speculating harmlessly about why someone works mornings. Nothing here signals an issue the Manager needs to know about.</t>
  </si>
  <si>
    <t>(1/2) Ty for checking in Beatrice I really appreciate it. It is going lovely. I'm really enjoying my stay...I will definitely return again the next time I'm in (2/2) town. Anitra</t>
  </si>
  <si>
    <t>fridge). They did switch out the fridge soon after.</t>
  </si>
  <si>
    <t>(1/2) Going great! Worked out in the gym this morning at 6a, breakfast at 7a, showered and at my briefing. It's been a great day thus far. Thank you for checkin (2/2) g. Hopefully your day is going well.</t>
  </si>
  <si>
    <t>. You as well have a great day - in Gratitude ?- the Ripps</t>
  </si>
  <si>
    <t>liking. Otherwise wise the stay lovely,</t>
  </si>
  <si>
    <t>(5) Love the Resort staff....very friendly and helpful. View is beautiful as are the grounds. However, Resort facilities are very limited for the amount of people here. Poolside restaurant menus need to have rotating options for people who are staying for more than one day. No Pool towels available. Hot tub size way too small for amount of people and over run with unsupervised children playing. Nit a relaxing experience.</t>
  </si>
  <si>
    <t>Clean towels and washcloths have not made it yet. We need enough for 3 adults and a roll of Toliet paper</t>
  </si>
  <si>
    <t>**lady, not lady Thank you. It's a 10! We LOVE our room...2320...our lady stay was the classic room and although that was comfortable we love the updated one even more! Thank you again</t>
  </si>
  <si>
    <t>My state was great, but I already checked out this morning. Thank you.</t>
  </si>
  <si>
    <t>(1/3) Cleanliness of our room and customer service was great. However, the microwave in our room was inoperable and unable to be operated following a late nigh (2/3) t check-in. If it is ok to suggest? Why not have the room staff periodically check the room appliances. The microwave issue was resolved the next day. (3/3) Thanks again for following up on our stay. Best wishes, Pam Searles</t>
  </si>
  <si>
    <t>Probably alert-worthy ‚Äî Overall praise for staff, but the guest reports a theft/security issue (someone took an item, possibly during evacuation from a storm) and explicitly says they "don't feel secure anymore," raising a security concern at the pool area. There's enough detail to flag a security gap, but since it's a minor item (glasses case) and no broader pattern or safety harm occurred, it sits between routine and clearly severe ‚Äî Manager should be made aware to assess pool security/theft concerns proactively, but it doesn't rise to the level of an urgent, high-stakes complaint.</t>
  </si>
  <si>
    <t>Valerie. We checked out at 11:30. But it was a good stay</t>
  </si>
  <si>
    <t>Good. We'll need more towels today please.</t>
  </si>
  <si>
    <t>(1/3) Hi Bailey.... I'm very happy with all of the staff's concerns &amp; considerations. Gloria's definitely on her last days, according to the doc's recent visit (2/3) (about 20 minutes ago). I only wish that the good Lord makes her aware that He's reaching out to her and all she has to do(even if not obvious to us) is (3/3) accept Jesus as her Savior.....</t>
  </si>
  <si>
    <t>3. Handicapped room.</t>
  </si>
  <si>
    <t>a guest because I would have stayed elsewhere and I don't think it is construction noise there's something wrong with one of the fans or whatever it lit</t>
  </si>
  <si>
    <t>(1/3) Hi Danielle! Honestly, I love Embassy Suites because the staff are consistently great at all locations! The downtown ES is funky.... Not enough hot water (2/3) in my room and the walls are thin (unusually loud neighbors this week). All things considered, I'm going with an 8 so far. Breakfast has been spectacula (3/3) r. =)</t>
  </si>
  <si>
    <t>, but the sound was really loud and non stop.</t>
  </si>
  <si>
    <t>(1/2) Hi my stay at Hilton was Great n I give my stay a 10... I love the fact that the staff makes sure to make it a clean n fresh place to stay all the time... (2/2) It was a fast n speedy check in..</t>
  </si>
  <si>
    <t>10 - Still going really well thanks.</t>
  </si>
  <si>
    <t>(1/2) Having a lot better time now that my luggage is here...the accommodations are excellent service is tops everywhere I go and everyone seems to bend over b (2/2) ackwards to make sure the experience is rewarding.</t>
  </si>
  <si>
    <t>I'm waiting for a Statement. I checked out yesterday</t>
  </si>
  <si>
    <t>**Not alert-worthy** ‚Äî This is overwhelmingly positive feedback (beautiful room, great breakfast, great service, super location). The comment about affordability is a general observation about pricing relative to their fixed retirement income, not a complaint about being overcharged, misled, or treated unfairly. No dissatisfaction with staff, service failure, or intent to escalate ‚Äî just a happy guest with a budget-conscious aside. Front Desk can simply pass along the thanks.</t>
  </si>
  <si>
    <t>(1/2) We are having a wonderful time. Thank you for your beautiful hos (2/2) pitality.? We love the gifts left in our room. Definately a 5!</t>
  </si>
  <si>
    <t>to the other side of the building please ????</t>
  </si>
  <si>
    <t>(1/2) Rate it a 5 we have been pleased. Thank you. Couple things, room 604 toilet runs, room 611 toilet lid will not stay up. Also sock was found in closet. (2/2) Liz last night was very pleasant and gave great recommendation s. Thx again will come back next year.</t>
  </si>
  <si>
    <t>fixed today but there's still the outlet that needs to be fixed. Thank you ! :-)</t>
  </si>
  <si>
    <t>1 - The elevator situation and the valet are a mess. It took me 45 minutes to get downstairs from the 17th floor</t>
  </si>
  <si>
    <t>Very nice good service good people thank you be blessed</t>
  </si>
  <si>
    <t>hair all over the place in the bathroom.</t>
  </si>
  <si>
    <t># 5 Pour merveilleux, beaux magasins, vos décorations de Noël sont extraordinaires, on a le goût de rester pour magasiner WOW ! Wow ! Wow ! ?️ ? ?</t>
  </si>
  <si>
    <t>Wonderful, thank you!</t>
  </si>
  <si>
    <t>**Definitely alert-worthy**
 Rationale: This is a serious health/safety issue (bed bug infestation) with physical evidence of harm (blood on sheets) from the previous day. Bed bug complaints carry significant liability, health, and reputational risk (public reviews, potential compensation claims, possible health department involvement). This is exactly the kind of issue where the Manager needs real-time awareness to assess room status, guest compensation, pest control response, and prevent escalation ‚Äî not something to leave solely to Front Desk's routine handling.</t>
  </si>
  <si>
    <t>Our experience at Hilton Austin was great with exception of the spa services. We booked a Texas Couples massage which was advertised as being a very romantic setting,180 minute massage. The therapists were great, but the room felt more like a hospital room than a romantic retreat. Below is the advertised picture of the spa services:</t>
  </si>
  <si>
    <t>Danny for providing exceptional service!</t>
  </si>
  <si>
    <t>Nobody cleaned my room today? Can you have housekeeping clean at 6 pm?</t>
  </si>
  <si>
    <t>(5) We had a wonderful visit. We were especially pleased with customer service as we checked in Kandish and the rest of the staff made us feel right at home. The whole staff took good care of us. Thank you the Johnson's</t>
  </si>
  <si>
    <t>barking dog in 2145 has checked out. Thank you for your help!!</t>
  </si>
  <si>
    <t>We had a very nice breakfast, and enjoyed the beautiful architecture and decor. The couch and rollaway mattresses need to be replaced. Plexiglass needs to be inserted in the living room. It is a very beautiful hotel.</t>
  </si>
  <si>
    <t>We need 2 blankets, More wash cloths and coffee and creamers. Thank you</t>
  </si>
  <si>
    <t>(1/2) It was a 10! Perfect service two days in a row, 5+5=10!!! This service is phenomenal, continue to promote with even stronger signage/graphics throughout (2/2) MSP! Thank you for making a bright spot on a my travels! Larry Rebillot</t>
  </si>
  <si>
    <t>Almost a 10 - elevators are slowing us down a little. ?Thank you!</t>
  </si>
  <si>
    <t>Haley where are you</t>
  </si>
  <si>
    <t>Excellent. Bull and Bear was superb last night. Thank you and have a great day</t>
  </si>
  <si>
    <t>Most excellent. Room is nice. Give it 5</t>
  </si>
  <si>
    <t>**Classification: Probably alert-worthy**
 **Rationale:** The guest is giving a fairly positive rating (9/10) and the core complaint‚Äîbreakfast buffet running low on berries by 10 AM‚Äîis a routine operational/supply issue that Front Desk/F&amp;B can handle directly. There's no staff conduct issue, no extreme dissatisfaction, and the guest even praises the server's recovery effort ("went above &amp; beyond").
 However, it's flagged as "Probably" rather than "Not alert-worthy" because running out of food items could indicate a pattern (recurring supply/inventory issue) that a Manager might want visibility into if it's happening repeatedly. The message alone doesn't confirm this is a one-off or systemic problem, so there's just enough ambiguity to warrant Manager awareness without rising to "Definitely."
 **Key signals considered:**
 - No staff behavior complaint (in fact, positive mention of staff going "above and beyond")
 - No stacking of multiple failures
 - No escalation language (no mention of corporate, reviews, compensation)
 - High satisfaction score (9/10) suggests this is a minor ding, not a major failure
 - Only concern: unclear if buffet shortages are a one-time or recurring operational gap worth Manager awareness for inventory/vendor management purposes</t>
  </si>
  <si>
    <t>We are having a great time, wonderful meal at Renada's last Last night. If we could have two bottles of water delivered to room 5104 that would be great thank you</t>
  </si>
  <si>
    <t>All is good. thanks for checking!</t>
  </si>
  <si>
    <t>pm. Is that possible.</t>
  </si>
  <si>
    <t>(3/3) ttle disappointed. - Nicky Carpenter (1/3) I would say 2.5 out of 5. Service was not attentive as we had experienced in the past. We had to request service or attract the servers attention several (2/3) times. The food was good, but the bread was dry. The ambiance was lovely and the facilities outstanding. The harpist was lovely. However, we all left a li (3/3) ttle disappointed. - Nicky Carpenter</t>
  </si>
  <si>
    <t>enjoying the sunshine ? Everything is great ? thank you</t>
  </si>
  <si>
    <t>like some more coffee ☕ if possible, we appreciate it ?</t>
  </si>
  <si>
    <t>I know the front desk mentioned housekeeping will come every other day but my wife would LOVE if the beds were made when we came from the beach today. If that's possible that'd be amazing!</t>
  </si>
  <si>
    <t>It's good. 8, thank you</t>
  </si>
  <si>
    <t>the Waikoloa Hilton!</t>
  </si>
  <si>
    <t>**Not alert-worthy** ‚Äî This is a routine maintenance complaint (noisy AC unit). While it's affecting sleep quality and comfort, it's a standard facilities issue that Front Desk can address by sending maintenance or offering a room change. The guest rates the stay an 8/10 despite the issue, indicating no strong dissatisfaction, escalation intent, or staff-conduct concern. No signals requiring Manager-level awareness.</t>
  </si>
  <si>
    <t>(1/2) I love this Hotel because the staff are amazing!! In my opinion the staff are a reflection of the management. Jonathan goes above and beyond! I have h (2/2) ad several requests and he PROMPTLY responds. I appreciate that! I don't mind waiting I just would like to be informed!!</t>
  </si>
  <si>
    <t>(1/2) Thank you! I'd give it an 8...everything is wonderful, with the exception of the blankets on the king bed. The cover on the comforter is very scratchy and (2/2) uncomfortable. Thanks for asking! Breakfast was amazing!!</t>
  </si>
  <si>
    <t>(1/4) Good morning! Yes, we're staying in room 322. Last night room 321 were extremely loud drinking and partying till 2 am. After security made several attempt (2/4) s to quite down the situation, it continued on. Also, the smell of marijuana was overwhelming... This morning several of the guess on our floor were hav (3/4) ing coffee in the lobby area, and everyone was talking about last nights incident. Also, it's obviously that they removed allnof the "do not disturb" sig (4/4) ns on oir floor. If this continues tonight, I will personally call the Miami polile department... Sincerely, FL</t>
  </si>
  <si>
    <t>Hello. I was hoping I could get 2 more towels and 2 facials towels please. Thank you.</t>
  </si>
  <si>
    <t>Everything has been absolutely amazing. I'm wondering if we could get my lovely wife a spa treatment before 6 today she's signed up for a manicure but I</t>
  </si>
  <si>
    <t>11 !!! I shouldn't say this b/c I stayed at my own hotel but this is by far my favorite property, I've had a blast meeting some amazing people both guest and employee alike, Thank You so much for having me - Sean</t>
  </si>
  <si>
    <t>way to the parking lot was blocked. It's been an interesting experience but we have a few more days.</t>
  </si>
  <si>
    <t>**Definitely alert-worthy**
 Rationale: Multiple stacked failures in one message ‚Äî bad food, poor service at dinner, and a foul-smelling room. The repeated strong language ("horrible," "terrible") signals significant dissatisfaction across several touchpoints (F&amp;B, service, housekeeping/room condition) rather than one isolated hiccup. This pattern of compounding complaints is exactly the kind of signal a Manager should be aware of now, even though Front Desk will also need to address the immediate room/food issues.</t>
  </si>
  <si>
    <t>"10" Can you extend my stay until Wednesday morning? How much will one extra night be?</t>
  </si>
  <si>
    <t>(1/2) Good Afternoon, all is well. May I please request housekeeping to change the sheets and bring fresh linen for the sofa bed. I would also like to exchange (2/2) the towels for fresh towels. So far its a 5 for me. Thanks, Sheryl</t>
  </si>
  <si>
    <t>So far pretty good. Our a/c - heat is a little messed up. We kept it on 65- hoping to sleep "cool" and it was warm most of the night. (7)</t>
  </si>
  <si>
    <t>"10" having a great time. This is the nicest resort that we have ever stayed in. Thanks for everything. Have a great day</t>
  </si>
  <si>
    <t>...I've been on hold with the hotel operator for 7 minutes so far. What the heck??</t>
  </si>
  <si>
    <t>Everything's great thanks</t>
  </si>
  <si>
    <t>(1/2) Im not staying there right now..Just had this # in my contacts., and was wondering what # it was...They used to give me free rooms.n i enjoyed my stay (2/2) everytime.But dont kno what happened..They stopped giving me free rooms....But. Tyvm...For your respond back..You have a Nice day as well..</t>
  </si>
  <si>
    <t>I checked out at 9:20 I was needing to speak to a manager</t>
  </si>
  <si>
    <t>Hi! I just fell down to the front desk and ask for a blanket to be brought up. My kids are sleeping but if someone gets to the room and no one answers, please go ahead and just put the blanket inside because I had to go back down to my meeting</t>
  </si>
  <si>
    <t>(1/2) 9. Gloria at cabana club was excellent. We enjoyed the cabana and her service. Apolo was also extremely nice. Catherine was great at concierge and lisa,</t>
  </si>
  <si>
    <t>Can I request a late checkout for tomorrow?</t>
  </si>
  <si>
    <t>There are ants in the bathroom sink. Maybe someone could check that?</t>
  </si>
  <si>
    <t>Thank you for checking. Going very well -- had a good session with Jordan Kellow, glad you have him on staff. He is great - 10!</t>
  </si>
  <si>
    <t>Alert-worthiness: Not alert-worthy
 Rationale: This is a vague, offhand comment about the hotel's layout (long hallways) ‚Äî not a complaint about service, staff, safety, or anything actionable. It reads as a mild observation rather than dissatisfaction. Front Desk can note it or simply acknowledge; no Manager-level issue is present.</t>
  </si>
  <si>
    <t>Thanks for checking in. Everything is aces so far</t>
  </si>
  <si>
    <t>(1/3) Initially trying to get the room change was a nightmare, but after the accommodations through management and the excellent food and service at the chop ho (2/3) use last night i think our experience has gone from a 6 to an 8 keep up the good work! I really appreciate how management handled the room change situatio</t>
  </si>
  <si>
    <t>On the room that we had for the 1st 2 nights, I would grate it a one peryou just moved your a** rooms this morning, so we'll have to see how that goes over the next day or 2, and we could revisit that</t>
  </si>
  <si>
    <t>apartment to get this moved now. Thanks</t>
  </si>
  <si>
    <t>!Love the room love the view and so appreciate that My wife and I were given a complementary upgrade yesterday to an ocean view for the sake of our annive !ify someone to replace it. So we give it a nine :-) !rsary :-) the air conditioning seem to be struggling and so I did take out a very dirty filter and left it in our room hoping that housekeeping might not</t>
  </si>
  <si>
    <t>My room is super small and I can't believe I paid extra $60 for the exact same size room with just an extra window when I'm gold The carpeting is so disgusting I cannot walk around barefoot. I need to wear slippers my shower does not drain. The water just fills up when I'm taking a shower even though the drain is open. Because AIPAC paid for all of our food I never had the opportunity to use my $36 a day in credit for two people in my room</t>
  </si>
  <si>
    <t>An a get a ride to mills modern..</t>
  </si>
  <si>
    <t>but Kevin was so delightful ⭐️⭐️⭐️⭐️⭐️ Loved our waitress last ni</t>
  </si>
  <si>
    <t>more from my experience here at the Biltmore. From the esteem that comes from the name. Things are well though.</t>
  </si>
  <si>
    <t>(1/2) Hello having a wonderful stay. As a Hilton Rewards member I received a call regarding bonus points and to stop by the Experience desk for more (2/2) complimentary items? Where is that? Thank you</t>
  </si>
  <si>
    <t>Ok. Is there a business center to print 5 pages in the hotel?</t>
  </si>
  <si>
    <t>(1/2) Good Morning, Johncarlo, So far our stay has been good. However, I cannot honestly rate the stay, until I have also had an opportunity to engage with the (2/2) staff. In my opinion, excellent customer service is what truly makes an establishment exceptional.</t>
  </si>
  <si>
    <t>Can I please have a late check-out on the 15th?</t>
  </si>
  <si>
    <t>**Probably alert-worthy** ‚Äî The billing discrepancy (menu price vs. actual charge) is the key flag here: the guest explicitly states they were "ripped off," which touches on billing integrity/trust, not just a taste/preference complaint. That's worth a Manager knowing about, since overcharging complaints can escalate or indicate a pattern (menu/POS mismatch) affecting other guests too.
 However, it stops short of "Definitely" because:
 - No mention of staff rudeness/mistreatment
 - No explicit threat to escalate (review, corporate, chargeback)
 - The tone is more "annoyed feedback" than "irate/demanding resolution"
 - The rest (dressing on the side, condiment packaging complaints) are minor UX suggestions, not urgent
 If the guest had said something like "we're disputing this charge" or "we want a refund," that would tip it to Definitely. As-is, Front Desk can likely resolve the pricing error, but flagging it to the Manager as a possible menu/billing sync issue has value ‚Äî hence "Probably" rather than "Not alert-worthy."</t>
  </si>
  <si>
    <t>0 - the pull out bed was terrible - we didn't even stay one night</t>
  </si>
  <si>
    <t>to have someone come back twice. It's not typical of your brand.</t>
  </si>
  <si>
    <t>My stay is great so far. Can you please have housekeeping bring more coffee, creamer and sugar for my room this afternoon? Thank you</t>
  </si>
  <si>
    <t>, paper tags, a screw on the floor was in the closet, and a few more things. Besides the hygiene, it is more concerning because these are things our todd</t>
  </si>
  <si>
    <t>(1/3) Checked out sorry ran out to shuttle. Ryan, Craig, and woody great. G bar great staff good food, room beautiful. Some system issues and concierge ye (2/3) sterday asked way too personal questions and gave us wrong time for happy hour. We showed up at 5, was over at 4. "Jennifer" still leaves a bad taste abou (3/3) t this hotel. I'm thinking system issues may be because of recent hurricane and stress on everyone. We may try again in future. Have a great day</t>
  </si>
  <si>
    <t>5 Very satisfying. Friendly and and helpful staff. ??</t>
  </si>
  <si>
    <t>Well it was annoying our room wasn't ready when we got here past the check in time</t>
  </si>
  <si>
    <t>(1/2) Thanks Deborah, yes we are a great time and the room has a great (2/2) view. I would rate you a 10!?</t>
  </si>
  <si>
    <t>the joining unit next door 2506</t>
  </si>
  <si>
    <t>(1/3) 10! Love this place! The facilities are beautiful, the grounds beautiful! I will be back with my husband next year. Took a class at fitness center. Having (2/3) breakfast now. Going to the spa pool afterwards. The only concern was last night the lodge pool was dirty. There was something floating in it. But, still (3/3) I love this place!</t>
  </si>
  <si>
    <t>Would it be possible to arrange a pickup from the airport?</t>
  </si>
  <si>
    <t>not require the bellman.</t>
  </si>
  <si>
    <t>, very helpful. Your answer was short but sweet. Exactly what I needed. I could not find what I was looking for on the website. So, it was extremely helpful to have the possibility to ask a person. Thanks again</t>
  </si>
  <si>
    <t>9...is breakfast later tomorrow as its a holiday??</t>
  </si>
  <si>
    <t>Definitely alert-worthy ‚Äî Guest reports a roach encounter (pest/health issue) plus a daughter with a respiratory condition that could be affected by any remediation. Strong expressed dissatisfaction ("worst stay ever," "VERY upsetting"), owner status, and paying-guest frustration signal a serious service failure with health-sensitivity implications. Manager should be aware now to consider compensation/appropriate remediation and to manage owner relationship.</t>
  </si>
  <si>
    <t>black. Small. Was left behind.</t>
  </si>
  <si>
    <t>. Overall 8 plus. Our stay was good. Enjoyed the pool - should have a swimsuit spinner. Tundra was great - even was given a shawl due to being cold. Brunch was wonderful</t>
  </si>
  <si>
    <t>So far, so good ? Thanks for checking in, keep up the great customer service, it makes a difference.</t>
  </si>
  <si>
    <t>We are great thanks for asking. Pool towels will be great. Thanks</t>
  </si>
  <si>
    <t>, loud air compressor sound in the bedroom) Majority of which have been taken care of to the best of the ability of the staff</t>
  </si>
  <si>
    <t>We are all good, thanks for the good service</t>
  </si>
  <si>
    <t>It is good but we never got hot water in the bathroom this morning to take a shower.</t>
  </si>
  <si>
    <t>With honesty a 3 out of 10.</t>
  </si>
  <si>
    <t>(1/2) I've stayed at hotels all over Europe, North America and even Africa. The room was very nice, the staff was friendly, courteous and professional. They eve (2/2) n issued a complimentary parking pass for my son who visited me while I was in San Antonio. I will be booking with you in the future. Thank You</t>
  </si>
  <si>
    <t>We have house keeping scheduled today. They can come after 10:45am.</t>
  </si>
  <si>
    <t>Washer doesn't work properly or it would be 10.</t>
  </si>
  <si>
    <t>(2/2) making it such a wonderful trip. Amy (1/2) 5! Thanks, Alysha. It was a great stay. We had to take off a little earlier than planned today but will be glad to return. Thanks to you and your team for</t>
  </si>
  <si>
    <t>no Thank you ! We will be checking out around 10:30</t>
  </si>
  <si>
    <t>10+ just Beautiful Merry Christ*mas &amp; Happy Holidays!</t>
  </si>
  <si>
    <t>0. we never made it down. We've been caught up in the southwest debacle. No flights down all week. Had to cancel reservation. We will come down in the spring. You do get a 10 rating for customer service. Everyone I've dealt with has been tip top. We can't wait to book a new trip soon.</t>
  </si>
  <si>
    <t>0 and we left 2 days ago</t>
  </si>
  <si>
    <t>(1/3) It is a 5... Thanks 2 u Ms. Ebony? I appreciate all your help!! (2/3) ! They need 2 give u a raise... U have excellent customer servic (3/3) e skills. I will make sure I leave that on comment card</t>
  </si>
  <si>
    <t>**Not alert-worthy**
 Rationale: This is a minor housekeeping/cleanliness gripe (dust on door frames) delivered with a light, humorous tone ("I wrote the word wipe in the dust"). The guest explicitly says they'd love to stay again and praises the view and bed comfort ‚Äî overall sentiment is positive. This is routine feedback Front Desk can pass to housekeeping; no signs of strong dissatisfaction, staff conduct issues, or escalation intent.</t>
  </si>
  <si>
    <t>Great thank You, we do need all new towels if someone is available or we can come down to laundry and swap them out. Merry Christmas</t>
  </si>
  <si>
    <t>So far, all good. Except last night, the shower head had a drip. Can you please check this so I can sleep better tonight? Thank you.</t>
  </si>
  <si>
    <t>***10 !!! Really enjoyed my stay. Staff were very helpful and accommodating. Would not hesitate to stay again and would definately recommend to friends a nd family.</t>
  </si>
  <si>
    <t>0 Check my reservation and was suppose to have the room I am in now Could not eat here last night because non guests were prioritized over us But was charged $200 extra for my stay Have been a customer since 1977 and will not be back</t>
  </si>
  <si>
    <t>(1/2) A 5 for the Hilton Waikoloa! We are having a wonderful stay. Received a wonderful upgrade that I didn't expect. We had an additional night attached as a (2/2) separate reservation so we are hoping we won't have to move rooms the last day. Thanks for checking in the courtesies. Mahalo!</t>
  </si>
  <si>
    <t>It's FABULOUS!!! We're having a great time! Thank you!</t>
  </si>
  <si>
    <t>(1/2) Everything has been great so far. Grounds are beautiful, pools are cool, paddle boarding was fun. I'd say the rooms need some deep cleaning. For example (2/2) lots of dirty hand prints on back of bathroom door. Overall 7.</t>
  </si>
  <si>
    <t># 9 because our room was not ready and it was passed check in time. They made us go to another desk and that person had no clue. We went on our own back to the check in line and a nice clerk helped us out. I wish Can remember her name. She Had an elf outfit.. cheers to her. Thank you</t>
  </si>
  <si>
    <t>-10 terrible , horrible</t>
  </si>
  <si>
    <t>(1/2) 9 Would've loved the Jacuzzi instructions via phone or left on a simple laminated card by the bed. - Spent over an hour waiting for help...only had 25 min (2/2) utes left to actually enjoy it after the Engineer arrived. Otherwise, the service, property, and the beautiful villa were phenomenal!! :-) Stephanie -</t>
  </si>
  <si>
    <t>**Definitely alert-worthy**
 Rationale: The guest reports their car was vandalized while on hotel property ‚Äî a security incident with potential liability/legal implications. They also state it ruined a special occasion (Father's Day) and cut their stay short, signaling significant dissatisfaction. This combination of a security concern and a guest willing to describe real harm/impact means the Manager should be aware now, not just Front Desk logging a routine complaint.</t>
  </si>
  <si>
    <t>Fine, except it's been 2 days since we had our room cleaned</t>
  </si>
  <si>
    <t>Hi Valerie, we were not aware, until we checked in , of the parking fee. We were in route from Germany when you texted me. My husband was upset especially when he saw that you could park ofor $12.00 if you were flying out of town. Considering the room rate for a concierge level and that it wasn't open we feel this parking fee is excessive.</t>
  </si>
  <si>
    <t>(1/2) Have to give a 4. My neighbors had their TV on all night. I had to call Guest Services at 3 AM because I could not sleep. My bed is on the other side of (2/2) the wall of their TV. Thankfully housekeeping took care of the problem but it was basically a sleepless night. I hope tonight is peaceful. Thank you!</t>
  </si>
  <si>
    <t>had to be done! Anyway, more on this upon my check-out.</t>
  </si>
  <si>
    <t>It's been going well, except for the issue with complimentary breakfast</t>
  </si>
  <si>
    <t>(1/4) 5 excellent. We have checked out already. Thank you so much fo (2/4) r making my mom's birthday so special. Upgrading our room, allo (3/4) wing her to play the piano up stairs, breakfast and drink vouch (4/4) ers. I appreciate it. ?</t>
  </si>
  <si>
    <t>file. we are also checking out right now.</t>
  </si>
  <si>
    <t>Hi Carmelita, Merry Christmas ,,9 on our stay thanks to you.</t>
  </si>
  <si>
    <t>(9) only because the bath room counter was a little small. Everything else is great! Comfortable bed for a good nights sleep. Thanks so much for the 205 degree view too!</t>
  </si>
  <si>
    <t>021-768 Requesting my vehicle from valet. Thanks</t>
  </si>
  <si>
    <t>to bring hot food to the room in the morning for my wife. The cooks said they only had one box today and were unwilling to provide another to go box for</t>
  </si>
  <si>
    <t>Good Afternoon Angela, All's well, thanks for checking on us. So far so good, no problems or issues. 10 - it is.</t>
  </si>
  <si>
    <t>9 - As of now I can not get the t-v to work ( probably pilot error). Please give me a call or send someone down to 4208. Thank you. Ron</t>
  </si>
  <si>
    <t>**Definitely alert-worthy**
 Rationale: The guest reports having to call three separate times to get a leaking/flooded refrigerator fixed. This is a clear case of "multiple failures stacking up" ‚Äî the issue wasn't resolved on first (or even second) contact, indicating a breakdown in service recovery or staff follow-through. While the guest's tone is mild and they note things are otherwise fine, a Manager would want visibility into why a basic maintenance request required three calls to resolve, as this points to a process failure (dispatch, communication, or staff follow-up) that could affect other guests.</t>
  </si>
  <si>
    <t>(2/3) but wasn't aware of the $12 fee when I showed up. Because I am here on business with a school district, I could not charge this to my room. Thank you for (1/3) This is a wonderful hotel. I signed on to become a Hilton Honors member. I did have one small drawback. I was looking forward to working out this morning, (3/3) following up.</t>
  </si>
  <si>
    <t>*24 ready to check out</t>
  </si>
  <si>
    <t>much sauce on either. I would just suggest getting a different brand.</t>
  </si>
  <si>
    <t>#6. Awesome hotel but not enough help at pool. Always out of water cups, not enough wait staff, takes a really long time to get food and drinks. Rooms were beautiful and clean. Hotel is really nice</t>
  </si>
  <si>
    <t>#5 ??You guys are simply amazing. Impeccable service! We would like a replay next year!</t>
  </si>
  <si>
    <t>I'd say a 8. Staff is great. Room is better than I expected as my travel agent didn't send pictures. My only complaint is there aren't enough markers/signs to guide you around the Village. I have met other people just checking in that had the same comments. I would still highly recommend it though. However, I have spent more time out than at the resort so far.</t>
  </si>
  <si>
    <t>(1/2) 5. It was beautiful. This was the only hotel that I recall staying in that did not have a tub. Very Unique. I had planned to soak in the tub and was (2/2) surprised to find that there wasn't one. The walk-in shower was nice. Different because there was no door. I liked the cut-out wall to reach the controls. (2/2) surprised to find that there wasn't one. The walk-in shower was nice. Different because there was no door. I liked the cut-out wall to reach the controls.</t>
  </si>
  <si>
    <t>sign on, but waters would be lovely!</t>
  </si>
  <si>
    <t>(1/2) 9: we are very much enjoying the hotel property and our room. Thanks for asking. Valet service has been very good; Morimoto's was excellent. Had a cou (2/2) ple of hiccups with requested item (extra towels, pillows, ice and coffee creamers.) But, overall, great!</t>
  </si>
  <si>
    <t>Very nice! Thank you!</t>
  </si>
  <si>
    <t>bottles, in a plastic bag, under the mattress, apparently hidden (who knows for how long). No biggie; but I thought you might want to know.</t>
  </si>
  <si>
    <t>0 very poor wished we never booked</t>
  </si>
  <si>
    <t>**Not alert-worthy**
 Rationale: Guest rates their stay 10/10 and is otherwise happy ‚Äî this is a simple administrative discrepancy (told they'd get 3 passes, only received 2). No dissatisfaction, no staff conduct complaint, no escalation signal. This is a routine fix for Front Desk to issue the missing parking pass; nothing here requires Manager awareness.</t>
  </si>
  <si>
    <t>(2/5) ur room was ready...three one of yhe people from the time share approahed me and asked if I got my free gift bag which I did not and told me she was going (1/5) Its been good except ...we have had a few issues. One the room leaked ...two we were charged 45 for a cabana for two hours while waiting to find out if o (3/5) to call manager she just needed my info and it turned out there was no free gift just a time share sales technique ..very unprofessional!! Also it would (4/5) be nice if they would have told me that the cabana was 45...also we had a problem getting towels at 800am ...and we waited on a trolly for one hour only b (5/5) ecause valet said it ran every fifteen minutes???...so it would be nice if u guys could make my fiance happy with a special treat before we leave</t>
  </si>
  <si>
    <t>Not good. I will be checking out of Room 7204. I am extremely upset that a loud noise started at 5:30am this morning and did not stop until 6:55am. M</t>
  </si>
  <si>
    <t>(2/3) the guy and girl working the desk last night were extremely helpful. They recommended places to go and places to eat. The girl in the bar was friendly as (3/3) well. Thank you so much for your hospitality. (1/3) Everything has been great!! Everyone has been super friendly. We couldn't ask for a better stay for our 24th Anniversary. I don't remember their names but</t>
  </si>
  <si>
    <t>than other 1 bedroom Hilton but ok for Hilton. And you were helpful too, so appreciate.</t>
  </si>
  <si>
    <t>0 - 1 There truly is no "room service" or considered any more.</t>
  </si>
  <si>
    <t>(1/2) Hi Brittney. The room is beautiful, but the pillows leave a lot to be desired. Would we be able to get a couple of memory-foam pillows? Neither of us find (2/2) the current pillows comfortable. And would it be possible to have the linens changed? We were glad to get the fridge last night for our dinner leftovers.</t>
  </si>
  <si>
    <t>the staff is striving to be super helpful</t>
  </si>
  <si>
    <t>you need a working footwash at the pools. otherwise good.</t>
  </si>
  <si>
    <t>(1/3) I enjoyed my stay very much. I give it 10. When you put God first above anything in your life he knows your needs he knows your thoughts. ask 4 him to b (2/3) less those that needs blessing to comfort those that needs healing to guide those that are hopeless and your needs he will give cuz he knows your thoughts (3/3) . thank you Father once again you showed me who you are I love you so much I could cry with tears of joy in Jesus name amen</t>
  </si>
  <si>
    <t>can you please explain the $152.56 on my receipt please... I believe the $153.75 was the outside bar last night Thanks</t>
  </si>
  <si>
    <t>Our stay has been awesome!! A 10!! Thank you!!?</t>
  </si>
  <si>
    <t>Definitely alert-worthy ‚Äî Extreme dissatisfaction ("-10", "worst hospitality ever"), a specific staff conduct complaint (reluctant/rude desk clerk), and a stacking of failures (broken promise of free breakfast, confusion over charges, nothing ready as promised). This combination of strong sentiment and staff behavior complaint clearly warrants Manager awareness now.</t>
  </si>
  <si>
    <t>wave opener - quite sensitive takes some avoidance to keep from opening.</t>
  </si>
  <si>
    <t>(1/3) It was ok. The breakfast buffet smelled awesome. Wasn't includ (2/3) ed in my reservation so I couldn't partake. Would be nice to ha (2/3) ed in my reservation so I couldn't partake. Would be nice to ha</t>
  </si>
  <si>
    <t>I hot water this morning!</t>
  </si>
  <si>
    <t>... all is good &amp; enjoying my stay -resting after a very good (and long) work week... thank you for checking on me Grant</t>
  </si>
  <si>
    <t>Hi Jillian! I have a dinner reservation for tonight at 7:15pm at Renata's Hearth. I was wondering if I can do something special for my partner when we order our first drinks or for dessert</t>
  </si>
  <si>
    <t>No I am good. Thanks</t>
  </si>
  <si>
    <t>(1/2) 7. We keep asking for blankets and not getting them. Was told we had do not disturb on door but we didn't. Your elevators don't hold much weight. But (2/2) room is nice. People are friendly breakfast was good</t>
  </si>
  <si>
    <t>toilet or at least flush it before the next person arrives?</t>
  </si>
  <si>
    <t>(1) terrible. And I wrote an email to Hilton about these issues..... Safe broken/doesn't work; TV in bedroom doesn't work. WiFi doesn't work, can't do any work as the WiFi never loads, and if it does, I get kicked off. Room Service QR Code wouldn't capture on my phone so called and asked front desk to have someone to call me from room service so I could order room service. Never got a call back. When I checked in the fridge wasn't working but they fixed that same day.</t>
  </si>
  <si>
    <t>(1/2) Hello Mikea, thank you so much for checking the status of my stay. You make me feel like a valued guest!!!!! I am pleased to report so far my stay is a (2/2) 10. Thank you, Eric Chief Lewis, USN Retired. Sent from my HTC One M9</t>
  </si>
  <si>
    <t># 9 it gets noisy and crowded but tolerable. Nice clean room and magnificent views.</t>
  </si>
  <si>
    <t>***this prefer talking</t>
  </si>
  <si>
    <t>**Definitely alert-worthy**
 Rationale: This is a repeated housekeeping failure across two consecutive days ‚Äî not a one-off inconvenience. The guest is explicitly numbering/documenting the pattern ("#3"), which suggests they're tracking failures and may escalate if it continues. A service breakdown affecting basic room servicing for multiple days is a stacking-failures situation a Manager should be aware of now, even before the guest demands compensation or escalation.</t>
  </si>
  <si>
    <t>(1/2) 4... room very warm, cooled slightly, but still warm. Tear in sofa sleeper, warn down, sunk when sitting. Carpet stained. staff very friendly... breakfast (2/2) buffet 3.5 (hard &amp; bland) dinner food 4, service friendly but forgetful. Pool and atrium very nice!!</t>
  </si>
  <si>
    <t>0 because you put me near the exit and ppl kept walking in n out the doers and I was in the rear of the hotel</t>
  </si>
  <si>
    <t>#response_container_BBPPID{font-family: initial; font-size:initial; color: initial;} Please stop texting this # it is not a cell phone. Powered by Android - via the Rogers Network From: db149f97461b4f67969a36ec92897ade@sms.extendcomm.comSent: September 16, 2019 11:16 AMTo: info@extendcomm.comSubject: You have a new Text message to 15197596820 (Extend Main #) from 15876742002 New text message to 15197596820 received from 15876742002 Sep 16 2019 1:16PMJust checking in; how is your Hotel Macdonald experience so far? Feel free to reply back with a 1-5 (5 being excellent). Have a great day! - Janelle</t>
  </si>
  <si>
    <t>It's a 10. However, my coffee maker is broken. Coffee went all over the counter. Maybe it's me, but I didn't find directions.</t>
  </si>
  <si>
    <t>All I have is decaf I would like a few regular coffee please</t>
  </si>
  <si>
    <t>(2/2) . We have notified the front desk of the issue but i dont think it has been addressed as of yet. (1/2) Everything has been great however our room smells like smoke i could not sleep last night. I left the sliders open thinking that would help but it did not</t>
  </si>
  <si>
    <t>0. I am not there. Our reservation was supposed to be canceled &amp; points rolled into HH or RCI, as my husband recently passed away.</t>
  </si>
  <si>
    <t>(10) Everything is being EXCELLENT. Thank you! Have a great as well. Ruben.</t>
  </si>
  <si>
    <t>We couldn't do this trip without it. Many thanks ?</t>
  </si>
  <si>
    <t>We need at taxi ride at 1230 to celebrity cruise terminal, can you procure a taxi for Dan at 1230? Thank you</t>
  </si>
  <si>
    <t>#10! Our stay was wonderful and everyone was friendly and helpful! The view was to die for, definitely a memorable birthday getaway...thanks Hilton :)</t>
  </si>
  <si>
    <t>wall!! Typically get "free" made to order breakfast at all my Doubletree stays, here I get only a "Continental" breakfast and had to pay for anything mo</t>
  </si>
  <si>
    <t>Probably alert-worthy ‚Äî Multiple maintenance failures (coffee maker, broken gym equipment) stacking up, plus explicit dissatisfaction ("Not my favorite Hilton Property I've stayed"), signaling a below-brand-standard experience. Not extreme or staff-conduct related, but the combination of issues and comparative brand disappointment is worth a Manager's awareness in case the guest escalates or if this reflects a broader property maintenance pattern.</t>
  </si>
  <si>
    <t>Everything and everyone has been great. Thx so much‼️</t>
  </si>
  <si>
    <t>(1/2) Hi Jacqueline. Thank you for checking. The room is ok. Still have a weird smell but I am allergic to alot of things anyway. But your service is excellen (2/2) t. I really appreciate your help. You definitely deserves a 5. Thank you so much. Snow</t>
  </si>
  <si>
    <t>can I purchase some sneakers nearby? Any 7.5 left behind??</t>
  </si>
  <si>
    <t>All is good! But can we please have towel service sometime this evening. Needing bath, hand towels, wash cloths and also bath May. Thank you!!</t>
  </si>
  <si>
    <t>0 You guys wont respond</t>
  </si>
  <si>
    <t>4 enjoyed my stay... Thanks</t>
  </si>
  <si>
    <t>10! So far so good! ^_^! Thanks for upgrade, I love the river view</t>
  </si>
  <si>
    <t>Is there a bar / restaurant inside hotel</t>
  </si>
  <si>
    <t>(1/2) Hello. Everything and everyone were 10+. Except. . . Awakened by shower (v.loud) in nearby or adjacent room @ 345 am. But Still loved diamond (2/2) upgrade:-) room &amp; location. Thanks. Peg</t>
  </si>
  <si>
    <t>0 as we had issue last night.we moved the bed to fix blankets and there was drugs a white substance it fell all over we called to desk immediately the came to clean it but now we don't feel comfortable here and my oldest son couldn't sleep. Rooms need to be cleaned better what if that was a little child who found those drugs and could of been really bad. We hope this issue is handled properly</t>
  </si>
  <si>
    <t>- Hugo D'avila. BTW, I had the free breakfast and I paid for an extra one. Please make sure they don't charge me for the free breakfast please</t>
  </si>
  <si>
    <t>(1/7) Hi Priscilla !!!!! Everything was great :)) Short night . She fl (3/7) 6am start. The room was marvelous and the hotel was very nice..</t>
  </si>
  <si>
    <t>very much. are the dog rooms supposed to come with dog beds or any other dog friendly features?</t>
  </si>
  <si>
    <t>(1/3) Hi Matt, Thank you for your assistance this morning. Our stay was very comfortable and relaxing. The Thanksgiving Dinner buffet was delicious and Kimberl</t>
  </si>
  <si>
    <t>Dan. A 10. 2 days to go.</t>
  </si>
  <si>
    <t>your system apparently shows me staying there? Thank you.</t>
  </si>
  <si>
    <t>0 - I am very dissatisfied with this Room It's not a true 2 bed room sweet Just something you guys threw together I would have rather stayed at the trump hotel and I'm truly thinking about changing my room accommodation Just something to get your money ?????</t>
  </si>
  <si>
    <t>**Probably alert-worthy** ‚Äî The message is fragmentary and unclear, but "couldn't get a room there yesterday" suggests the guest may have been walked, denied check-in, or dealt with an overbooking situation. This is a potentially significant service failure (guest unable to access booked accommodation), but there's too little detail here to know the full circumstances, whether it was resolved, or how it was handled. Front Desk should follow up to clarify what happened, and if it confirms a failed check-in/walk situation, this should escalate to Definitely.</t>
  </si>
  <si>
    <t>We're having a great time thank you for asking</t>
  </si>
  <si>
    <t>(1/2) Greetings, Michael. May this text find you in the best of health and spirit. We need 3 sets of towels. Face towel, hand towel, and bath towel please. Tha (2/2) nk you, sir.</t>
  </si>
  <si>
    <t>Hi! Thanks for checking in. May we ask for 6 bath towels, 4 hand towels, shampoo and conditioner, bath soap ?</t>
  </si>
  <si>
    <t>(1/3) Well, actualy ... we have adults and did not have enough towels. I had to use a hand towel this am. Also, wanted to lock up valuables and safe would not (3/3) and lock in car. (2/3) work. Engineering came quick and changed batterie several times, still not working. They removed safe to replace and we had to take our things with us</t>
  </si>
  <si>
    <t>Hello! Everything is great, thank you. Earlier I called to ask for a bunch of coffee pods and coffee mates but nothing has been delivered yet. Could you please have those sent over? We're in 7248. Thanks!!</t>
  </si>
  <si>
    <t>"10" Megan thanks for asking!!</t>
  </si>
  <si>
    <t>My stay is great! I rate it a 5 for excellent. Have a great day Sam</t>
  </si>
  <si>
    <t>0 as no one responded</t>
  </si>
  <si>
    <t>Excellent thanks for the follow up</t>
  </si>
  <si>
    <t>#1. Thanks for checking in Mallory:). The hotel was beautiful, clean and welcoming. However- the meal as well as service at last nights meal was extremel waitress handling all our forks tines with bare hands, no water, no other drink options beside coffee/cranberry juice, not removing used plates, etc). I</t>
  </si>
  <si>
    <t>We love it but trying to get menu for room service to a pool</t>
  </si>
  <si>
    <t>**Definitely alert-worthy**
 Rationale: The guest expresses extreme, emphatic dissatisfaction ("Absolutely horrible!!!", "Worst experience ever") ‚Äî this is a strong-dissatisfaction signal on its own, even without specific details on the cause. While Front Desk should follow up to diagnose and resolve the issue, the Manager should be made aware now that a guest is this upset, so they can ensure proper recovery and be prepared if the guest escalates further (review, complaint, etc.).</t>
  </si>
  <si>
    <t>, Michelle at check in and the cleanliness of the newly renovated room was amazing, 5 star! We recently have done some travelling and found the professio Good morning Ray, The experience started prior to check in. The friendliness of Jessica and Karli when booking the room, to the availability of the roman nalism and accommodations superior to others! The only concern that I have is the phone charger that was accidentally left in the room. My daughter and I have contacted the hotel housekeeping to have it returned and have been unsuccessful. It would be appreciated if you would follow it up. Thanking you in advance.</t>
  </si>
  <si>
    <t>0 - it's not at all going well as we complaint about shower never got fixed - cold water for shower - not at all satisfied - asking for full refund</t>
  </si>
  <si>
    <t>#⃣ ? Thanks for checking.We are doing great? ☺ .Have a nice day</t>
  </si>
  <si>
    <t>Am I get some more lotion.</t>
  </si>
  <si>
    <t>0 - we left the property yesterday</t>
  </si>
  <si>
    <t>(1/2) 5! I got married last night and you all made the suite look very nice with the rose petals and the note and everything else. My husband and I loved it. Ou (2/2) r first valentine's day was here 3 years ago so it was nice having our first night here as a married couple. Thank you!</t>
  </si>
  <si>
    <t>It's been nice. I'd say a 10. I would suggest more vegetarian options in marketplace, especially breakfast. Thanks!</t>
  </si>
  <si>
    <t>All good thanks, except there was no bathmat in my room.</t>
  </si>
  <si>
    <t>(1/2) Ian (13 yr old)=10 Cole (15 yr old)=10 Dave (4? yr old)=10 Heather (4? yr old)=10 We are really enjoying the area and the staff and workers are very nice (2/2) and welcoming and helpful!</t>
  </si>
  <si>
    <t>long drive . Thanks !</t>
  </si>
  <si>
    <t>No thank you. Service has been great!</t>
  </si>
  <si>
    <t>(1/2) 10! I have no complaints. Staff have been helpful, polite, always with a smile and eye contact. Our room was quiet enough to get a good night's sleep and (2/2) the bed was comfortable.</t>
  </si>
  <si>
    <t>**Not alert-worthy** ‚Äî This is an overwhelmingly positive review with no complaint or issue. The guest loved the jacuzzi and stay, and is just asking who they're texting with out of curiosity/friendliness. Front Desk can simply respond and identify themselves; no Manager awareness is needed.</t>
  </si>
  <si>
    <t>yesterday, but you weren't here. ?</t>
  </si>
  <si>
    <t>(1/2) Thanks for checking. Slept well, great room, but could use 4 bath towels as we have four in our family, that's about it. Everything else good. Thanks aga (2/2) in for asking!</t>
  </si>
  <si>
    <t>Do you have in room dining? The link in the dining section of the ap is being blocked because it's not private (www.hiltonatlantadowntown.wi-q.com). I don't know if and how I can order some food.</t>
  </si>
  <si>
    <t>) loud noises through the ceiling at 6am, as well as leaf blower at 7am.</t>
  </si>
  <si>
    <t>#5 super rooms and excellent service .. Had a good rest thank you</t>
  </si>
  <si>
    <t>Going well so far thanks</t>
  </si>
  <si>
    <t>Things are good. Please make sure they do house keeping as we left half hour ago. Can you confirm the loblaw pharmacist event room this evening ? Empir</t>
  </si>
  <si>
    <t>"11". Wonderful room. Wonderful weather. Thanks for your help. Carl</t>
  </si>
  <si>
    <t>#10 of course, Delaney. And it all started with your friendly and gracious welcome! Truly, Ted Croll</t>
  </si>
  <si>
    <t>I left my room this morning to grab breakfast and came back to someone having gone through my room. Lights are on, curtains open and the tv was put on.</t>
  </si>
  <si>
    <t>Not alert-worthy ‚Äî This is an overwhelmingly positive review with no complaint or issue. The guest is just enthusiastically praising their stay and asking who they're texting with. Front Desk can simply respond and thank the guest; no Manager awareness needed.</t>
  </si>
  <si>
    <t>you've had from tenants?</t>
  </si>
  <si>
    <t>"Award-winning" so far! ? you guys are great and the property is fantastic! Breakfast was excellent. We will be checking out very early tomorrow and look forward to a future return.</t>
  </si>
  <si>
    <t>(269) 744-7429 txt my wife she will let u know. She is not happy</t>
  </si>
  <si>
    <t>9 Will get 10 when u get a restaurant in here</t>
  </si>
  <si>
    <t>Thank you for checking! We are good and do not need any service. Everything has been great thanks!</t>
  </si>
  <si>
    <t>#10. Thanks we do need towel change out And trash emptied. No rush !!! Just sometime today Thanks</t>
  </si>
  <si>
    <t>#5 great hotel for a great city having a blast thanks!!!</t>
  </si>
  <si>
    <t>We've checkout but the stay was great thanks</t>
  </si>
  <si>
    <t>but my friend Alyson Spurgas is. Can you send future updates to th</t>
  </si>
  <si>
    <t>"10"! Hey Latasha - I overslept today and heard housekeeping come through but my door was locked. I've left for breakfast so please have them to clean 1563. Thanks!</t>
  </si>
  <si>
    <t>inoperable and I overheard the maintenance staff respond by saying, "tell the guests to use the hot tub." Our bathroom shower would</t>
  </si>
  <si>
    <t>You sent me a message yesterday Henry I responded you three times and I got nothing back from you this hotel gets a zero in many ways look at the messages I sent you last night</t>
  </si>
  <si>
    <t>(1/5) I would say a 10: In the areas where something was missed our incorrect, staff took immediate steps to make up for it and even compensate for it. My husb (2/5) and and I especially appreciated the upgrade from the starlight casita to what we were given, without having to ask. To me, this was another example of go (3/5) ing above and beyond. My husband said he would give a 9. When 8 asked why, he said his relaxing time by the pool was loud and intrusive by drilling noise (4/5) s in a house next to the pool. He felt a better time could have been chosen or weekday, versus weekend. Overall we are leaving with no disappointments, a (5/5) nd are already talking about coming back in Oct. :)</t>
  </si>
  <si>
    <t>. I'll need a room that has hot water or will have to move.</t>
  </si>
  <si>
    <t>**Definitely alert-worthy**
 Rationale: This is a stacking-failures situation ‚Äî Do Not Disturb sign ignored, repeated loud knocking, wrong-room mix-up, then a follow-up phone call disturbing the guest again. The guest explicitly describes it as "very disturbing," indicating real distress and a legitimate privacy/service breakdown rather than a minor inconvenience. Multiple staff errors compounding on one guest, plus DND disregard (a mild privacy/security concern), warrants Manager awareness now rather than leaving it purely to Front Desk.</t>
  </si>
  <si>
    <t>Very well Thank you!</t>
  </si>
  <si>
    <t>Absolutely it is 5! We have so much fun staying! We will surely be back! Thank you for the nice accommodation!</t>
  </si>
  <si>
    <t>Can I extend checkout to 11 am or 12 pm tomorrow thank you</t>
  </si>
  <si>
    <t>entire hotel. Just a suggestion. Thank you.</t>
  </si>
  <si>
    <t>(1/2) Thank you! Please let me know if there are any restaurants that you highly recommend? Also, we have our daughter with us, she is almost 2. Is there any (2/2) thing that you recommend that she would enjoy?</t>
  </si>
  <si>
    <t>Very nice experience so far. Thanks.</t>
  </si>
  <si>
    <t>keys going to work until 4pm on Monday now? I should have asked. Thank you</t>
  </si>
  <si>
    <t>not going to be full service.</t>
  </si>
  <si>
    <t>(1/4) Rate of 10, wonderful hotel staff and great security staff provi (3/4) Hopefully, the cleaning crew will still be on our floor when we (2/4) ded; however, I did forgot to ask for new towels for the rooms. (4/4) get back from our lunch outing. ?</t>
  </si>
  <si>
    <t>LEi have rotten creamer for coffee but better</t>
  </si>
  <si>
    <t>i am out thanku was great</t>
  </si>
  <si>
    <t>(1/2) Going good. Relaxing. We would rate it a 9. We are taking advantage of the free movies. Thank you. Question-are the rolled towels on the pool chairs (2/2) reserved ir just for our use?</t>
  </si>
  <si>
    <t>pain and pressure. The front desk associate had towels and plastic bags sent so I got up all of the wet towels and put them in the bag. The lady from</t>
  </si>
  <si>
    <t>No idea. Never made it to tamp</t>
  </si>
  <si>
    <t>Probably alert-worthy ‚Äî Overall stay was positive (8/10, praised restaurant staff and service), but the guest raises a substantive, constructive complaint about reception-area music noise reaching rooms and disrupting sleep on weeknights, which affected her experience enough that she'd have requested a different floor. This is a specific operational/noise issue with a suggested fix (cut off music earlier Mon-Thu) that a Manager would likely want to know about for policy review, but it's delivered calmly/constructively without strong dissatisfaction or escalation language, so it sits just below "Definitely."</t>
  </si>
  <si>
    <t>#. 9 we would like to see movies at the pool and waitressing around the pool and more varieties of food available. Nevertheless, it's a great place. We are enjoying ourselves. Thanks</t>
  </si>
  <si>
    <t>went down only to find a sign on the gates they had shut down for the day.</t>
  </si>
  <si>
    <t>relax us before my best friends wedding, Carrie DeBuys and Dan Lev</t>
  </si>
  <si>
    <t>"Navigator" touchscreen in my room doesn't respond (I called ext. 22 and was advised to unplug it). Lightbulbs in the room lamps are super bright. Otherwise all good. Thanks!</t>
  </si>
  <si>
    <t>I noticed in some of the hotel literature that it mentions we have a daily food and beverage credit worth 28 dollars. How and where do we utilize that credit? Thank you for your time.</t>
  </si>
  <si>
    <t>the rest is been great and my score for you is 10!! Thank you for everything?</t>
  </si>
  <si>
    <t>the more basic hotels like Hampton Inn and Garden Inn, etc. But we enjoyed our visit. Thank you!</t>
  </si>
  <si>
    <t>Thank you for your very good service. Again I would like to come to Hilton. Regards. Ogawa</t>
  </si>
  <si>
    <t>? Many thanks Sarah</t>
  </si>
  <si>
    <t>It's going great. I'm having a really good time. It certainly is a 10 so far. Thanks for checking in.</t>
  </si>
  <si>
    <t>Very nice thank you. So far you're a 10</t>
  </si>
  <si>
    <t>for anyone using this as a quick rich scheme and sue you. 9</t>
  </si>
  <si>
    <t>(1/2) Thanks Christina, the stays been great. Its a 10, friendly staff. I like how the digital check in gives you the wifi password. Just to let you know it say (2/2) s the password is "Diamond16" but it wasnt hard to guess change the 16 to 17 and it worked. Excellent stay</t>
  </si>
  <si>
    <t>**Definitely alert-worthy**
 Rationale: While the guest praises staff and gives a high overall rating, this describes a significant operational failure ‚Äî a 60-minute discrepancy from the promised 15-minute valet retrieval time, causing the guest to be "very late" for the specific business meeting that brought them to DC. This is a concrete service failure with a real consequence (missed/delayed important meeting), not just a minor inconvenience. The guest is also implicitly flagging a systemic issue ("the system needs to..."), suggesting this isn't a one-off and could recur with other guests. A Manager would want visibility into this valet process breakdown now, both to address the immediate guest relationship (likely warranting a gesture/recovery) and to fix the underlying system issue before it affects other guests' travel plans.</t>
  </si>
  <si>
    <t>I was told two years ago this hotel was getting an upgrade and that has not happened but these machines are atrocious. I walked over to the Hyatt place</t>
  </si>
  <si>
    <t>m sure your actual guest would like to hear from you. **Please remove! Thank you!</t>
  </si>
  <si>
    <t>(1/3) We are leaving our stay was comfortable and Mona took very good (2/3) care of us on check in, check out and in-between ...thank you to (3/3) all ??</t>
  </si>
  <si>
    <t>Our suite at Casa Marina was an award, however if I were paying I would have been a bit disappointed. The light over the bathroom mirror (critical for d</t>
  </si>
  <si>
    <t>. We need an additional comforter or blanket in the room. We are all Gold Hilton honors member and we want to make sure the we have the complementary water as well. Thanks</t>
  </si>
  <si>
    <t>Very nice thank you</t>
  </si>
  <si>
    <t>Can I get a couple bottle of water</t>
  </si>
  <si>
    <t>(1/2) The stay has been very nice but we really miss the Diamond member executive lounge. The free drinks and snacks we big with my wife and sons. We have never (2/2) been to a Hilton that did not have an executive lounge. Cheers</t>
  </si>
  <si>
    <t>us a room number and said a 7 minute walk to the right. The guys up front watched me try to park in Valet parking and just watched me struggle. Eventual</t>
  </si>
  <si>
    <t>it all out and everything else is fine. Thanks</t>
  </si>
  <si>
    <t>9. You have excellent service. Two things I would put in the suggestion box: 1) I prefer the music to be not so loud by the pool. 2) it would be more convenient if the Deli were open a bit longer. But really wonderful. Thank you!</t>
  </si>
  <si>
    <t>**Not alert-worthy** ‚Äî This is a glowing compliment, not a complaint or issue. The guest wants to identify a staff member for praise/thanks. Front Desk can log this and pass along the recognition to the employee and management through normal channels; there's no dissatisfaction, risk, or escalation signal requiring real-time Manager alerting.</t>
  </si>
  <si>
    <t>All good, thanks for asking. There is a lightbulb burnt out in the bathroom. Thanks and have a great day.</t>
  </si>
  <si>
    <t>Our stay is fantastic. We are enjoying the sun and the stay is wo</t>
  </si>
  <si>
    <t>....and thanks for the lovely Birthday card and wine. As a HGV owner, the gesture was much appreciated. Feel part of the HGV family. Thank you very much!</t>
  </si>
  <si>
    <t>Question for you. Are all the beds in the hotel the same? If so do you have any options to provide extra padding? The bed is very firm and hurting my back.</t>
  </si>
  <si>
    <t>Everything is great! Thank you very much for allowing us to take the room last night instead of this morning. Truly we appreciate that!</t>
  </si>
  <si>
    <t>*24. Great stay. Thanks</t>
  </si>
  <si>
    <t>(1/2) oh hey! I actually tried to call down to get my car, phone rang about 15 times, no one picked up but no worries, I know there are tons of people in the lo (2/2) bby... this hotel, for us, is always like a second honeymoon, we love staying with you. I'd give it a 12 out of 10.</t>
  </si>
  <si>
    <t>Thank you Joshua. I was wondering if we could get housekeeping this afternoon after 1 PM? I have been doing some work this morning and have been in the room so they have not been able to clean. But I will be out of here by 1 PM. They have tried to get in a couple of times. But I will be gone all afternoon. And out of their way then.</t>
  </si>
  <si>
    <t>Very good thank you</t>
  </si>
  <si>
    <t>(2/2) great experience. We love the 2 bedroom lockout due to the additional space. (1/2) Hello Zachary. We are enjoying our stay so far. We have to give it a 10+. We come here every year around this time for the past 3 years and always have a</t>
  </si>
  <si>
    <t>Not alert-worthy ‚Äî This is an enthusiastic, positive review with no complaints or issues. Purely complimentary feedback; no Manager action needed (though could be nice to share for morale, it doesn't meet the "needs to know now" bar).</t>
  </si>
  <si>
    <t>Clock has still not been reset fir 12 hours. I have the do not disturb on now- because I'm in a meeting. The room will be available this afternoon.</t>
  </si>
  <si>
    <t>#4 not to great, we have to listen to the elevators going up and down 24 hours a day. It is hard to sleep.</t>
  </si>
  <si>
    <t>construction on October 1st. 3weeks before departure. To late to cancel flight, request another week off work and find another resort.</t>
  </si>
  <si>
    <t>(9). Hi Riah, our stay has been superb so far. The bed was super comfy as were the pillows. The staff has been wonderful. My only comment is that the sc</t>
  </si>
  <si>
    <t>We would really appreciate if there's one. What we paid does not really live up to where we're staying right now.</t>
  </si>
  <si>
    <t>the bathroom sink doesn't drain well</t>
  </si>
  <si>
    <t>Because you're wonderful you could just throw me an extra couple pillows in the room that would be fantastic I'm good with everything else thank you</t>
  </si>
  <si>
    <t>a manager call me right away at 954-274-0892. Deanna Meisel I'd like an email confirming my cancellation sent to Deanna.meisel@areas.com</t>
  </si>
  <si>
    <t>(2/2) e counters and the guest next door were really loud most of the night. (1/2) It would be 9 atleast. But there were a couple of things. One Was the heater at times it would make a super loud noise. There were a few tiny aunts on th (1/2) It would be 9 atleast. But there were a couple of things. One Was the heater at times it would make a super loud noise. There were a few tiny aunts on th</t>
  </si>
  <si>
    <t>Need robes for guests</t>
  </si>
  <si>
    <t>0 and I which I can go lower than that</t>
  </si>
  <si>
    <t>5 but the toilet seems to have a steady drip, customer service was excellent and the room was great</t>
  </si>
  <si>
    <t>0. I assume you heard about last night.</t>
  </si>
  <si>
    <t>-1. Very disappointing. Please respond.</t>
  </si>
  <si>
    <t>Aloha Emily, we checked our yesterday, but our stay was excellent! Mahalo for the wonderful service. Here's a picture from my flight back to Maui!</t>
  </si>
  <si>
    <t>have just been very busy</t>
  </si>
  <si>
    <t>Hi Brianna. I am not in my room but when I went back at lunch it had not been cleaned. Do I need to request it or will it happen automatically?</t>
  </si>
  <si>
    <t>Ok just no hair dryer</t>
  </si>
  <si>
    <t>Brilliant thank you. 10</t>
  </si>
  <si>
    <t>Our day is definitely 10! Yes we would love a shuttle, we r on delta and land bout 5:55 . How often does shuttle come to airport? Thank u so much for asking!</t>
  </si>
  <si>
    <t>**Probably alert-worthy** ‚Äî Guest explicitly downplays the situation ("not a real big deal," "a little inconvenient"), so this isn't a case of strong dissatisfaction or a conduct complaint. However, three separate failures are stacking (no room service, broken ice maker, TV malfunction) while a guest in the room is sick, which is more than a single routine complaint. There's enough here that a Manager might want visibility to ensure proper service recovery for a guest dealing with multiple issues while caring for someone ill, but the guest's own mild framing keeps it just short of "Definitely."</t>
  </si>
  <si>
    <t>Ery disappointed in the room. Told front desk. Offered to move me but i didnt want to repack. Tv control didnt work had to get replaced, toliet was leaking. Had fixed, shower design is for wheel chairs. Was told but shoer curtain very short and sprayer hard to control so floor is always water , furniture etc very tired</t>
  </si>
  <si>
    <t>! We rate our stay a 5. Good afternoon! We loved our stay in every way. We were at the grad banquet yesterday as well and the food and service were exceptional. Thanks so much</t>
  </si>
  <si>
    <t>me), but I'll probably just find a different place for my next trip. If I am going to build a frequent traveller account to use when I vacation, I don'</t>
  </si>
  <si>
    <t>, but I think they are mostly resolved. Just had to walk up five flights of stairs, because the elevator wasn't working! Checked with the front desk, and</t>
  </si>
  <si>
    <t>(1/4) Hello Rudo... We want to THANK YOU for extending your Hotel Services as you did. I was in the Service Industry for years. I put myself thru college acco (3/4) the Staff and the Service that comes with the Industry. Just some work on the rooms and Engineering, hopefully the Company would be better off. Merry C (4/4) hristmas (4/4) hristmas</t>
  </si>
  <si>
    <t>a towel in the sill.</t>
  </si>
  <si>
    <t>Everything is going well, thanks</t>
  </si>
  <si>
    <t>"9" ... You were excellent last night, especially for two weary travelers. We also stopped for a drink &amp; snack at the bar. Our server, whose name I did not get, had the warmest, welcoming smile. All had been great so far.</t>
  </si>
  <si>
    <t>and from Delta Bash!!</t>
  </si>
  <si>
    <t>t be coming here if I didn't. Thank you for your GREAT service. My Starting with the second day, you are a 5. I love it here, I wouldn family is happy. Patricia?</t>
  </si>
  <si>
    <t>0 I left last night due to the treatment I received</t>
  </si>
  <si>
    <t>I think I'm going to ask for my room to be comped since the sink fell out.</t>
  </si>
  <si>
    <t>(1/2) It has been great. Just wish the lounge turned on the volume for the games last night. The music is not great in there. Other then that everything is goi (2/2) ng well. Thanks for the follow-up and you have a great day as welk.</t>
  </si>
  <si>
    <t>Everything is great thus far. Thanks</t>
  </si>
  <si>
    <t>**Probably alert-worthy** ‚Äì A lingering cigarette smell noticed by the guest's family (including a child) suggests a possible non-smoking policy violation or cleaning/ventilation lapse. It's not framed as a major health emergency or an angry complaint, but it's the kind of room-quality/compliance issue a Manager would likely want visibility into, especially if the room was booked as non-smoking.</t>
  </si>
  <si>
    <t>Michelle, I give Victoria Inn a 5 for my stay so far.</t>
  </si>
  <si>
    <t>#9 thanks for checking. BTW: your room suggestion is great. Thanks for convincing me.</t>
  </si>
  <si>
    <t>I had a dog barking and scratching the floor late night, after I requested a quiet room. Thankfully I was able to move to a different room.</t>
  </si>
  <si>
    <t>a way to turn the temperature down below 72°?</t>
  </si>
  <si>
    <t>It's great! Thank you!</t>
  </si>
  <si>
    <t>(1/2) All is great. We had a small issue with the entry door. I called the front desk and an engineer showed up 5 minutes later. He was super courteous and fixe (2/2) d it in no time. I am wondering if I could get the dollar amount of my deposit and the balance. Thank you.</t>
  </si>
  <si>
    <t>Hi Ryan No house keeping came yesterday Need to subtract 6 points Unfortunately no has come to make bed change towels or replace Soaps etc</t>
  </si>
  <si>
    <t>10 so far everything has been great!</t>
  </si>
  <si>
    <t>*7. Love everything except the fact it took 1.5 hours to be served breakfast. Excellent grounds excellent room</t>
  </si>
  <si>
    <t>Do you offer room service?</t>
  </si>
  <si>
    <t>Not alert-worthy ‚Äî Purely positive feedback expressing gratitude and satisfaction with the stay; no issues or concerns requiring Manager attention.</t>
  </si>
  <si>
    <t>0. Wish there was a tub</t>
  </si>
  <si>
    <t>I vote 8. We are just fine. I did suggest that a pitcher be added to the kitchen, more clothes hangers and a larger bed upstairs. We love the location and everything else is just great, thank you. Patty ELY</t>
  </si>
  <si>
    <t>Can I request more towels</t>
  </si>
  <si>
    <t>up our room and add fresh towels.</t>
  </si>
  <si>
    <t>(1/2) are stairs been absolutely wonderful we were really close to the Rusty Rudder we had a fabulous time at the Jazz show and we love staying at the hotel loo (2/2) k forward to seeing you again next year a rating is a 10</t>
  </si>
  <si>
    <t>0 because it's not my stay</t>
  </si>
  <si>
    <t>(1/2) Our stay 7. We hah an awesome time. The ouly negative, which wasn't your fault The people in room 52 was having a fight about 1 am Two men and one fem (2/2) ale, they were very loud! THANK YOU VERY MUCH FOR HELPING ME MAKE MY GRANDDAUGHTER 16th Birthday very Special. !!!!</t>
  </si>
  <si>
    <t>a free day stay credited back to my card not 50% off my sister stated coughing from the cold in the room it was 67 degrees in the room</t>
  </si>
  <si>
    <t>we came a little early than check in time yesterday. so we could not get the room in executive floor but our stay is going very good. thank you for the complementary chardonnay in our room.</t>
  </si>
  <si>
    <t>Not alert-worthy ‚Äî Purely positive feedback with no complaint or issue; no Manager action needed, though this could be nice to share as a compliment.</t>
  </si>
  <si>
    <t>0? Sorry to say but the most run down Hilton I have been in a long time..rooms are youth hostel style albeit with a beautiful view of a parking lot and bridge..not my expectation after paying close to $300.. High season or not..if Hilton has other properties like this their brand value and stock will suffer..sorry,nothing personal</t>
  </si>
  <si>
    <t>when the glassware is delivered, so please feel free to enter the room for the delivery. Thank you so much!</t>
  </si>
  <si>
    <t>Very confusing do you know and great sit town restaurants near Epcot?</t>
  </si>
  <si>
    <t>-1. I feel like my room service could have been better. My bed was. It made this morning and I was very disappointed</t>
  </si>
  <si>
    <t>I will give it a 5. Rooms were not working when we arrived and elevators were not working evening of my arrival, October 5th and morning of October 6th.</t>
  </si>
  <si>
    <t>(1/2) Merry Christmas to you and your family. May you enjoy many more (2/2) .???☃⛄ The stay was nice. Thank you Ms Peggy Melendez</t>
  </si>
  <si>
    <t>#7. Wish we had a mini fridge. Poor service in bar area yesterday afternoon . Our room Coffee maker malfunctioned.</t>
  </si>
  <si>
    <t>Very nice, thank you!</t>
  </si>
  <si>
    <t>(1/3) 3... The room was nice although there were elevator issues again not stopping on our floor with a wait time of 10 mins. all weekend. Also I was charged fo (2/3) r daily parking which I thought was free from the website. Overall room service food and room presentation was good and the staff was friendly other than (3/3) the inconvenience of elevator and parking charge. Thanks!</t>
  </si>
  <si>
    <t>1- horrible this morning This morning at 8 we had construction noise coming from the floor above us and just outside. Then a pest control guy knock o</t>
  </si>
  <si>
    <t>**Not alert-worthy** ‚Äî Guest reports an unanswered request/call, which reads as a routine service lapse Front Desk can immediately remedy by following up. There's no detail suggesting repeated failures, staff misconduct, safety concerns, or strong escalation language ‚Äî just a short note that they haven't heard back yet.</t>
  </si>
  <si>
    <t>"10". We had a wonderful time.</t>
  </si>
  <si>
    <t>. ? Thank you for your help!</t>
  </si>
  <si>
    <t>Kyle I get an extended checkout time for Oct 4?</t>
  </si>
  <si>
    <t>(1/2) Douglas Thanks for the messages. If you check I think you'll find this is my 4th time staying with you in the last 3 years. Why? Because the staff and pla (2/2) ce is awesome. Lol forward to the next time. Definitely a 10 in my book.</t>
  </si>
  <si>
    <t>You too .did my sister come and square the bill?</t>
  </si>
  <si>
    <t>Rated a 10 plus front desk ,parking, are room is awesome. was wondering if our parking included in an out privilege. Aloha</t>
  </si>
  <si>
    <t>hello, can you please check if my food and beverage credit was applied to my final bill. thank you</t>
  </si>
  <si>
    <t>(2/3) ly i had put a cup aside the day before.the rooms were clean and tidy.the first day i did call down for cups there were none upon checkin.the staff were c (1/3) 9 would have enjoyed a better on site restaurant. And housekeeping to be more consistent. The last night of our stay we were left with only one cup.lucki (3/3) urteus through out the hotel.</t>
  </si>
  <si>
    <t>###0168. Phone number</t>
  </si>
  <si>
    <t>0 I'm not staying there</t>
  </si>
  <si>
    <t>This is not alert-worthy.
 Rationale: The message is a lighthearted, joking remark about a personal matter unrelated to the hotel's service, staff, or facilities. There's no indication of dissatisfaction with the stay itself, no complaint about staff conduct, and no safety/security/legal concern. Front Desk can simply acknowledge it warmly or ask a lighthearted follow-up if they choose ‚Äî no Manager awareness is needed here.</t>
  </si>
  <si>
    <t>(1/3) Aloha, Love our mew room. Needs some deep cleaning with all the dust alo g the walls of the beds. It would be great if our neighbors were quieter (remote (2/3) control you that hums and will crash into the wall) and especially if housekeeping did not slam doors. We get up early and then try to nap. Otherwise it (3/3) is wonderful. Mahalo</t>
  </si>
  <si>
    <t>09 So far so good / front desk didn't have umbrellas:(</t>
  </si>
  <si>
    <t>No need to clean room today. Thank you.</t>
  </si>
  <si>
    <t>) The accommodations are over the top and all service personnel are so helpful and respectful - so a ten. And your department has already received word of ) our challenging morning which would be a 4 grade. Thanks for asking!</t>
  </si>
  <si>
    <t>wash cloth's ? Other than that, everything is fine.</t>
  </si>
  <si>
    <t>Wry nice, thanks!!!!</t>
  </si>
  <si>
    <t>(1/3) Thank you for asking. 4 is my rating for the room..My husband &amp; I prepared to sleep on the sofa bed but it was very very filthy. We made guest services aw (2/3) are &amp; they gave us a key to switch rooms but that room was not clean in various areas. We went to Walmart &amp; purchased clean linens, pillows &amp; a mattress p (3/3) rotector. Guest services are true professionals &amp; offered assistance as they saw fit. Other than that, my stay is going well.</t>
  </si>
  <si>
    <t>Its going great but i wanted to ask a question. I was going to go to thw frint desk to ask avkut the payment for our stay. When we checked in it was stated that it would be 1 $1600 plus $80 a day f As deposit. Which would be returned after checkout if everything is in order with the room. That would be $1600 + (80?6) $480=$2,080. However they charged $2,400. Why the additional $320?</t>
  </si>
  <si>
    <t>And it is so noisy from the noise from the traffic. Constantly woke down up by the traffic noise as well as the noise from the hall. The room did not</t>
  </si>
  <si>
    <t>(1/3) Good morning Ashlee. We give our experience with the Grand Geneva Resort a 10+. We like our unit very much. Our club is unable to allow us to use our po (2/3) ints for Friday (only Wed and Thurs), but if this unit is available, please let us know. We are considering paying out of pocket if it's ok. If not, we st (3/3) ill appreciate all you've done for us. We would definitely visit again. Thank you.</t>
  </si>
  <si>
    <t>I had called just after 6 in morning.</t>
  </si>
  <si>
    <t>O everything is just perfect. You n your colleagues do a great job. Most grateful ??</t>
  </si>
  <si>
    <t>It's an 8 - not enough hot water!</t>
  </si>
  <si>
    <t>**Not alert-worthy**
 Rationale: This is a routine maintenance/equipment issue (broken remote control) with no indication of guest distress, staff misconduct, or escalation intent. Front Desk can handle this by sending a replacement remote, batteries, or maintenance to the room. No signals of significant dissatisfaction or need for Manager awareness.</t>
  </si>
  <si>
    <t>(10)! Hi. My day is going great. I would like housekeeping in my room-820. Thank you.</t>
  </si>
  <si>
    <t>(1/2) Thanks for checking in, Mary. So far, a 9. You could make it bet (2/2) ter with some sunshine. ? Enjoying our time. Thanks, again.</t>
  </si>
  <si>
    <t>3. No economical breakfast options. Disappointed. Thanks.</t>
  </si>
  <si>
    <t>"10". Having a funtastic time . Rooms are perfect. Will definitely stay here again and tell my friends on social media. Thanks for checking in .</t>
  </si>
  <si>
    <t>#3 I got handicapped room, no bath , just a chair with hand held shower. Otherwise stay was nice.</t>
  </si>
  <si>
    <t>water, water fountain would be great! Also the TV system is not so friendly, and no streaming connection.</t>
  </si>
  <si>
    <t>#5, awesome service and room, will definitely recommend to friends</t>
  </si>
  <si>
    <t>ride the boat never see it</t>
  </si>
  <si>
    <t>#5 ...great nice helpful front desk people..even printed our boarding pass. Rooms were clean. Minor negatives - bathroom too small &amp; elevator too small &amp;slow;. Price &amp; location also #5..great. Aloha.</t>
  </si>
  <si>
    <t>0 how you chose to speak to me last night via telephone I will certainly be speaking to the GM In the morning or corporate</t>
  </si>
  <si>
    <t>10 you guys r great. Thank you.</t>
  </si>
  <si>
    <t>(1/3) Hello...we're really enjoying the stay but in the bdrm suite...we weren't expecting an accessible room (only thought the adjoining studio suite would be.. (2/3) .but we're ok with it). However there is a smell coming from either the bathroom sink or the washer/dryer combo that is becoming increasingly worse. We're (3/3) eating breakfast before heading to our noon marketing presentation but would like to have it taken care of. Thanks</t>
  </si>
  <si>
    <t>Very well thank you.</t>
  </si>
  <si>
    <t>**Definitely alert-worthy**
 Rationale: This combines a sanitation/health concern (toilet water overflow requiring sanitizing) with a broken service promise (housekeeping said 5 minutes, never showed). The unresolved unsanitary bathroom condition is a hygiene issue a Manager would want to know about now, and the stacked failure (mess + no follow-through) suggests this guest's stay is off to a rough start that may need proactive Manager-level recovery (e.g., comp, room check, personal follow-up) rather than just another service ticket.</t>
  </si>
  <si>
    <t>room portion not cleaned well. I gave feedback this morning and everything was rectified nicely except for leftover coffee that was in a coffee cup when</t>
  </si>
  <si>
    <t>(1/2) It didn't work this morning, but I'm home now. Probably give it a 4, internet issues and I couldn't use my $5 vouchers for the mini bar stuff I racked up (2/2) lol. Otherwise, good. Thanks</t>
  </si>
  <si>
    <t>my room and he helped me tremendously and gave me excellent customer service. Thank you</t>
  </si>
  <si>
    <t>###0000 Ty for every</t>
  </si>
  <si>
    <t>(1/2) 4...Would be a 5 but could not get through to room service last evening...on hold for 7 minutes and finally gave up. Otherwise service is excellent and pr (2/2) operty is beautiful.</t>
  </si>
  <si>
    <t>At this point I would give you a 10. Thank you.</t>
  </si>
  <si>
    <t>#9. Only because the panel on my Jacuzzi is hanging open.</t>
  </si>
  <si>
    <t>(3/3) know how important morning cup is ☺ (1/3) 10! Having an awesome time. My children arrived safely. One thin (2/3) g. Our coffee machine seems to be not working correctly ? You</t>
  </si>
  <si>
    <t>smoked so much I was scared I would start a fire and didn't use it. No fridge in the room- most hotels have fridges. This thing of scheduling housekee</t>
  </si>
  <si>
    <t>"10" Staff has been excellent. Even with a power outage the staff was composed and super helpful. Especially the GM and the night Manager. ??????</t>
  </si>
  <si>
    <t>8 We don't have an ice bucket , the outlet in bathroom is not working, we found a ball of hair in bathroom. Otherwise it's Really good and clean</t>
  </si>
  <si>
    <t>We love it here and have had great food and service!</t>
  </si>
  <si>
    <t>5. Had major noise problems outside our room by the forum last night but the manager satisfied the complaint to the best of her ability and comp'd our room for the night. Not sure if our room is being cleaned, but if not, I would like fresh towels. Thanks</t>
  </si>
  <si>
    <t>10 where do I put trash?</t>
  </si>
  <si>
    <t>**Not alert-worthy**
 Rationale: The guest is expressing routine dissatisfaction about pricing being too high and a minor gripe about spelling/order-writing errors by Starbucks staff (likely misspelled names/orders on cups). This is a minor inconvenience/ordinary complaint ‚Äî no indication of rude/discriminatory treatment, safety issue, or escalation intent (e.g., no mention of reviews, corporate, refunds, legal action). Front Desk can address this as routine service feedback.</t>
  </si>
  <si>
    <t>... 9 / 10 ! Thanks ?</t>
  </si>
  <si>
    <t>Can you send me a bath robe please and thank you otherwise So far so good thanks!</t>
  </si>
  <si>
    <t>Hi Brianna thank you for checking in we're having a great time</t>
  </si>
  <si>
    <t>(1/5) So far it's going well. I really appreciate the opportunity to change rooms this new room is much quieter and more spacious. I do have some feedback about (2/5) the closet doors. The door does not open in the most efficient manner for the space that it's installed in. It opens the opposite direction So currently (3/5) it swings from right to left and it should be hinged on the other side and swing left to right that would make it easier to put your garments into the clo (4/5) set and not have to fight the door. The other thing is that it is on a spring hinge so it automatically closes so you have to really fight it to get your (5/5) garments into the closet. It would be more convenient if it either had a doorstop to keep it open or not a spring-loaded hinge.</t>
  </si>
  <si>
    <t>Hotel on the Magnificent Mile to others. I am a Chicago native and the hotel location and services made me proud of my city and the Embassy Suites Magni</t>
  </si>
  <si>
    <t>All is good, nice and relaxing ! Thank you, Paula!</t>
  </si>
  <si>
    <t>It's going ok the stay . Rating of stay 4</t>
  </si>
  <si>
    <t>(1/2) Hi Sydney our time has been awesome thanks for asking. Heading (2/2) to the Dam today? Enjoy your day as well.</t>
  </si>
  <si>
    <t>we left an IPad in our room. We are the port now. How could we get that back?</t>
  </si>
  <si>
    <t>Not alert-worthy ‚Äî This is an enthusiastic, positive review with no complaints or issues. Front Desk can acknowledge the compliment; no Manager action or awareness is needed (though management may enjoy seeing it, it doesn't "warrant" real-time alerting).</t>
  </si>
  <si>
    <t>Hi AC was bad last night Front desk was looking into it for me</t>
  </si>
  <si>
    <t>(1/2) Good morning AJ, stay is going good, 7, the floor in the room is a little cold for us being on the ground floor. We enjoyed the nature walk with Morgan (2/2) and breakfast at the restaurant was very good.</t>
  </si>
  <si>
    <t>It at this time but can you have the room cleaned and an extra pillow and blanket be left in the room?</t>
  </si>
  <si>
    <t>10 Very good. I'm out of the room; can I check out remotely?</t>
  </si>
  <si>
    <t>(1/2) Thank you for asking. This is the first time my wife and I have been here. Let me tell you we are impressed. The Manager Special was unexpected and amazin (2/2) g. The omelets this morning were perfect. We will be back. We give Embassy Suites a 10!</t>
  </si>
  <si>
    <t>(1/2) Hi Jeff, the hotel was great and we enjoyed our stay except the printed receipt was not placed under my room door. Also, when I checked in they quoted me (2/2) a price of $20 a night for parking and at check out, they charged me $28 a night. Which is correct? Other than that, everything was great!!</t>
  </si>
  <si>
    <t>(1/2) Thank you so much!! If you have any cancellations that have a King bed, my wife would love that and we would be incredibly thankful. Only one more night t</t>
  </si>
  <si>
    <t>**Probably alert-worthy**
 Rationale: This implies the guest made an earlier request or complaint that went unanswered ‚Äî a potential service failure ‚Äî but the message alone doesn't reveal what they needed, how urgent it was, or how long they waited. It's a signal worth flagging (unresponsiveness is a common driver of guest dissatisfaction), but there's too little detail to confirm it rises to a "Definitely" level (e.g., we don't know if this was a safety issue, a billing dispute, or just a missed housekeeping request). Front Desk should follow up immediately to find out what was needed and close the loop, and the Manager should be made aware in case this reflects a pattern or becomes a bigger issue.</t>
  </si>
  <si>
    <t>Everything is wonderful. Thanks for reaching out</t>
  </si>
  <si>
    <t>gorgeous. The pool is gorgeous. This open text line is incredible. I looooove that there is no casino nonsense in here. This place is a peaceful oasis i</t>
  </si>
  <si>
    <t>Very good thank you.</t>
  </si>
  <si>
    <t>(1/3) Good morning Larissa, our stay went very well thank you. I would rate it a 10. One suggestion- you may want to create a late night food menu and distingui (3/3) t the 1st time that question has been asked. Not a complaint just an observation from someone that has been in the business for 20yrs. (3/3) t the 1st time that question has been asked. Not a complaint just an observation from someone that has been in the business for 20yrs.</t>
  </si>
  <si>
    <t>(I’m not receiving notifications. If this is urgent, reply “urgent” to send a notification through with your original message.)</t>
  </si>
  <si>
    <t>(9) beds are a little small. Do you have a cot?</t>
  </si>
  <si>
    <t>i would like to have my room cleaned. i also asked for a set of towels which I received but they were only towels, I should have said I needed wash clothes and a hand towel please. Thank you</t>
  </si>
  <si>
    <t>(8) it would be nice if tv's were capable of connecting to a phone and stream movies. Most of other HGVC tv's are able to do this.</t>
  </si>
  <si>
    <t>Hello . Will you send a shuttle to smith house so that i can get to the pool. Thank you</t>
  </si>
  <si>
    <t>Thanks for asking. Pretty good, but my air conditioner doesn't go below 72 and I've been getting hot.</t>
  </si>
  <si>
    <t>Not alert-worthy ‚Äî Purely positive feedback with praise for staff and facilities; no issue or concern requiring Manager attention. Front Desk can simply acknowledge/thank the guest (and optionally pass along the compliment about the doorman).</t>
  </si>
  <si>
    <t>be replenished without me calling the front desk and asking for them. 7 out of 10 for me.</t>
  </si>
  <si>
    <t>(1/2) 8 so far.10 for you, but AC because the phone by the desk doesn't work, and the central air only goes up to 74 degrees. I prefer 78 or so. But the hotel i (2/2) s lovely and the breakfast was wonderful.</t>
  </si>
  <si>
    <t>it will be appreciated.</t>
  </si>
  <si>
    <t>(1/2) A 5 except service at dinner. Just 1 waiter doing room service &amp; waiting tables is definitely a 2. Also, Chelsea at front desk is such a good people perso (2/2) n, a great asset for the hotel.</t>
  </si>
  <si>
    <t>0 they wasn't no hot water , my room was dirty. I just feel like my room wasn't set up correctly</t>
  </si>
  <si>
    <t>so I'm very happy with that. I was just a little disappointed because I selected this particular hotel for its high merits and ratings. First night ran</t>
  </si>
  <si>
    <t>. I'd appreciate if you can you please have it looked at. Thanks again. Thanks for checking in. I need to tell you that the bathtub is not draining properly and is backing up even as I tried making sure the cover is opened up</t>
  </si>
  <si>
    <t>Absolutely a 10. Great service , cleanliness , food , drinks and atmosphere. Most definitely will return</t>
  </si>
  <si>
    <t>(1/2) We always love it here. Did not realize dinner was off property. Shuttle, service and dinner was fair. This property and staff is 100 times better. Thi (2/2) s feels like home! Here is always 10 last night for $500 was a 6?</t>
  </si>
  <si>
    <t>Not alert-worthy ‚Äî This is an entirely positive message with no complaints or concerns. No Manager action needed; could optionally be shared as positive feedback, but not an "alert."</t>
  </si>
  <si>
    <t>two concerns are important mold being the most important.</t>
  </si>
  <si>
    <t>Fantastic so far! You have a great team taking care of your guests</t>
  </si>
  <si>
    <t>no one to take the ticket. Not efficient !</t>
  </si>
  <si>
    <t>10. I did request someone to clean the couch in our room. I'm not sure if it was done though.</t>
  </si>
  <si>
    <t>09! Thank you for asking. I would like to request removing the beverages from the refrigerator, please. I am on a special antibiotics protocol and will need room for probiotics and whey protein drink makings. Many thanks.</t>
  </si>
  <si>
    <t>My stay had some issues: -Room was changed -No security(people walking through the lobby with no bathing suit cover ups, wet and leaving puddles of water on the lobby floor.) -No key was needed to use the pool, seemed like people other than guest of the hotel were using the pool. -room was not clean, as far as rug not vacuumed, couch pillows looked very dirty, and my 2 year old son picked up a mouse trap that was under the couch. -tried to recycle was told your company doesn't recycle bottles or cans??? Really??? -nobody on site to answer my questions about the pool being available to swim. 5</t>
  </si>
  <si>
    <t>We are having a great time! Thank you</t>
  </si>
  <si>
    <t>(1/2) Mr Carns, 9.99 Everything was spectacular! ! Your staff is amazing. Well trained and very personal. Please send us any specials as we have family in (2/2) Boca ... Cheers</t>
  </si>
  <si>
    <t>to check out later? Even an hour would be awesome.</t>
  </si>
  <si>
    <t>It's been great so far. Everyone has been very kind and helpful!</t>
  </si>
  <si>
    <t>Is there any activities today for kids ?</t>
  </si>
  <si>
    <t>for a few hours after checkout and then pick it up around 3:30pm or so?</t>
  </si>
  <si>
    <t>(1/2) It is nothing short of amazing. The hotel team is the best I have ever encountered, and I have states at numerous hotels. 10+ for Alejandro and Francisco (2/2) at the front desk!They were a great help and went of their way to make our first day unforgettable. Thanks</t>
  </si>
  <si>
    <t>Probably alert-worthy ‚Äî Broken fridge caused guest to lose food and incur extra costs, and guest explicitly states dissatisfaction ("not too happy about that"). There's a concrete financial loss being called out, which could turn into a compensation request, but the tone is more frustrated-explaining than escalating/threatening. Front Desk can likely resolve by fixing the fridge and offering reimbursement, but Manager should probably be aware given the guest is flagging a monetary loss due to a maintenance failure.</t>
  </si>
  <si>
    <t>7.5 Wish the hotel wasn't so full, elevators are over crowded, I can heat my neighbors through the wall Love the gym and pool</t>
  </si>
  <si>
    <t>Hi Joseph all good</t>
  </si>
  <si>
    <t>(1/3) Pretty good so far. Went out for drinks late last night. Brought (2/3) back a naughty boy. Whewww did we have fun. Might need some (3/3) clean sheets.?</t>
  </si>
  <si>
    <t>Yes actually. We have been trying to get a reservation at one of your on site restaurants. Please and bear or Italian. Could you please check for us. Party of 2 either tonight or tomorrow around 7?</t>
  </si>
  <si>
    <t>their shuttles went by before one of yours arrived.</t>
  </si>
  <si>
    <t>"9" the room(s) are clean modern and nicely appointed. The location is excellent. Especially in the colder than normal weather as we are only a few steps from the flaming and moving through casino to casino to get to where you want to go. The market place is convenient. Thank you for checking</t>
  </si>
  <si>
    <t>*24. Sorry left at 945</t>
  </si>
  <si>
    <t>(2/2) y experience has been excellent, im glad to be a hilton honors member. (1/2) Well i have to give it a 9 and not a 10. My first room was next to the elevator and the noise from the cables kept me up most the night. Other than that m</t>
  </si>
  <si>
    <t>Can i have a late checkout ?</t>
  </si>
  <si>
    <t>-0 is my rating for this Hotel</t>
  </si>
  <si>
    <t>" 10 " Can we get some milk please ? Breakfast was great !Rocky was our server he was awesome!</t>
  </si>
  <si>
    <t>Very good!!! Thank you!</t>
  </si>
  <si>
    <t>got in after hours yesterday &amp; left early this morning.</t>
  </si>
  <si>
    <t>(1/2) It is absolutely wonderful!! Although I only spend a few hours sleeping ..it is peaceful, immaculate and this trip I actually checked out a dvd..yipee!! T (2/2) hank you ..definitely a 10</t>
  </si>
  <si>
    <t>**Probably alert-worthy**
 Rationale: This is a stack of multiple minor room deficiencies (burnt-out light, missing coffee cups, general amenity complaints) rather than one clear serious failure. No staff conduct issue, safety concern, or escalation language is present, and each item individually is a routine fix Front Desk can handle. However, the accumulation of several unrelated shortcomings plus the generic "amenities are poor" comment suggests a broader dissatisfaction with room quality/preparation that a Manager may want visibility into (e.g., housekeeping/inspection lapse), even though the guest's words don't give enough detail to confirm how serious the overall dissatisfaction is.</t>
  </si>
  <si>
    <t>10-Very well. Bridgett at the Tour desk is particularly helpful!</t>
  </si>
  <si>
    <t>What time does pool and pool bar close ?</t>
  </si>
  <si>
    <t>"4"the studio is to small we thought this package deal was to impress us. we have little bugs in our room, slider dont lock, you hotel closes at 7pm so if enjoy the park during the day and want to come back and relax at the bar and have some food you cant. The TV has bad reception. You safe is in a bad location. I will say your staff is very nice and friendly .</t>
  </si>
  <si>
    <t>hotel. If there's anything else i can assist you with please let me know.</t>
  </si>
  <si>
    <t>(1/2) Amber, thanks for asking. Overall I'd rate the hotel a strong 9.5 There have been minpr hixkups and I'd rank the response a 10 or better. You, Brittany on (2/2) the phone and 2 managers on duty Andrew and Stephen would all receive 10 or better.</t>
  </si>
  <si>
    <t>Its too bad the pool is closed a swim after a full day of museums would be nice. But enjoying the room. It is very comfortable.?</t>
  </si>
  <si>
    <t>. However, front desk and valet staff very accommodating and friendly.</t>
  </si>
  <si>
    <t>(1/2) Alena ALOHA, Everything has been great. Thanks for all your help regarding our concerns and please look at the front desk there will be an item for you j (2/2) ust as a MAHALO.</t>
  </si>
  <si>
    <t>to my checkout so lucky to grab the bag from person as working when I went up. Also would encourage you to check on room details for graffiti on bathro</t>
  </si>
  <si>
    <t>-27 it was horrible!</t>
  </si>
  <si>
    <t>(1/3) O I thought Diamond members are guaranteed the best available room without additional cost. We are staying on the property for almost a full month. 50 (2/3) extra would be a significant increase. Besides the gentlemen that checked us in last night apologized that he didn't have a ocean view available for che (3/3) ck in and asked that we check back.</t>
  </si>
  <si>
    <t>0 - We are Hilton Diamond and Elite Premier. I have never had such a bad experience or had such rude treatment. I called for the shuttle and was told it would 15 minutes. I waited 20 minutes called again and was told it would not stop at terminal C to go to terminal B. Went there, waited 25 minutes and nothing showed. I called again and was left on hold for 22 minutes. I ended up taking a $40 cab ride. I requested that the manager reimburse this and he refused. I will NEVER select Hilton brand through the United app again. The customer service of Hilton's has declined...</t>
  </si>
  <si>
    <t>**Definitely alert-worthy**
 Rationale: This shows multiple stacking failures ‚Äî a patio light fixture issue *and* no hot water ‚Äî plus a failed service recovery attempt (staff already came out to fix it and the problem persists). Repeated/unresolved maintenance failures signal a guest experience that's deteriorating despite intervention, which is exactly the kind of pattern a Manager should be aware of in real time, even without explicit anger or escalation language.</t>
  </si>
  <si>
    <t>in the meeting rooms.... Not so much....? And.... whoever designe</t>
  </si>
  <si>
    <t>(1/3) Thank you for the upgrade, the room was great. The only thing I can say is that the service in the waves grill and pool area could be way better. I wo (2/3) uld recommend having people servicing to pool side guests. It is a hassle to get up and go ask for a menu especially if you are sitting on the other side, (3/3) also them go back to order. The drinks and food also took a long time to get to us.</t>
  </si>
  <si>
    <t>Going pretty well so far. Thank you Murvyn</t>
  </si>
  <si>
    <t>(1/2) Everything is going ok. It would have been nice if you guys could have let me know that the elevators were not working this morning. That seems like somet (2/2) hing that would be good to let guests know. If the elevators are still down please text me back so i can plan accordingly. Thank you</t>
  </si>
  <si>
    <t>lost and form claim but no one responded back. I'm sure you guys will let us know if you find it or someone turns it in. It's for Jonathan Jones-Thomas.</t>
  </si>
  <si>
    <t>I finally found the guest service (thanks to a nice security man) only to find out you can't rent a cart or anything for children while shopping. I aske</t>
  </si>
  <si>
    <t>(5) This experience was wonderful! You guys did an awesome job. My family can't wait to come back... Thanks</t>
  </si>
  <si>
    <t>. The new room that we finally moved into and go to sleep after 1 AM is very nice. But that whole evolution was kind of a bummer. Also can you tell me wh</t>
  </si>
  <si>
    <t>CHeck out is Wednesday a.m correct?</t>
  </si>
  <si>
    <t>**Not alert-worthy** ‚Äî A specific, routine service miss (requested water not delivered). The exclamation marks signal mild frustration, but there's no indication of staff misconduct, safety concern, or broader dissatisfaction ‚Äî Front Desk can simply resolve it by sending water.</t>
  </si>
  <si>
    <t>"10" I'm enjoying my stay, thanks for the accommodation! Have a great day!</t>
  </si>
  <si>
    <t>Hi. can u let me know what restaurants you recommend that are walking distance. Thank u</t>
  </si>
  <si>
    <t>Very good. 10 so far. Thank you. Is there somewhere I can print 1 document?</t>
  </si>
  <si>
    <t>A/C was off so the room was hot. Also the hot water in bathroom si</t>
  </si>
  <si>
    <t>(2/2) pool today. We had to use our own towels from the room. Otherwise, it was wonderful. Thank you! (1/2) Our stay was wonderful. The service was fast and great. Only thing that we didn't like was that the bacon was overcooked and there were no towels for the</t>
  </si>
  <si>
    <t>Rating 9. Can I request a few hours later check out tomorrow July 22?</t>
  </si>
  <si>
    <t>-1 absolutely horrible!!!</t>
  </si>
  <si>
    <t>should know. That shouldn't happen.</t>
  </si>
  <si>
    <t>Checked out on the app and had a great stay. Thanks Nicole</t>
  </si>
  <si>
    <t>(2/2) charge... But we are really enjoying the room and staff have been so helpful..</t>
  </si>
  <si>
    <t>**Definitely alert-worthy**
 Rationale: The guest indicates they've already raised complaint(s) ("read my responses above") that appear to have gone unaddressed, and now feels the outreach itself is disingenuous ("insulting"). This signals a stacking failure ‚Äî an unresolved issue plus a guest who now feels dismissed/disrespected by the property's response. That combination of unresolved complaint + strong emotional reaction warrants Manager awareness now, even without full detail on the original issue.</t>
  </si>
  <si>
    <t>"9" Good morning... all is well... please note, vent in bathroom hasn't worked, but we are fine. Thank you.</t>
  </si>
  <si>
    <t>(2/2) next time.?? (1/2) 10 Excellent! Thank you for the great service. We shall be back</t>
  </si>
  <si>
    <t>(1/2) Its great. I would say 8. 2 points I will take away for: There are not much dining choice/options. You have to out for dining. There should be at least co (2/2) ntinental breakfast included. I wish you could have extended couple hours as being a member. Otherwise room is great. The view is excellant.</t>
  </si>
  <si>
    <t>038887 need my Audi Q7 in 10 minutes</t>
  </si>
  <si>
    <t>7..... because the carpet smells the security lock on the door doesn't work.. other than that I would give you eight.... and being honest I wouldn't recommend this place to anyone.... but I'm very appreciative of this day thank you.</t>
  </si>
  <si>
    <t>(5) in addition, breakfast was great and all your staff are very pleasant. Thanks</t>
  </si>
  <si>
    <t>our employees staying in these conditions. Thank you.</t>
  </si>
  <si>
    <t>( 5 )due to no housekeeping regardless how long u stay &amp; no adult area by the pool no transportation to the presentation due to safety reasons. No complimentary breakfast &amp; my balcony faces no scenic site. More over nothing given for visiting the resort</t>
  </si>
  <si>
    <t>Not alert-worthy ‚Äî This is a highly positive, glowing review with no complaints or issues. No Manager action needed; could optionally be shared for morale/recognition purposes, but doesn't warrant a real-time alert.</t>
  </si>
  <si>
    <t>(1/2) 8~ granted its a handicap accessible room, so slightly awkward for an able bodied guest but the shower never delivered hot water, tepid at best. Other tha (2/2) n that it's ok. Thanks.</t>
  </si>
  <si>
    <t>8..more towels, beds are a little too soft, more pillows</t>
  </si>
  <si>
    <t>"10" The Housekeeping Crew who refreshed my room today did an excellent job. I would like to acknowledge her/them. How would I do that since I didn't see</t>
  </si>
  <si>
    <t>(5) Your doorman, the one who had the Sunday morning shift and was there at around 10 am was very courteous. Special thank you to, I think his name is Dietone. Check in went seamless. He was there when I checked in Sat at around 3 pm and when I checked Sunday. Thank you.</t>
  </si>
  <si>
    <t>Moya, the day is going well, but I checked out yesterday</t>
  </si>
  <si>
    <t>Welcome to Twitter! Follow people for great content. Std msg/data rates apply. Already on Twitter? Reply YES to sign in. Reply with your full name to sign up.</t>
  </si>
  <si>
    <t>Thé stay has been great. Definitely a 10 so far. Thanks Sal</t>
  </si>
  <si>
    <t>water in shower didn't get above luke warm majority of stay. :pool staff was amazing :)</t>
  </si>
  <si>
    <t>Slept well. Bed was so comfortable. Love the make up area in the bathroom.</t>
  </si>
  <si>
    <t>We have had nothing less than an amazing and spectacular experience thank you</t>
  </si>
  <si>
    <t>said "are you ready to order." And then we ordered a Paloma and she brought the one with mezcal. We told her that we wanted the regular one- heard the b</t>
  </si>
  <si>
    <t>(1/2) Good morning. I'm rating it a 9, not because the service isn't great but because I requested a room with an ocean view as we are celebrating our 13th wedd (2/2) ing anniversary and we are in a room on the 3rd floor with a few of the parking structure. The staff is absolutely incredible though. Thanks!</t>
  </si>
  <si>
    <t>**Definitely alert-worthy**
 Rationale: The guest opens with "0!" ‚Äî reading as a rock-bottom satisfaction score ‚Äî paired with heavy emphasis (multiple exclamation points) signaling strong dissatisfaction. Beyond the tone, there's a concrete operational failure: a booking error forced a room relocation *after* the guest had already checked in and settled in for hours. That's not a routine inconvenience ‚Äî it's a service failure with real guest impact (disrupted plans, moved belongings, lost time) and reflects poorly on front-desk/booking processes. The combination of an extreme sentiment signal and a specific, verifiable operational lapse is enough for a Manager to want real-time awareness, even without an explicit escalation threat.</t>
  </si>
  <si>
    <t>Hey thanks for checking everything is fine however could use some more soap and hair products please</t>
  </si>
  <si>
    <t>ask for extra towels to soak up the water.</t>
  </si>
  <si>
    <t>(1/2) Everything has been fantastic we love the lazy river the lounge chairs and our room is beautiful. I also want to tell you the view is also beautiful. Th (2/2) ank you, Rob and Ellen</t>
  </si>
  <si>
    <t>I am going to need some new shampoo body wash and body soap if possible?</t>
  </si>
  <si>
    <t>#24 Thanks what a great stay we had here in Fort Lauderdale we sure will return to the Hilton Marina. Thank you so much Derby.</t>
  </si>
  <si>
    <t>her initiative in offering to get some.</t>
  </si>
  <si>
    <t>Reservation was canceled</t>
  </si>
  <si>
    <t>(1/3) Our stay was alright I'd say a 6 because the water in the sink wasn't going. Rooms need to be renovated with new fresh look. Bathroom, sinks, carpet a (2/3) re old. We have to set A.C. at 60 to cool the room. The walk to the laundry is so far and i would prefer to have a kitchen in each room but other then t (3/3) hat the valet was great on bringing our car on time and always being prepared.</t>
  </si>
  <si>
    <t>...12...okay 10, but very nice...</t>
  </si>
  <si>
    <t>within 15 minutes. I waited 1.5 hrs. I didn't get the welcome water bottles and just felt like I was a bother. This morning was different - I had a re</t>
  </si>
  <si>
    <t>...I'm not checking out; check-in rating= 3, knocked down from 4 due to "no change" w/cashier. Bell service great! Have a fine day back... Hardy Good (602)</t>
  </si>
  <si>
    <t>the room just isn't cold and it's very damp and humid the pillows are damp feeling etc. couldn't fall asleep</t>
  </si>
  <si>
    <t>Definitely alert-worthy ‚Äî Guest describes a specific staff error (front desk agent entering wrong card expiration date, causing a false "declined" announcement in front of other guests) that led to public embarrassment for a loyal repeat guest. This is a serious staff-conduct/competence complaint with an embarrassment element, and the guest explicitly states intent to escalate ("writing into the company," "let someone know what happened"). Manager should be aware now, both to address the specific employee performance issue and to get ahead of the guest's planned escalation to corporate.</t>
  </si>
  <si>
    <t>few kids they were crying and running. also toilet has crack and doesn't sit right . It keeps shaking and smell from bottom.</t>
  </si>
  <si>
    <t>%The resort 10. The room was nice but sound proofing needs to be addressed (maybe a 2). We had a door that connected the rooms we heard everything that ha %ppened. I am not certain others would enjoy the sound and TV that was heard throughout the night. While you can't control the guest's if there was a bett %er door it would be a nice place to stay.</t>
  </si>
  <si>
    <t>Nothing at the moment, thank you</t>
  </si>
  <si>
    <t>(1/2) 10! Very good. Will be departing shortly. Thanks so much for the (2/2) great hospitality! ?</t>
  </si>
  <si>
    <t>-1 I felt the room was for the disabled, bed lumpy, only 1 remote at first but found the other remote under the couch after we let it out, no sheet for l</t>
  </si>
  <si>
    <t>10! We have absolutely loved your hotel and everyone has been so incredible. We will not need a bellman but thank you!!</t>
  </si>
  <si>
    <t>"5" Amazing!!! Thanks so much. Thanks for the Maui beers last night.</t>
  </si>
  <si>
    <t>Everything is great! Thank you!</t>
  </si>
  <si>
    <t>(1/2) Everything so far is wonderful! And who ever is in the suite nex (2/2) t to ours is having a great time as well!...?</t>
  </si>
  <si>
    <t>was very nice and made sure we were comfortable!</t>
  </si>
  <si>
    <t>I can do to assist your stay at this time? Please let me know &amp; ha</t>
  </si>
  <si>
    <t>(8) housekeeping is fantastic, facilities are great, amenities and shops are tremendous, rooms are ok. Thank you for asking???</t>
  </si>
  <si>
    <t>"11" beyond excellent ?!! Many Thanks...</t>
  </si>
  <si>
    <t>**Probably alert-worthy**
 Rationale: A 35‚Äì40 minute wait to retrieve a car from valet is a significant operational failure (not just a minor inconvenience), and the guest explicitly frames it as "real issues." However, there's no indication of extreme guest anger, staff misconduct, escalation intent, or safety/security concern in the message ‚Äî just a report of a long delay. This is enough to flag as a possible service breakdown worth Manager awareness (e.g., valet staffing/process problem), but not enough detail to confirm it rises to a definite Manager-level issue.</t>
  </si>
  <si>
    <t>esta nos respondió que así es qué se sirve para mi lamentable pero</t>
  </si>
  <si>
    <t>(1/2) YES mam, a bellman would be appreciated. Love the room. 10 rating for the room. Also, I used a pair of the slippers and the robe. Will leave them on (2/2) departure. Is there a cost for usage?</t>
  </si>
  <si>
    <t>Six. When I upgraded I was of the opinion that I would be overlooking the river and it's just the opposite</t>
  </si>
  <si>
    <t>.. up to this point 3.... We received a call from Marketing at 8:30 am this morning trying to book our 1 hr refresher meeting!! We were not pleased with this incident! We went to the front desk (very helpful - 8) who referred us to the sales office... we talked to Flavio Aragao who understood our dissati sfaction... we are hoping that our stay going forward will improve!</t>
  </si>
  <si>
    <t>Could we have trash removed, new towels and new toilet paper please?</t>
  </si>
  <si>
    <t>desde mi llegada hasta mi salida hubiera querido que fueran más dí</t>
  </si>
  <si>
    <t>.place was wonderful. Thanks for all your great service. Lora Houk</t>
  </si>
  <si>
    <t>info pamphlet says can get 2500 points per adult for total 5000 points to my hilton gold membership. Can that be done?</t>
  </si>
  <si>
    <t>0, will never stay at this hotel EVER!</t>
  </si>
  <si>
    <t>#10 it’s always great here excellent service everywhere thanks for</t>
  </si>
  <si>
    <t>Everything has been a 10. Thanks so much for checking in on us.</t>
  </si>
  <si>
    <t>.y stay is great. I just wish the website didn't display the pool as open with beautiful pictures because the pool is closed.</t>
  </si>
  <si>
    <t>We need a set of towels in 405</t>
  </si>
  <si>
    <t>Could I have extra towels sent to my room please. Ty</t>
  </si>
  <si>
    <t>Probably alert-worthy ‚Äî this describes a real service failure (unresponsive support during a time-sensitive flight situation, forcing the guest to seek help from another airline's staff), but it's about Frontier/airport info service rather than the hotel itself, and it's unclear if any hotel staff or process was involved. A Manager would want awareness that a guest had a stressful, unresolved experience tied to their stay, but there's not enough detail linking it directly to hotel operations or staff conduct to warrant a "Definitely" classification.</t>
  </si>
  <si>
    <t>large group our check in was flawless but the cleanliness could be better. Also, you contacted me in regards to a card not being authorized to find o</t>
  </si>
  <si>
    <t># 10..I enjoyed my stay..and I appreciated the cleanliness of my room ..and the friendliness of the staff..Thank you</t>
  </si>
  <si>
    <t>The cleaning people forgot to clean our room twice now and you double held my funds for a deposit. The people are still smoking around us. Hopefully things will get better. I extended my stay as my funds are held by you and I haven't been able to pay for anything. Pretty sad situation. However you have been very kind.</t>
  </si>
  <si>
    <t>0- i have made several complaints. you can refer to my file</t>
  </si>
  <si>
    <t>"10"... Everything has been perfect. And please know the staff at the E Spot have been especially great!</t>
  </si>
  <si>
    <t>and was told that as I Diamond member, I can have a late checkout at 2 pm. Just wanted to verify which statement is true, and hoping that I CAN have a</t>
  </si>
  <si>
    <t>Good day. It has been good. May I please get some extra coffee pods and waters for my room? I am not in the room now but would like some for when I return</t>
  </si>
  <si>
    <t>0 - because I forgot to ask for a feather bed. But really, 5 because the Fort Garry is awesome :)</t>
  </si>
  <si>
    <t>0. We checked out early yesterday and went back to another hotel.</t>
  </si>
  <si>
    <t>(1/2) Why thank you. I am at a conference today right now over in the Tower building but had a good night sleep and a wonderful breakfast so that is about all (2/2) I have been able to experience of the facility so far but it is a 10 so far</t>
  </si>
  <si>
    <t>"5" As said before the room was not as presented on the booking website. No outside porch or balcony as included in the description. The bathroom toilet outdated, tap in the bathtub is loose. Cleaning available only on third day. No proper breakfast possibilities.</t>
  </si>
  <si>
    <t>birthday ? but we hope to see movie at the pool I hope ?</t>
  </si>
  <si>
    <t>-5. The water in the tub ? is really slow moving. Takes about 30 minutes to empty out. However everything else is really good. The Bell Captains have been most helpful and much appreciated. Thank you for asking. ?</t>
  </si>
  <si>
    <t>Not alert-worthy ‚Äî Overall positive review (8/10) with minor maintenance issues (broken dryer lint capture, dirty tub) that are routine service items for Front Desk to address. The guest also offers positive feedback and praise for a specific housekeeping staff member (Maria), which is a nice-to-know but not urgent. No signs of strong dissatisfaction, escalation intent, or safety/conduct concerns.</t>
  </si>
  <si>
    <t>and they moved us to a quieter room without our even asking! Ryan personally stowed our bags for us when there was no bell staff on duty. Everyone has b</t>
  </si>
  <si>
    <t>8 and a bellman is not needed thank you</t>
  </si>
  <si>
    <t>#9 only thing I would love French vanilla Creamer for my room to enjoy coffee in the morning. But other then that's things are great!</t>
  </si>
  <si>
    <t>I am not staying anywhere</t>
  </si>
  <si>
    <t># 10 - Front Desk is great. Stay is wonderful. Will be checking out about 11:30 today. Boo hoo, don't want to leave. Thanks. Larry. Rm.408</t>
  </si>
  <si>
    <t>I was wondering would it be possible to check out tomorrow morning instead of Friday morning?</t>
  </si>
  <si>
    <t>Hi - We are doing well, just about to head down to the pool! Thanks.</t>
  </si>
  <si>
    <t>"t service. "9. Everything is super, thank you. We are still interested in having a room upgrade so that we'd have a larger bed and a jacuzzi. Thank you for your grea</t>
  </si>
  <si>
    <t>We are having a great time! Too much hopping on and off buses. I guess I'd be about a 7.5. How are you and the girls?</t>
  </si>
  <si>
    <t>. Very sup par experience thus far.</t>
  </si>
  <si>
    <t>All is well. Special time for our family. Beautiful day. Thanks Taylor.</t>
  </si>
  <si>
    <t>everything is nice thank you .</t>
  </si>
  <si>
    <t>Well that's very kind of you I appreciate it we're having a good time. It's a beautiful facility</t>
  </si>
  <si>
    <t>Definitely alert-worthy.
 Rationale: Guest expresses strong dissatisfaction ("0 (zero)", "very disappointed"), reports multiple stacked failures (room quality issues, no apology, no compensation offered, cancelled a future reservation), and explicitly signals intent to escalate via public review (TripAdvisor). This combination of significant dissatisfaction, a service recovery failure by staff, lost future business, and public reputational risk clearly warrants immediate Manager awareness.</t>
  </si>
  <si>
    <t>Room is gorgeous, just way too many people at the resort and the beach is really rocky</t>
  </si>
  <si>
    <t>Great hotel - a little disappointed that I don't have access to health room w/o a 12.00 daily pass</t>
  </si>
  <si>
    <t>(10) Great comfortable stay so far. Thanks for checking in.</t>
  </si>
  <si>
    <t>-close to everything and we are very happy now. Thank you</t>
  </si>
  <si>
    <t>great thank you so much excellent service?</t>
  </si>
  <si>
    <t>0. Zero! As in lowest rating possible.</t>
  </si>
  <si>
    <t>"1". Will need to talk to Manager when checking out on 7-25-22! This entire experience has been absolutely awful!</t>
  </si>
  <si>
    <t>#5!!! We are enjoying this beautiful resort!! ??</t>
  </si>
  <si>
    <t>Nice stay thank you</t>
  </si>
  <si>
    <t>Could you please have housekeeping change my duvet cover. I noticed last night it has a small red stain on it. I don't know what exactly it is but it was there when I turned back my covers. Thanks. Otherwise a perfect stay.</t>
  </si>
  <si>
    <t>We checked out yesterday. Home now so nothing more to report.</t>
  </si>
  <si>
    <t>0 We checked out last night at 1 am due to bed bugs crawling in our bed! Staff was rude and uncaring. I will never be back and ensure otherwise know of our experience</t>
  </si>
  <si>
    <t>Overall good but we didn't have turn down service last night. Tonight they came by a few minutes ago to do turndown service and we asked them to come back at 7:30 when we head to dinner. If you coudl make sure that happens it would be great.</t>
  </si>
  <si>
    <t>Ok what time they do service ?</t>
  </si>
  <si>
    <t>Probably alert-worthy ‚Äî Overall highly positive (9.5/10) with mostly routine maintenance requests (dripping showerhead, lamps, blankets). However, the slippery shower floor combined with an 82-year-old guest and explicit fall concern is a safety issue worth Manager awareness, and the fact that a prior report (lamps/outlets) went unaddressed shows a follow-up failure. Not "Definitely" since tone is generous and no strong dissatisfaction or escalation intent, but the fall-risk safety concern pushes it above routine Front Desk handling.</t>
  </si>
  <si>
    <t>0 we checked out because the smell was so bad.</t>
  </si>
  <si>
    <t>room. I unfortunately did not write it down but I'm fairly confide</t>
  </si>
  <si>
    <t>0 right now. We are at the pool and the dirty towels are here from yesterday and no clean towels. Is there cleaning of the pool?</t>
  </si>
  <si>
    <t>Aún no estoy en el hotel entro hoy gracias</t>
  </si>
  <si>
    <t>yesterday but the face towels were not replaced.</t>
  </si>
  <si>
    <t>? I checked out this morning</t>
  </si>
  <si>
    <t>Had to leave this morning - medical emergency back home</t>
  </si>
  <si>
    <t>. It's. Great thank you. Thanks for the birthday cake. Going to have it tonight after dinner at Morgans. Any chance anyone can bring 2 light weights .3lbs?</t>
  </si>
  <si>
    <t>10 Sure I'll be leaving early in the morning though</t>
  </si>
  <si>
    <t>Good. Please make sure you have someone clean room and make bed please</t>
  </si>
  <si>
    <t>made extensive remarks on my account to reverse the charges. The charges have not yet been reversed which is keep me from utilizing my cc while I'm o</t>
  </si>
  <si>
    <t>Not bad. The water was great for hangovers</t>
  </si>
  <si>
    <t>**Probably alert-worthy**
 Rationale: The guest hasn't experienced actual harm yet ‚Äî this is an anticipatory comment ("probably won't be getting much sleep... ask me tomorrow") rather than a completed complaint. However, it flags a potentially significant issue: large groups (two bus loads of teenagers) creating noise/disruption that could affect this guest's entire stay and potentially other guests too. There's not yet enough detail to confirm a Manager-level failure occurred, but it's worth surfacing now so the Manager is aware of the situation brewing and can proactively monitor or address noise/group management before it escalates into a definite complaint tomorrow.</t>
  </si>
  <si>
    <t>Good afternoon William, Everything is fabulous. We love your hotel.</t>
  </si>
  <si>
    <t>over all everything else has been great! Thank you! ?</t>
  </si>
  <si>
    <t>So far everything is great. Thank you</t>
  </si>
  <si>
    <t>property is amazing. I'll be looking for something to complain abo</t>
  </si>
  <si>
    <t>"12" It's great Megan, I saw Margaret last night and we caught up. The late check out is fantastic. Thank you so much!</t>
  </si>
  <si>
    <t>Had some pretty big partiers last night who were very loud near our room from 12-2am but other than that, just great!</t>
  </si>
  <si>
    <t>0. I'm not at the Drake</t>
  </si>
  <si>
    <t>Definitely a 10. The staff is amazing and facilities are wonderful !</t>
  </si>
  <si>
    <t>10. We love the bed!!</t>
  </si>
  <si>
    <t>(1/2) Everything is going well so far. My rating would be a 10. The only thing is there is a really strong smell in my room. It smells like bug spray. Other th (2/2) an that everything is fine. Thank you.</t>
  </si>
  <si>
    <t>women's and men's area of the spa, and the one area in the women's area of the spa that was out of service. Otherwise, everything is great!</t>
  </si>
  <si>
    <t>Not alert-worthy ‚Äî This is a positive, appreciative message with no complaints or issues; no Manager awareness needed.</t>
  </si>
  <si>
    <t>Thanks ? everything is great and we are having a good time.</t>
  </si>
  <si>
    <t>(1/3) So far so good. The only issue we had so far was the pool closing early on Saturday. We had family here from all over the country celebrating a special</t>
  </si>
  <si>
    <t>"10" thank you for asking Timali</t>
  </si>
  <si>
    <t>said the room was at 76, it was set at 44 which would cause the system to error. I turned the set point to 71 and when I woke up it</t>
  </si>
  <si>
    <t>(1/2) I am good. Breakfast was good, quick and fresh. Soundproofing between rooms is lacking some. As far as a Wow factor...the Elara rooms are nicer and la (2/2) rger. But yours are clean, and typical hotel rooms.</t>
  </si>
  <si>
    <t>. And we would also like if possible to ask you to clean our room,</t>
  </si>
  <si>
    <t>Yes, can I please have the room service menu</t>
  </si>
  <si>
    <t>- Dani Hi Christopher! Our stay is really nice. I’m giving it a 9. You have an awesome day!</t>
  </si>
  <si>
    <t>be a little friendly. Looks they're all ready to retire.???</t>
  </si>
  <si>
    <t>**Probably alert-worthy**
 Rationale: The message references unspecified "issues from yesterday" without any detail on what they were, their severity, or whether they were resolved. This vague callback suggests there may be an unresolved or recurring problem worth Manager awareness, but there's not enough information in the guest's own words to confirm it rises to a serious complaint, staff-conduct issue, or escalation threat. Front Desk should pull up the prior context, but a Manager may want a heads-up in case it's more significant than it appears.</t>
  </si>
  <si>
    <t>Hey, thanks for checking it. Going well so far.</t>
  </si>
  <si>
    <t>(1/2) Excellent stay. I have already made reviews on Facebook and I have a couple of clients that wants to book this hotel. I took a couple of pictures and they (2/2) are in love. Thank you again</t>
  </si>
  <si>
    <t>had a girl approximately 10 years old, who asked probably 12 questions about the hotel. Your girl answered the 12th question as enthusiastic as th 1st.</t>
  </si>
  <si>
    <t>#10 +++. We are having a great time. Ms Wanda winning good money for me</t>
  </si>
  <si>
    <t>last night there was not any pot holders so I bout some for my use.</t>
  </si>
  <si>
    <t>-Amayaflor, I'm don't think you meant to send this message to me...we Checked-out this morning...?</t>
  </si>
  <si>
    <t>. Thank you to all three and thank you to Holiday Inn Express and Suites for a wonderful stay.</t>
  </si>
  <si>
    <t>0 this is Lindy Borden and I am home cleaning house. Would love to come stay by you. How about a free night. I need a break. Thanks</t>
  </si>
  <si>
    <t>7 am, still no pods.</t>
  </si>
  <si>
    <t>Thanks for a wonderful stay Tyler! I sent him a review</t>
  </si>
  <si>
    <t>(1/3) 8. Two minor points - I was surprised at how informal check in was, with no recognition of my status and no explanation of Diamond benefits until I asked (2/3) , and surprised that I could hear housekeeping knocking on doors at 8:30 this morning, even though the hotel says that 9 to 9 are quiet hours. Otherwise, (3/3) the stay has been great. Thanks Lindsey.</t>
  </si>
  <si>
    <t>*24 - we are heading out in a few minutes. Thx</t>
  </si>
  <si>
    <t>Definitely alert-worthy ‚Äî Room was given away despite advance notice of a delayed arrival (a real operational failure worth Manager awareness), though the guest is largely positive overall and praises staff for recovery. The Manager should know about the room-given-away issue since it reflects a booking/hold-policy failure, even though the outcome was salvaged well by staff ‚Äî worth flagging so the process gap gets addressed, not because the guest is upset.</t>
  </si>
  <si>
    <t>Very nice, so far. Thanks for asking.</t>
  </si>
  <si>
    <t>10' great staff, thank you and Merry Christmas!</t>
  </si>
  <si>
    <t>t get house keeping</t>
  </si>
  <si>
    <t>#10 - employees are great. Bartenders remember my name! Greatest way to make quests feel important.</t>
  </si>
  <si>
    <t>Bruce Thank you for asking. Last night was really loud, maybe a wedding or something. My daughter is here for John Hopkins surgical camp that started this morning so getting to sleep was challenging. Is parking really $30 Everytime you come and go from garage not a flat per day fee?</t>
  </si>
  <si>
    <t>Thank you. We're at the pool and having and having a great time. Just wishing a waitress would come by</t>
  </si>
  <si>
    <t>(1/2) Hello Aja, actually there is a pretty significant chlorine smell here. Probably from the pool? Otherwise, the room is very nice and all the staff have be (2/2) en courteous.</t>
  </si>
  <si>
    <t>Very Disappointing. I requested a room on the main floor close to lobby because my wife is recovering from multiple heart attacks and she has very bad knees. The gentleman at the desk gave me the furthest room on the lower level. My wife struggles every time we attempt to do anything. This is putting a damper on our 40th wedding anniversary. Wish the front desk would have been more understanding and given me options. Thanks for asking.</t>
  </si>
  <si>
    <t>02/02:already recommended you to co-workers! 01/02:Room is a little noisy. I'm guessing the hum of elevators. But, your hotel is beautiful. I'll definitely be at Palmer House for my next visit and have</t>
  </si>
  <si>
    <t>"7" our bedroom TV remote, doesn't work well. Not all the buttons work. Yesterday it took an hour to get our comforter for the pull out. That was a</t>
  </si>
  <si>
    <t>everything is great!! thank you so much for checking in (:</t>
  </si>
  <si>
    <t>It's better after 3 days my place was finally cleaned yesterday but I will never stay at this property again</t>
  </si>
  <si>
    <t>**0. Dog barking in room next to me!!**
 **Not alert-worthy** ‚Äî This is a routine noise complaint that Front Desk can handle directly (contacting the neighboring room, offering a room change, or checking pet policy compliance). There's no indication of staff misconduct, safety risk, or extreme guest distress ‚Äî just an ordinary in-stay annoyance that's part of normal service recovery.</t>
  </si>
  <si>
    <t>fyi. The bathroom sink is draining really slow and the shower handle is loose. Also the oven sliding door is off. Wanted to let you know. Also the ac unit in bedroom showing a p4 code. It is working Was like that before us. Everything is great!! Also anyway to stay an extra night?</t>
  </si>
  <si>
    <t>(2/2) is simular to the room we have now it but with a better view it would be gratefully appreciated. (1/2) Could not really see the fireworks from our room and I really don't like being on the far end of the hotel. That being said if you have another room that</t>
  </si>
  <si>
    <t>I do need new towels please Can you text me at 7148035529</t>
  </si>
  <si>
    <t>Checked out this morning</t>
  </si>
  <si>
    <t>(1/2) 10. Thanks. Busy day ahead...Wrigley, Giordannos, Red Head. (2/2) Glad to cone back to a great place to rest tonight ??</t>
  </si>
  <si>
    <t>We are doing great. Just finished the Lei class. Could we get a bag of ice to our room? It is 2306. Thank you. So far our rating is 10</t>
  </si>
  <si>
    <t>Good so far, we appreciate all of the extra effort helping us</t>
  </si>
  <si>
    <t>(1/5) We rate it a 5 of 10. The highlight was the gift of the champagne &amp; strawberries for our anniversary, that was so kind. And the room was clean too. But (2/5) the room was SO small!!! The toilet was so close to the wall that my hip was pressed against the toilet paper roll. The tub was too small, so no bath. (3/5) I was told there was a pool when I booked but there wasn't except for one across the street. The path through the room was so narrow that my husband &amp; I (5/5) the same luxurious room we had in the past. What happened to push the hotel in this direction. I felt like I was in a "tiny house". (5/5) the same luxurious room we had in the past. What happened to push the hotel in this direction. I felt like I was in a "tiny house".</t>
  </si>
  <si>
    <t>Clean our room and provide us with more supplies like Kleenex and towels and coffee cream and slender!!</t>
  </si>
  <si>
    <t>Tis a hella good stay. Thx Austin. 5/5 would recommend. Safe was busted tho couldn't lock it</t>
  </si>
  <si>
    <t>4 overall very good we had fun and will probably stay again however the the wait staff in the restaurant\lounge were very rude specifically the waitress working in the lounge last night and the wait staff in the restaurant took over 40 minutes to get my guests a drink I think in future we'll go elsewhere for drinks and food</t>
  </si>
  <si>
    <t>**Not alert-worthy**
 Rationale: This is a positive, appreciative message praising the front desk staff and bellman for their hospitality. There's no complaint, issue, or concern requiring Manager attention ‚Äî though staff may appreciate this compliment being passed along informally, it doesn't rise to the level of a real-time alert.</t>
  </si>
  <si>
    <t>Everything is going great thank you</t>
  </si>
  <si>
    <t>(1/2) 5! Everything is awesome. Forgot to mention Jason from IT was so helpful yesterday with assisting us with the internet connection. Please pass on our tha (2/2) nk you to him</t>
  </si>
  <si>
    <t>10 and we do need housekeeping in the room please.</t>
  </si>
  <si>
    <t>(1/2) We just checked out. We had a wonderful stay. Besides the restaurant issue everything else has been great. Thank you so much for everything. Out of 10 i (2/2) would say 9.</t>
  </si>
  <si>
    <t>Hi Kimberly. The hotel is very nice so far, but our experiences at night haven't been. First night had banging on our and other doors and screaming at 4 am, last night was a dog barking for an hour then 3 am banging and yelling. Not hotel's fault but not a great experience at night</t>
  </si>
  <si>
    <t>I have to complain about the shower water. It is just warm not can't tune to hot. Is that right?</t>
  </si>
  <si>
    <t>(1/2) Hello Deana, I would give your hotel the highest rating, 10. Thank you very much for a wonderful resort-style experience coupled with great service. We e</t>
  </si>
  <si>
    <t>to go down stairs to request one and they still never brought it up after speaking with a manager. Finally she went back down stairs and had to wait aga</t>
  </si>
  <si>
    <t>Aloha Mana, Thank you for checking to me. I am great stay by the HGV. Excellent. 10.</t>
  </si>
  <si>
    <t>-0 my cousin has not received her digital key .... she has covid so her going to front desk would only cause for ur co workers to get sick.... my flight was delayed 8hrs and I'm still sitting... so if u ask me pretty shifty</t>
  </si>
  <si>
    <t>**Not alert-worthy** ‚Äî Guest is positive overall ("Love the Palmer House!") and mentions train noise as a minor inconvenience, not a serious complaint. Friendly tone throughout, no signs of escalation or strong dissatisfaction. This is a routine room-noise issue Front Desk can address (e.g., offer an inside room like before).</t>
  </si>
  <si>
    <t>I got a cup. Then I saw some food warmer trays with some eggs, sausage, bacon and potatoes. I thought it was a free breakfast offered to hotel guests. S</t>
  </si>
  <si>
    <t>It sure if it you or Ryan I talked to at concierge desk. Couple of disappointments so far but he or you are trying to help. I will let Concierge know if my family wants to go on the history tour. I appreciate your team trying to help</t>
  </si>
  <si>
    <t>awesome and helped us bring it all up. Just curious, with the Marriott now serving downtown, are you guys gonna renovate the rooms when the confederati</t>
  </si>
  <si>
    <t>(1/2) It's great, we just booked a package at the conneige and now at (2/2) gondola. Thanks! ☺</t>
  </si>
  <si>
    <t>0 Unfortunately I didn't get to stay. My card was charged but because I didn't have The card I couldn't stay.</t>
  </si>
  <si>
    <t>out it won't open until August is very disappointing.</t>
  </si>
  <si>
    <t>Everything is going great. We are enjoying our stay - thank you!</t>
  </si>
  <si>
    <t>Caitlyn FYI the air vent is leaking in ceiling onto carpet</t>
  </si>
  <si>
    <t>extraordinary I had a great time were you working the front counter</t>
  </si>
  <si>
    <t>#9 Kelli is great, very nice and helpful.</t>
  </si>
  <si>
    <t>love to be in bldg 1</t>
  </si>
  <si>
    <t>Thank you we are leaving the room at 10:30 but not sure what time we are going to the shop I don't think we get lunch we have a medical check 2 Thank you hope you and Dave are doing good we need to get together for lunch sometime,</t>
  </si>
  <si>
    <t>Best hotel in Winnipeg !!</t>
  </si>
  <si>
    <t>**Definitely alert-worthy**
 Rationale: The guest gives a 0 rating and explicitly calls this "one of the worst stays in my history with Hilton family" ‚Äî strong, extreme dissatisfaction with a specific brand-loyalty reference. There are also multiple stacked failures (noise/partying disrupting sleep, cleanliness issues), not just a single minor complaint. This combination of severity language and compounding problems is exactly the kind of guest sentiment a Manager would want visibility into now, even though Front Desk will still handle the immediate service recovery.</t>
  </si>
  <si>
    <t>Not happy about the lack of housekeeping....</t>
  </si>
  <si>
    <t>,,10 great room thanks for caring</t>
  </si>
  <si>
    <t>Very good...thank you!</t>
  </si>
  <si>
    <t>(1/2) We had an excellent stay so far I would rate it at 10 for sure. I had one more question about the resort credit is it per day or per stay. we checked in a (2/2) nd used a credit yesterday are we allowed to use another one today we will be checking out this afternoon</t>
  </si>
  <si>
    <t>0... and I checked out yesterday morning after the worst Hilton stay ever! As a diamond member with more than two million points I have stayed all over the world and again this was the worst! The free my desk manager yesterday morning was kind and professional and told me she canceled last night, refunded the points and credited 20,000 points for the bad experience. My experience with her was the only positive experience during the stay! I feel like the entire room charge of points should be refunded. I got absolutely no sleep at all... the room is just off the elevator and people were coming in all through the night drunk and loud! We have been loyal Hilton only travelers for years... we even go out of our way to find Hilton properties, but I am going to rethink this now...</t>
  </si>
  <si>
    <t>The stay has been fabulous Hoping we can resolve our issue with our room with Ericka and stay longer I wish I could figure it out today because I really don't want to check out and move tomorrow</t>
  </si>
  <si>
    <t>stay has been super fabulous thanks 10 plus plus</t>
  </si>
  <si>
    <t>"8" would have said 10 if I didn't have to pay for the fridge</t>
  </si>
  <si>
    <t>We're good. Thank you</t>
  </si>
  <si>
    <t>Hi we wonder if you guys can send me a microwave to the room because I need it for my baby milk</t>
  </si>
  <si>
    <t>(1/3) Any questions or issues with the unit were handled expeditiously. I truly appreciate the staff here at the Hilton Grand at the Flamingo. I rate an 8.5 (2/3) only because the house-keeping problems in this unit should have been caught by housekeeping prior to turning-over-the-room). But the quick resolutions (3/3) to all concerns have been Top #1 excellent customer service.</t>
  </si>
  <si>
    <t>was so convenient to just scoot out that side door. Other than that everything is fine thank you</t>
  </si>
  <si>
    <t>**Definitely alert-worthy**
 Rationale: The guest explicitly describes the driver as "very abusive" while handling their bags ‚Äî this is a serious staff-conduct complaint using strong language, not just an ordinary service hiccup. Combined with an apparent mix-up (wrong location/drop-off) that added to a stressful travel experience, this is a multi-part complaint involving alleged mistreatment by staff. Even though the message is cut off, "abusive" is a strong enough signal on its own that a Manager would want to know now ‚Äî Front Desk can log/respond, but the conduct allegation warrants Manager awareness immediately rather than waiting to see the rest of the message.</t>
  </si>
  <si>
    <t>us as we celebrate our anniversary.</t>
  </si>
  <si>
    <t>0, service is terrible in this hotel and employees are rude.</t>
  </si>
  <si>
    <t>"7". Ha ha. Okay 5! Great service. Thank you.</t>
  </si>
  <si>
    <t>Checked out this morning was a 10</t>
  </si>
  <si>
    <t>- great thanks. All good! 10</t>
  </si>
  <si>
    <t>Great need 3 addition towels and 2 wash clothes. Tk you</t>
  </si>
  <si>
    <t>pull it up? Maybe a conference room that has a smart tv? We just need to be able to click a link online to watch?</t>
  </si>
  <si>
    <t>Awesome! Thanks so much!! Could I please get more sugar and cream left in my room the rest of the week? ☕</t>
  </si>
  <si>
    <t>used the hand towel. And no one ever answers at the front desk. Also, no one told us the bus only runs every hour except at 12:30. So we will need the c</t>
  </si>
  <si>
    <t>(1/2) It was great upon arrival but then we had to move to another room around midnight. There we ants crawling on the carpet and on the kid's bed. Yikes! The f (2/2) ront desk was very nice in helping. We still really need the microwave we had for the children. Is there one available today?</t>
  </si>
  <si>
    <t>**Definitely alert-worthy**
 Rationale: A cockroach found directly on the bed covers is a pest/sanitation issue that goes beyond routine housekeeping ‚Äî it's a health and cleanliness concern that could affect the guest's willingness to stay, drive a refund/compensation request, or end up in a public review. Combined with "floors are also dirty," this signals a stacking pattern of cleanliness failures in the room, not an isolated minor gripe. A Manager would want real-time awareness to assess room reassignment, pest control follow-up, and potential service recovery/compensation ‚Äî this isn't something Front Desk should own alone.</t>
  </si>
  <si>
    <t>"8" only because the shower head dripped constantly, it was especially annoying at night and the ice maker did not make ice in the refrigerator until the our third day here!</t>
  </si>
  <si>
    <t>Given the circumstances, so far so good. We will need hand towels and washcloths today, also soap. Thanks</t>
  </si>
  <si>
    <t>All good. Great stay. Thanks</t>
  </si>
  <si>
    <t>"10 " We love your rooms. Everything is so spacious and clean. My kids are hooked on Hilton Grand Vacations.</t>
  </si>
  <si>
    <t>Hotel 10 Breakfast Breakfast 1</t>
  </si>
  <si>
    <t>(1/2)Good morning Na'Dawne, how are you doing today? Hope well. My (2/2)stay is going good, thanks. ?</t>
  </si>
  <si>
    <t>Hi Karan.. can you advise if you saw my email about the Spa Treatment for Friday AM?</t>
  </si>
  <si>
    <t>0. For some reason, my reservation has evaporated from my HHonors acct and something weird is going on. What is the status of my account? Who would erase my account and why?</t>
  </si>
  <si>
    <t>....I was running for the door, I had to get back to place I was before. Relax, said your night man we are programmed to recieve. You can check out anytime you like but you can never leave!! With that said, excellent!! 5!</t>
  </si>
  <si>
    <t>10. From the second you walk into the Conrad - There's so many ge</t>
  </si>
  <si>
    <t>**Probably alert-worthy** ‚Äî The guest expresses strong emotional distress ("very frustrated," "very stressful situation," "huge delay"), signaling a potentially significant issue. However, there are no specifics about what caused the delay/stress (e.g., staff conduct, safety issue, booking failure), so it's unclear if this rises to a serious, Manager-level problem or is a strong reaction to a routine service issue. Front Desk should investigate immediately to determine severity, and Manager should be looped in if details confirm a major failure or escalation risk.</t>
  </si>
  <si>
    <t>Can I have housekeeping tomorrow thank you</t>
  </si>
  <si>
    <t>I could be upgraded but at a cost of 40 a night. I didn't want to spoil my stay so I payed. My wife and I usually never leave the resort so we spend our</t>
  </si>
  <si>
    <t>(1/2) Hi Tammy, I enjoyed my time at the Hilton on Saturday, August 19th and Saturday, August 27th. Staff and accommodation where fantastic. Enjoy the rest of (2/2) your day.</t>
  </si>
  <si>
    <t>Good Afternoon, Can you please have some clean room 1067?</t>
  </si>
  <si>
    <t>wider, but they are incredibly comfortable, so it works out. Thanks again!</t>
  </si>
  <si>
    <t>#5 all day. Our ride to the occc was great thanks to Willie that u recommended. The Simkus' :-)</t>
  </si>
  <si>
    <t>was a rough night! Take care.</t>
  </si>
  <si>
    <t>All good thanks. 4 waters and 2 bath towels and one pillow would be helpful thank u</t>
  </si>
  <si>
    <t>stay here for that specific reason. It's costing over 100.00 per day for meals.</t>
  </si>
  <si>
    <t>No issue right now. Do you have the golf cart going around in office season for cocktails? Or just room service</t>
  </si>
  <si>
    <t>Definitely alert-worthy ‚Äî A steak knife left in the washing machine by a previous guest damaged this guest's clothing and wasn't caught by the cleaning crew, which is a real safety/quality-control failure (a knife could have caused injury) that the Manager should know about now, even though the guest's overall tone is positive and rates the stay 8/10. The missing sink stopper is a minor, routine fix Front Desk can handle, but the knife incident on its own warrants Manager awareness.</t>
  </si>
  <si>
    <t>hallway of the beginning of the wing near the ice machine there are wine glasses and other cups that haven't been picked up from day 1 of our stay. Staf</t>
  </si>
  <si>
    <t>0 dirty room, dirty bed spread, had to change rooms, cable out for most of the night, call downstairs no ones answers. Never again...extremely disappointed. Took pictures and will write a lengthy review.</t>
  </si>
  <si>
    <t>(1/2) 3.8. Elevators small. Bathroom small room was huge sink need to be out of shower room. Loved the bed and pillows . Loved Glazed. Room service salad was s (2/2) ubpar.</t>
  </si>
  <si>
    <t>Can you not check in on the app</t>
  </si>
  <si>
    <t>Very well. No complaints.</t>
  </si>
  <si>
    <t>"10 thanks kelly. Would you be able to help us get another plastic laundry bag in our room? We're headed out now and have been stuck doing work all mornin "g so couldn't have house keeping clean our room so if they could come now too that would be amazing</t>
  </si>
  <si>
    <t>drainage issue and I was ankle deep in water before finishing my s</t>
  </si>
  <si>
    <t>(1/2) Thanks for checking in. My stay is much better now. When i checked in yesterday, I didn't get into my room until almost 430. As a diamond member, I wo (2/2) uld expect better turn around.</t>
  </si>
  <si>
    <t>Good, I need a liquid IV, is there a place close by I can go or can someone bring me one?</t>
  </si>
  <si>
    <t>0 We ended up leaving the music was just too loud during the day</t>
  </si>
  <si>
    <t>,It is fantastic! Customer service and attentiveness is above and beyond. I do wish there were more options for less expensive meals (but all the food i ,s great). Give a 9</t>
  </si>
  <si>
    <t>At this point, an 8. We are very happy.</t>
  </si>
  <si>
    <t>**Not alert-worthy** ‚Äì The guest notes a minor inconvenience (noise near the elevator) but frames the overall experience positively, explicitly praising staff for accommodating early check-in ("staff gets a 10"). No dissatisfaction, complaint about treatment, or escalation intent ‚Äî this is routine feedback Front Desk can note for room assignment purposes, but nothing here requires Manager awareness.</t>
  </si>
  <si>
    <t>Dry comfortable and easy</t>
  </si>
  <si>
    <t>(1/2) HI Kaicey, Merry Christmas! It's wonderful - except the Jets are not working in the spa. Fill the entire tub past the sensor and it still doesn't work. My (2/2) mom is the tub now, but when we are ready, and someone fix that please?</t>
  </si>
  <si>
    <t>Hi Veronica, everything's great so far. Thank you. James</t>
  </si>
  <si>
    <t>(Auto Reply) I am currently out of the office returning June 21st with no access to phone or email messages. For technical and warranty assistance durin</t>
  </si>
  <si>
    <t>(1/3) Our suite is very nice. I give it a 10. The check in process, until I Finally got to the desk. was a 3. Patrons who travel distances to stay at your re (2/3) sorts shouldn't have to wait more than 5 minutes for check-in. This demeans their importance and I have experienced this at all of your locations. I feel (3/3) like a cow being hearded in to see how much money you can make on me this visit. It makes me question my purchase in my Hilton Grand Vacation package.</t>
  </si>
  <si>
    <t>B ewwwi3 3r33. Cc g vgg jilk</t>
  </si>
  <si>
    <t>-1. The AC unit has been making jackhammer noises all night. A maintenance man was pounding the door down at 7:30 a.m. to fix a clogged toilet (the toilet isn't clogged), a leaking AC unit (ours isn't leaking) and noisy AC unit, all supposedly in our room. When we specifically asked that someone check our AC noise this afternoon. And we don't have a "do not disturb" sign to hang on our door.</t>
  </si>
  <si>
    <t>4 the breakfast was terrible. The pancakes i ordered were the worst I've ever had.</t>
  </si>
  <si>
    <t>to blame it not working on us. And they weren't even able to fix it. A different guy came back earlier today and fixed it because it needed to be draine</t>
  </si>
  <si>
    <t>(1/2) Hi Kristi. Everything is great so far! Heading to enjoy the pool soon! One thing I would like is if a Ethernet cable could be brought to my room. The one (2/2) here has one end broken. Thank you!</t>
  </si>
  <si>
    <t>Thank you. Everything is great!</t>
  </si>
  <si>
    <t>0 actually if I could add a minus to a number I would. You have a great day as well, Roxanne.</t>
  </si>
  <si>
    <t>0. Open the restaurant</t>
  </si>
  <si>
    <t>having a great time everyone is so nice and helpful. At spa now and it's wonderful, sad that I have to go home in a couple of days but hope to be back around Sept.</t>
  </si>
  <si>
    <t>Probably alert-worthy ‚Äî Overall the guest is fairly positive (rates it an 8/10, tone is light/joking), but they raise a stack of repeated product/service gaps compared to sister properties (no room service menu, weak bathtub water pressure/jets, missing condiments). No staff conduct issue or strong dissatisfaction, so not "Definitely," but the comparison to other branded properties and multiple compounding minor complaints could be useful for a Manager to be aware of for competitive/brand-standard reasons.</t>
  </si>
  <si>
    <t>Out visit is going well. The only item that needs to be addressed is the pool outside our room. I think the sign says its pool 933. The water is getting very cloudy and filled with debris. Has not been cleaned since we've been here.</t>
  </si>
  <si>
    <t>Hi, we've just checked out and I would give a 6/10 for our stay.</t>
  </si>
  <si>
    <t>(2/2) out but got busy and never made it back Thanks Michael Akers (1/2) I would give it a 5 ! Also can you please be sure that I have been checked out. We left the hotel early this morning and intended to come back and check</t>
  </si>
  <si>
    <t>It's great I would give a score of 10</t>
  </si>
  <si>
    <t>i feel like i was getting a nice place for my girlfriend and I.</t>
  </si>
  <si>
    <t>*face down I can't seem to get my remote to work. ?. And, I have to place the iPad on the desk gave down. I'm not sure how to make it sleep. It is just too bright during the evening hours. Otherwise, I'm loving my stay ♥️</t>
  </si>
  <si>
    <t>Our stay was great. Can you confirm our meal credit is deducted from bill. It looked like it was not. Thanks!</t>
  </si>
  <si>
    <t>like a shadier patio. Thanks for checking.</t>
  </si>
  <si>
    <t>10...can we please get a couple towels and a toilet paper roll to the room? thanks</t>
  </si>
  <si>
    <t>... The last 6 months have been great. Thanks automated Mohan :)</t>
  </si>
  <si>
    <t>- stay was awesome. Always been since the first time i started staying there. Aloha and thank you all very much for your kind service. ? 10</t>
  </si>
  <si>
    <t>removal, we'll be outside now, please come in to service. Thank you so much!</t>
  </si>
  <si>
    <t>#10 Great service, good dinner downstairs last night and satisfying breakfast this morning.....looking forward to my next stay.</t>
  </si>
  <si>
    <t>10+!! Thank you ??</t>
  </si>
  <si>
    <t>Signing in to internet is a pain</t>
  </si>
  <si>
    <t>i didn't get the coffee pads i asked for unfortunately , could i get them please? Thanks</t>
  </si>
  <si>
    <t>the iPhone next to him and said "oh, I did not know how to answer". We are just happy that Jamie got her phone back at 11pm at the airport.</t>
  </si>
  <si>
    <t>Am I get water for my room?</t>
  </si>
  <si>
    <t>The bed was super comfortable though. Thx!</t>
  </si>
  <si>
    <t>what time is check out for me</t>
  </si>
  <si>
    <t>delivered so we had to come downstairs at 12 at night and pick them up ourselves unacceptable thank you</t>
  </si>
  <si>
    <t>thanks, we would give it 8</t>
  </si>
  <si>
    <t>it is no big deal because we wiped it off , but we believe there was make up spilled And all over the sink and cabinets in the master bathroom. We cleaned it up so it's no big deal. Also our first set of sheets had alot of hair on them. But they were changed . But I still give you guys a 10. I think you treat your owners great.</t>
  </si>
  <si>
    <t>We have a wonderful stay in hotel. Thank you. 10</t>
  </si>
  <si>
    <t>been nice to have my orginal reservation honored.</t>
  </si>
  <si>
    <t>Garbage can in the bathroom.</t>
  </si>
  <si>
    <t>(10) Everyone was very pleasant &amp; professional. I only wished there was a better rate. I'm displaced due to a water break at my home. Take care!</t>
  </si>
  <si>
    <t>Also one of the nightstand lamp bulbs are blown out. Please advise how we can be accomodated in this area, thank you.</t>
  </si>
  <si>
    <t>thankful for that. I'm traveling with my mom who is handicapped.</t>
  </si>
  <si>
    <t>02/02:DVR very nice thank you 01/02:The maintenance fella just came in and fix our refrigerator strip and cleaned it and it is working great and also the TV remote had to be changed for the</t>
  </si>
  <si>
    <t>All great thank you</t>
  </si>
  <si>
    <t>**Not alert-worthy**
 This is overwhelmingly positive feedback ‚Äî guest calls check-in "great," overall stay "excellent," says they'll return and highly recommend the property. The one critique (wanting more staff in the food service/sanitation area, rated 7) is a mild, constructive suggestion rather than a complaint about a failure or mistreatment. No dissatisfaction, staff-conduct issue, or escalation signal ‚Äî this is routine positive/constructive feedback Front Desk can log and pass along in normal reporting, not something requiring real-time Manager awareness.</t>
  </si>
  <si>
    <t>#10 Everything has been wonderful!! Great hospitality!!!</t>
  </si>
  <si>
    <t>ChicAgo. Maybe they could come in tomorrow? We need soap and conditioner Ma d facecloths</t>
  </si>
  <si>
    <t>We checked out yesterday</t>
  </si>
  <si>
    <t>(1/2) Thanks Jim for checking in, I forgot to mentioned yrsterday, some towels were missing. N The linens need changing, ironically some blond hair was in the L (2/2) inens, Lol, But I am very appreciative none the less.</t>
  </si>
  <si>
    <t>0 Bed hasn't been made and I wanted it by noon ans no hangers brought!!!!</t>
  </si>
  <si>
    <t>I will be back ! ?</t>
  </si>
  <si>
    <t>(1/2) Hi Tawana.Thank you so much for checking in. Things are going great. I'm not sure if we put on the do not disturb sign. But we would like our room cleaned (2/2) . We are at the Grand Canyon. Stay so far has been a 10.Thank you so much</t>
  </si>
  <si>
    <t>0 minutes the rate jumped as I was booking to 233 avg. I booked as we needed to finalize while driving. I called Hilton Honors on the rate and they sai</t>
  </si>
  <si>
    <t>(1/2) My stay has been great. Thank you for checking. My only suggestion would to put one of those rubber stops on the cabinet door for the fridge. When I clos (2/2) ed it last night it made a slamming noise. I hope i didn't frighten my neighbor. This morning I did it again because I forgot.</t>
  </si>
  <si>
    <t>**Definitely alert-worthy**
 Rationale: The guest expresses strong, extreme dissatisfaction ("awful," "terrible") with both the hotel and service broadly, and explicitly signals intent to escalate publicly by warning other Tripadvisor guests. This combination of strong negative sentiment plus a stated intent to post a public review is a clear signal the Manager should be aware of now ‚Äî this is a reputational risk that may warrant proactive outreach or service recovery beyond routine Front Desk handling, even though no specific incident detail is given.</t>
  </si>
  <si>
    <t>Do it's going well! Can you cancel the seaworthy reservation for us tonight? Jasmine was able to get us into Peche at 5, and we are going to make a show at the st Vincent afterward unable to make the seaworthy dinner</t>
  </si>
  <si>
    <t>,just great HAVING A GREAT DAY.</t>
  </si>
  <si>
    <t>I would rate this stay so far a 1. The lack of service , the services closing early This has been a disappointment vacation stay here</t>
  </si>
  <si>
    <t>Everything is great! I'm trying to call and can't reach anyone. We would like a pickle ball court. Are there any available? Thank you!!</t>
  </si>
  <si>
    <t>and it's not they are going to try to accommodate us</t>
  </si>
  <si>
    <t>(10) Everything is GREAT!!!! Thanks for asking!!!</t>
  </si>
  <si>
    <t>Hi. Can we have more towels and some more water bottles please</t>
  </si>
  <si>
    <t>. Actually, could you please cancel the room clean service? I'l</t>
  </si>
  <si>
    <t>, thought breakfast was included and expected a larger room. Location and staff are great tho! Is there a laundry room? Have to wash something real quick</t>
  </si>
  <si>
    <t>(2/2) een super friendly and always helpful.</t>
  </si>
  <si>
    <t>**Not alert-worthy** ‚Äî This is an overwhelmingly positive message. The guest is praising the room's accommodations for their daughter's needs, rating the stay a "10," and thanking staff member Carlos by name. There's no complaint, concern, or issue requiring Manager awareness ‚Äî though it could be nice to pass along as positive feedback/recognition for Carlos, it doesn't meet the bar for a real-time alert.</t>
  </si>
  <si>
    <t>I had no hot water this morning to shower, and the keurig didn't work. I spoke to the front desk for both and I think they are both being dealt with</t>
  </si>
  <si>
    <t>a half days and I need an access. What shall I do?</t>
  </si>
  <si>
    <t>our statement. Can we get that corrected please?</t>
  </si>
  <si>
    <t>Hi Tiffany. I do not arrive until midnight.</t>
  </si>
  <si>
    <t>(1/2) I had a nice stay. I would rate my experience as 4. The onlt thing that kept me from giving a 5. Would be the temperature control. It flat out had me gue (2/2) ssing the whole time. I was hot then cold. Lol. Otherwise it was a good stay</t>
  </si>
  <si>
    <t>**Definitely alert-worthy**
 Rationale: The guest explicitly rates the stay "horrible" and describes multiple stacked service failures ‚Äî towels never delivered despite a request, only partial linens brought, and the guest giving up on a third request out of frustration, resorting to having kids reuse towels. This is more than a single routine service lapse; it's a pattern of repeated failures causing real guest hardship and strong dissatisfaction. A Manager would want visibility now to ensure service recovery (comped amenity, personal outreach, follow-through) rather than risk the guest feeling ignored a third time.</t>
  </si>
  <si>
    <t>I cancelled my reservation yesterday. Can you please confirm that I'm not being charged.</t>
  </si>
  <si>
    <t>(1/3) Hi Scott, definitely a 5! We loved all the festive decor. It wa</t>
  </si>
  <si>
    <t>0 my issue has not been resolved. Not by customer service or hotel staff. I can't get answer or correction.</t>
  </si>
  <si>
    <t>It's been great! Thank you Nichole :)</t>
  </si>
  <si>
    <t>(Auto Reply) Hi, thanks for the text! Please excuse a delay in response as I'm on sabbatical May 14-June 12. CA FBLA questions should go to nlc@cafbla.org.</t>
  </si>
  <si>
    <t>I have not checked in. I am checking in this evening.</t>
  </si>
  <si>
    <t>Thank you for your kindness Juanita... so far we are having a great experience!</t>
  </si>
  <si>
    <t>a Homewood Suites. Sorry...just being honest. Michael</t>
  </si>
  <si>
    <t>(1/2) It was a 10...great room, Brian at Morgan's is fantastic, and (2/2) relaxing massage!! Thank you ?</t>
  </si>
  <si>
    <t>There has been a tapping noise in our room since we've arrived. Lost some sleep to it last night and this morning so we alerted the front desk. Maintenece has been in and out of our room throughout the day to try and resolve the problem but havnt been able to figure it out thus far...</t>
  </si>
  <si>
    <t>your note Breakfast coffee had a burnt taste and the orange juice is miles from fresh. Fruit salad was excellent But the matridee organizing breakfas</t>
  </si>
  <si>
    <t># 5! Very helpful, polite, and courteous! Thanks for everything....</t>
  </si>
  <si>
    <t>Not alert-worthy ‚Äî This is an overwhelmingly positive review, praising multiple staff members by name for excellent service. No complaint or issue present; may be worth sharing with Manager as positive recognition, but not an "alert" in the sense of a problem requiring attention.</t>
  </si>
  <si>
    <t>My stay is going well. 10/10. My checkout date is May 24.</t>
  </si>
  <si>
    <t>(2/3) equested! Thank you so much for your attention upon check in! (1/3) Absolutely wonderful, my room has been nice and quiet ? as r (3/3)</t>
  </si>
  <si>
    <t>Unfortunately we are a bit disappointed. When we first checked in the phone was not working and were told that somebody would be up to fix it which still has not been corrected. Made reservations with Steven at the concierge last night for dinner at the Italian restaurant and when we came back today to double check on the time it had not been made. We made servers stink in another venue at a later time than we preferred. When we booked this trip we were in a different class of room which we understand that/those floors under renovation. So we were a bit disappointed that we didn't get the room that we wanted. The gentleman from the travel agency that met us at the airport told us and told us that a credit had been issued to us. We have no documentation to tell us what the credit amount was or where we can get a copy of that credit for our files. Any assistance you can be up would be greatly appreciated.</t>
  </si>
  <si>
    <t>Amazing! We absolutely love the accommodations!</t>
  </si>
  <si>
    <t>9 but where is the ice machine?</t>
  </si>
  <si>
    <t>I am very satisfied with everything. Thank you ?</t>
  </si>
  <si>
    <t>0/10 getting random texts from Hilton</t>
  </si>
  <si>
    <t>So far it has been wonderful. I'd rank it as a 10 thus far.</t>
  </si>
  <si>
    <t>Our stay is very nice. Very happy with room. Thank you.</t>
  </si>
  <si>
    <t>$18 in credits please</t>
  </si>
  <si>
    <t>(8) the shower door does not block the water while using and it floods the floor. Unfortunately our towels were used up because the floor became a pond. The floor was very slippery and we're unable to use until it dried</t>
  </si>
  <si>
    <t>(1/2) TY trust me if I have any concerns I will be letting you know. You are the first to contact me by text you may want to consider while certainly not an iss (2/2) ue with me it could create a interesting discussion among spouses see unfamiliar name discussing hotel rooms. In my case it is disturbing my work flow.</t>
  </si>
  <si>
    <t>is there some sort of trick I need to do to get it lower at night?</t>
  </si>
  <si>
    <t>(10) Stay is going well. Thanks for your assistance and efforts at recovery. I would still like to inquire about a King bed if available. Anything you can do will be appreciated.</t>
  </si>
  <si>
    <t>**Definitely alert-worthy**
 Rationale: This message stacks multiple serious issues. Most critically, the guest reports smoke infiltrating their room from under the door or the air handling system on the first night ‚Äî a potential safety/health/fire-system concern ‚Äî severe enough that they had to change rooms and wash all their clothing to remove the smell. They also explicitly compare it unfavorably to "most of the casinos I've visited here," signaling reputational risk. Layered on top is a recurring, unresolved technical issue (HD/HBO signal problem) with guest skepticism that staff gave a generic "being upgraded" brush-off rather than a real fix. The combination of a potential safety issue, guest frustration with being fobbed off, and comparative-brand criticism means the Manager should be aware now, not just Front Desk logging a repair ticket.</t>
  </si>
  <si>
    <t>bring in a few water bottles.</t>
  </si>
  <si>
    <t>(1/2) Hi Winston. I'm good thank you. Simba said they would be delivering a bottle of chardonnay to my room before 2pm complimentary for my birthday. I left the (2/2) do not disurb off for that delivery. Has it been delivered? Thank yoy</t>
  </si>
  <si>
    <t>steps but it's been locked a few times now</t>
  </si>
  <si>
    <t>It's a 10. Pleasant and helpful staff, excellent accommodations.</t>
  </si>
  <si>
    <t>The food in McArthur's was hit and miss. Otherwise we had a great stay. Thank you</t>
  </si>
  <si>
    <t>(1/2) Beautiful room.maybe the nicest room I've ever stayed in. My only complaint is not being able to take food or drink in the pool area. $4 for a coke is rid (2/2) iculous. All the staff has been super nice.thank you.greg</t>
  </si>
  <si>
    <t>%Thank you so much for your txt! Everything is great though if in retrospect I think we would have been better with a king accessible room connected to a</t>
  </si>
  <si>
    <t>Hey Matthew, is room service provided daily?</t>
  </si>
  <si>
    <t>0 I'm not staying there. I didn't make a reservation and I've contacted the Boca Raton a couple times now</t>
  </si>
  <si>
    <t>(1/2) Hello Ms Ashlee, I hope uR having a gReat DaY. Things are going well-Thank to You. Equates to a (10)! Again Thank You for providing that personal Tou (2/2) ch. RfR</t>
  </si>
  <si>
    <t>#10. Great room! Great employees, get facility!</t>
  </si>
  <si>
    <t xml:space="preserve"> scar look a joy TL a</t>
  </si>
  <si>
    <t>#10. Everything is good. Thank you for being so kind.</t>
  </si>
  <si>
    <t>Not alert-worthy ‚Äî This is a lighthearted, positive check-in with casual banter about Vegas/gambling and evening plans (show, dinner). The "no face pix" comment is ambiguous/odd phrasing but doesn't contain a clear complaint, safety issue, or actionable request requiring Manager awareness. Front Desk can respond to the positive sentiment; nothing here signals dissatisfaction, staff misconduct, or escalation risk.</t>
  </si>
  <si>
    <t>Concert traffic last night was a nightmare No place but parking lot to relax &amp; smoke a cigar</t>
  </si>
  <si>
    <t>Love this property however it's in really bad shape (understand it's going to be totally refurbished later this year), the staff is great, friendly, and professional, I would have to say that the rooms need more storage, we are living out of our suitcases, elevator not working, power by tv not working. We have stayed at both Waldorf resorts here and Reach Resort is our favorite, but next time we return would consider staying at Casa Marina, I have been a HH member for many years. Thanks</t>
  </si>
  <si>
    <t>Concierage was less than helpful and seemed uninterested. In fact while checking in, I was told that she already answer my question</t>
  </si>
  <si>
    <t>It appears I'm talking to a robot</t>
  </si>
  <si>
    <t>(1/3) I would rate it about a 2. The room was beautiful and the hotel was great but someone in the area was smoking all night and the fumes kept making it into (2/3) our room every 20 minutes. I have smaoke allergiesm. I didn't get to sleep until about 4 30 AM. Raymond at the front desk was fantastic and provided su</t>
  </si>
  <si>
    <t>3 . The maid service hasn't resumed yet. The carpet wasn't very good. Could use a vacuum. Perhaps it was forgotten when they made the room up last time.</t>
  </si>
  <si>
    <t>0 no one ever called me back</t>
  </si>
  <si>
    <t>Have to pull in order for it to lock</t>
  </si>
  <si>
    <t>(1/2) Hi. We're in 1025 and I confess that, while most things are okay, we seem to be near a lot of noises that keep us awake at night. Some noises are people, (2/2) but there also seems to a lot of loud clicks that literally jolt us awake. Can anything be done about this? Thanks for checking, JJ</t>
  </si>
  <si>
    <t>Very nice so far. Dinner at grazing was wonderful! Thank you for asking.</t>
  </si>
  <si>
    <t>8 Have a great day Jaycina</t>
  </si>
  <si>
    <t>Is it has been great. Thanks. Our room was not done. Can we get complete refill of coffee tea condiments water. Also clean wash cloths.</t>
  </si>
  <si>
    <t>Also, is there a pharmacy in the hotel premises? Thank you.</t>
  </si>
  <si>
    <t>Not alert-worthy ‚Äî Overall positive feedback (7/10 rating), guest is pleased with the property. Message appears to be garbled/duplicated due to SMS splitting issues, but the discernible content is routine positive/neutral feedback with no complaint, staff conduct issue, or dissatisfaction signal. Front Desk can simply acknowledge the thanks.</t>
  </si>
  <si>
    <t>. 7. Massage fantastic.Breakfaat great. I am trying to reset from yesterday with how the rooms were handled fot The Trinity United Church of Christ. It was as if we were not expected.</t>
  </si>
  <si>
    <t>(1/2) Lacie - location was great, however the noise level from outside traffic and construction really took away from enjoyable experience. my wife didn't sleep (2/2) even with a pillow over her head. wish I would have known</t>
  </si>
  <si>
    <t>Hi Kristina, my stay was good. Checked out and left for my flight early this morning at 3:15 am.</t>
  </si>
  <si>
    <t>.5.....you have yet to play jump rope with me like I requested.... :) it's a nice time 9 because you guys forgot to put my book in the library</t>
  </si>
  <si>
    <t>5. Yes towels and body wash</t>
  </si>
  <si>
    <t>Check out tomorrow correct?</t>
  </si>
  <si>
    <t>0 My room hasn't been cleaned Toiletries are empty I can go on ...</t>
  </si>
  <si>
    <t>"10" and thank you for making a big city big hotel seem like a welcoming home. You and your colleagues are extraordinary hosts. Thank you!</t>
  </si>
  <si>
    <t>"1, your porch monkey was throwing boogers at me the whole time!" 2, one of your delivery boys that brings up my food keeps trying to flirt with me. And 3, why is there a lot of crekeits in the hot tub!?</t>
  </si>
  <si>
    <t>(1 of 2) 10 of course! I left the shower gel behind by forgetfullness. I m looking for a good one and i would love to try it. Could you send me a couple please? (2 of 2) Mr and mrs busateri</t>
  </si>
  <si>
    <t>Very well thank you. I did have a question is whether there is typically a charge to use the fitness center for the week. I had to pay and I spoke with</t>
  </si>
  <si>
    <t>...not sure if this was auto generated, but everything was great, and check out was quite seem less, thank you!...</t>
  </si>
  <si>
    <t>Can't complain about our unit. = 10 Hilton has figured out a new way to "encourage" owners to buy more. Increasing levels or elite to Max.</t>
  </si>
  <si>
    <t>**Alert-worthiness: Definitely alert-worthy**
 **Rationale:** The guest explicitly states they "hated" the stay and are "very disappointed" ‚Äî this is strong, unambiguous negative sentiment in the guest's own words. Per the stated criteria, strong/extreme dissatisfaction qualifies as "Definitely" on its own, even without specific details about the cause. A Manager would reasonably want to know now that a guest left with this level of dissatisfaction, even though Front Desk will also need to follow up to identify the root cause.</t>
  </si>
  <si>
    <t>and take to our room? Thanks! Chris</t>
  </si>
  <si>
    <t>(1/3) Hi Loretta, Were having a great time. We wanted to know if the (2/3) concierge can provide us with tickets to the Drais beach club? W (3/3) e have 3 males and 3 females.. thank you.. and yes its a 10..?</t>
  </si>
  <si>
    <t>VerY nice Please - bring more towels by em 17042 Thank you</t>
  </si>
  <si>
    <t>Very good - thank you</t>
  </si>
  <si>
    <t>"8"..room was pleasant and relaxing. I really enjoyed breakfast . Need a clean blanket in the front sofa. The blanket was soooooo comfy and soft but had stains on it. Thank you.</t>
  </si>
  <si>
    <t>The bed is not comfortable. Otherwise a 4</t>
  </si>
  <si>
    <t>(1/2) Bob, Our stay was great. We did have a wonder, about the curtins. Why do the design not allow the guest to completely close off a room from anyone walking (2/2) by on a sidewalk. I also like a dark room when I sleep, not poss. At this location. Breakfast was wonderful.</t>
  </si>
  <si>
    <t>9 would be a 10 if coffee shop opened earlier and we had a microwave in the room</t>
  </si>
  <si>
    <t>**Not alert-worthy**
 Rationale: This is a highly positive review with no complaints or issues. The guest explicitly praises the room, breakfast, and staff (front desk and restaurant personnel), rating the stay a 9. There is nothing here requiring Manager awareness beyond routine positive feedback ‚Äî Front Desk can simply acknowledge the thanks. (Optional: could be routed as a compliment/recognition note for staff, but that's not a real-time alert scenario.)</t>
  </si>
  <si>
    <t>(9 ) enjoyed room service and especially the young lady who went out of way to make sure my meal was delivered well and the way I ordered it. She is a good representative of Embassey Suites . The front desk was exceptional.</t>
  </si>
  <si>
    <t>Everything is great! Thank you for checking in! I did want to mention that it appears my last name on my reservation is misspelled - it's "Tungate" not "Tungape". Should I stop by the front desk to make this correction or can you handle on your end? Thanks!</t>
  </si>
  <si>
    <t>(1/4) Hello Cheryl, thank you so much for checking on us. Our stay has been a solid definite 10. Thank you so much for arranging our early check-in. It made a b (2/4) ig difference and was very convenient. Today my daughters are at the convention center and my wife and I are in St Petersburg visiting the Dali Museum. We (2/4) ig difference and was very convenient. Today my daughters are at the convention center and my wife and I are in St Petersburg visiting the Dali Museum. We (4/4) ate? Many thanks, your cousins in Miami, James and Maria Marling</t>
  </si>
  <si>
    <t>Not sure if you were aware but the shower didn't work this morning. I called down they sent someone up to fix it but by the time it was repaired I needed to leave for my meetings today without a shower. I truly feel that things like the shower need to be working prior to having a guest stay in a room.</t>
  </si>
  <si>
    <t>5 stars to the housekeeping here! They folded my pajamas, and organized my makeup!</t>
  </si>
  <si>
    <t>It's going well I had to leave early this morning to get medication for my mother back and ready but I'm headed back now hopefully I can stay for more than 24 hours thanks for asking</t>
  </si>
  <si>
    <t>"5". We are by the elevator and heard quite a bit of noise last night. We need shampoo, another washcloth and another kitchen towel</t>
  </si>
  <si>
    <t>because there are almost no prices in the marketplace. It is one thing to be expensive, but it should at least be priced. Lost 2 points because our pri</t>
  </si>
  <si>
    <t>Not alert-worthy ‚Äî This is a highly positive review with no complaints or issues. The guest explicitly requests a survey to praise staff, which Front Desk/standard follow-up can handle by sending the requested survey link. No Manager action needed, though this compliment could be nice for the team to see in routine reporting.</t>
  </si>
  <si>
    <t>you for being a perfect 10.</t>
  </si>
  <si>
    <t>Thank you- I am part of the JC Craig and Nick Cruise wedding. They mentioned a gift basket which I did not receive yet so wanted to check on that!</t>
  </si>
  <si>
    <t>completely altered. I was supposed to go shopping all day for home</t>
  </si>
  <si>
    <t>, there isn't evening turndown service. Lastly, we were surprised that getting a glass of champagne to take to the room before the bar opened was like pu 7. We were bothered that there were no towels available after a certain time at the pool, especially when the pool doesn't close. And, for a 4 star hotel lling teeth. Definitely some room to improve. Thanks.</t>
  </si>
  <si>
    <t>0,the water has shut off for the 2 hours and the battery went out in the door</t>
  </si>
  <si>
    <t>0 room wasn't cleaned yesterday ?</t>
  </si>
  <si>
    <t>It's going great thank you! Have one favor: i forgot to mention this when checking in yesterday. I have another reservation to extending my stay through Sunday. Can I stay in my current room through out?</t>
  </si>
  <si>
    <t>0 our room has yet to be serviced</t>
  </si>
  <si>
    <t>(Auto Reply) Hello! I'm at a training and will have significantly delayed responses until the morning of Friday, 4/29. If you have an urgent matter, please contact our KamaHomes Office Manager, Beth Cooper at 503.806.2282 and she will guide you to the correct resource. Thanks, Mathew</t>
  </si>
  <si>
    <t>**Not alert-worthy** ‚Äì A broken AC requiring a room change is a routine maintenance/service issue. The guest is calmly stating a problem and a clear solution (new room, bag with bellman) rather than expressing strong dissatisfaction or any complaint about staff treatment. This is a standard Front Desk fix (reassign room, move luggage) with no signals of escalation, safety risk, or conduct issues that would need Manager-level awareness right now.</t>
  </si>
  <si>
    <t>(1/2) The stay was a 10. I wish I could afford to stay longer. Staff and service was also a 10. My only complaint is that i wish the parking was not extra $.... (2/2) its like going to a restaurant and having to pay to park. Other than that, outstanding!</t>
  </si>
  <si>
    <t>you give as courtesy and not that I need the voucher to buy a coffee but the answer that I was given "the vouchers are for lying customers when they arr</t>
  </si>
  <si>
    <t>was dirty with hair and no towels. Since that it's been pretty good.</t>
  </si>
  <si>
    <t>" 10 " I am enjoying my stay very much.</t>
  </si>
  <si>
    <t>Very good so far, thank you</t>
  </si>
  <si>
    <t>10. We love it here! If possible could we please have a 1pm pool chair reservation at beach Galin for 2 people. Thank you!</t>
  </si>
  <si>
    <t>We would give it a 6 - pretty basic. Nothing special.</t>
  </si>
  <si>
    <t>, so as late as you can do would be great. Thanks</t>
  </si>
  <si>
    <t>Wonderful. Our bed was so comfortable. There was a credit card charge to our AMEX though and I'm not sure why.</t>
  </si>
  <si>
    <t>" 10" Thank you Verania</t>
  </si>
  <si>
    <t>(1/3) There were a few hiccups in the shuttle service we had to wait just about an hour and we had to take a taxi because there was no shuttle service available (2/3) but the evening manager was so accommodating and helped us out immensely.. I always have great service with IHG so I'm giving you a five that managers na (3/3) me is Jessica</t>
  </si>
  <si>
    <t>**Definitely alert-worthy**
 Rationale: This message describes a stacked series of concerning incidents from a single stay: (1) confused/repeated front-desk calls questioning the guest's identity and stay dates, (2) a late-night call that dropped, (3) someone attempting to open the guest's room door at night (stopped only by the latch) ‚Äî a genuine security/safety concern, and (4) an incorrect $42.60 bar charge on the final bill for a venue the guest says they never visited. The guest explicitly frames this as "several weird things" and states they were "not very pleased." The combination of a possible security/intrusion incident with billing errors and staff confusion about room status is exactly the kind of multi-failure, safety-adjacent situation a Manager needs to know about in real time ‚Äî not just something Front Desk should quietly resolve.</t>
  </si>
  <si>
    <t>"9" Great room; great service; but cloudy &amp; too cold to use the pool! Good thing there is plenty to do in Vegas!?</t>
  </si>
  <si>
    <t>We had a terrible night sleep and their wasn't any soundproofing so we heard the traffic all night too. We won't be staying at the Equus again</t>
  </si>
  <si>
    <t>(1/2) The hotel is magnificent the lounges excellent. We only have 2 issues. Number one please check the bed my wife says it is it is extremely hard and uncomfo</t>
  </si>
  <si>
    <t>otherwise y'all are great here. ??</t>
  </si>
  <si>
    <t>0 worst place ever I'll never come back</t>
  </si>
  <si>
    <t>Hi Jennifer, it is great but I may need your help to ensure I can pay for my 5 night stay with my credit card. I would prefer my host/club member does no</t>
  </si>
  <si>
    <t>was swiped and I asked about the large difference in amount I have charged</t>
  </si>
  <si>
    <t>I have complained about. It's ridiculous! Priceline also has tried to contact you regarding reimbursement and no one is answering their calls. This has</t>
  </si>
  <si>
    <t>(1/2) 10 - The staff did an excellent job with evacuating the guests. (2/2) Courteous and responsive to those of us who were out front.?</t>
  </si>
  <si>
    <t>#10 on The Big Island! Mahalo</t>
  </si>
  <si>
    <t>(1/2) Thank you so much for asking, our stay was excellent ( after the initial delay) I appreciate the efforts you made - a 10. We stay here almost every yea (2/2) r around this time and hope to continue doing so.</t>
  </si>
  <si>
    <t>Replied to msg from Tiffney.</t>
  </si>
  <si>
    <t>**Definitely alert-worthy**
 Rationale: This describes a stacking pattern of service failures ‚Äî the guest was given the wrong bed type not once but twice (first room wrong, reassigned room "still had d..." indicating the same bed-type problem persisted). Repeated failures on the same request, especially after the guest already took the effort to return to the desk once, signal a service recovery situation significant enough that a Manager should be aware in real time, regardless of how Front Desk ultimately resolves it. The message is cut off, so there may be more compounding detail in parts 2/3, reinforcing the need for Manager visibility.</t>
  </si>
  <si>
    <t>Amazing! 10 out of 10</t>
  </si>
  <si>
    <t>(5) Thanks for the upgrade. My daughter enjoyed having her own TV and bathroom. My wife said the beds were comfortable.</t>
  </si>
  <si>
    <t>Your staff is terrific</t>
  </si>
  <si>
    <t>help with that since Nathania will be having some makeup artists over and they asked us to help them with parking</t>
  </si>
  <si>
    <t>Very good. Could we have housekeeping service today please.</t>
  </si>
  <si>
    <t>Hello did security come</t>
  </si>
  <si>
    <t>(1/2) Good afternoon Everything is going well thank you for asking :) Though the hairdryer seems to not be working properly. Wound it be possible to bring me (2/2) a replacement hairdryer to room 505</t>
  </si>
  <si>
    <t>Not alert-worthy ‚Äî This is an enthusiastic, positive message with no complaint or issue; no Manager action needed, though Front Desk/staff (Aldene) might appreciate the compliment being shared.</t>
  </si>
  <si>
    <t>go about getting that</t>
  </si>
  <si>
    <t>me. My original concerns were that my room was not serviced during my stay despite multiple interactions with housekeeping. I paid over $2000 for my roo</t>
  </si>
  <si>
    <t>(1/2) My stay was a five. Room was very comfortable and quiet. Room service was fast. The spa facilities were clean and relaxing and all the staff were (2/2) polite and attentive. It is my first choice for SF hotels in the city.</t>
  </si>
  <si>
    <t>. Elevator's broke down only one working at times with a church youth event going it was terrible. I am a Hilton Honor your standards don't meet that.</t>
  </si>
  <si>
    <t>10! Everything has been great. Any questions have been promptly and satisfactorily addressed. Thx</t>
  </si>
  <si>
    <t>from a neighbors balcony. Ruining out time.</t>
  </si>
  <si>
    <t>I would rate it a 6. Room is smaller and doesn't have a small kitchen/ cooktop like we normally have. Room smelled of mildew or coverup odor when we arrived. elevator door middle of building 5 to the right appears to be bent or warped. You can hear it scrape when closing. Ledges outside need to be cleaned of cigarette butts and debris.</t>
  </si>
  <si>
    <t>"10" Yes we had a wonderful time!! Thank you</t>
  </si>
  <si>
    <t>**Probably alert-worthy** ‚Äî Guest reports physical discomfort (back pain) attributed to a defective mattress, which touches on guest well-being, not just routine annoyance. However, the message is cut off (1/2) and lacks full context on severity or expectations (e.g., refund, room change demand). Front Desk can likely resolve with a room/bedding swap, but the health-related complaint and incomplete information warrant Manager visibility until the full message and resolution are clear.</t>
  </si>
  <si>
    <t>(1/2) It has been wonderful! The girls love breakfast with Santa! I was wondering if you have any information regarding the puppet show I believe it is or if th (2/2) ere are things for the girls to see or do you before it's time for peppermint Park</t>
  </si>
  <si>
    <t>Wry good. Thank you</t>
  </si>
  <si>
    <t>*24 Sent by Brenda Ware</t>
  </si>
  <si>
    <t>(1/2) Have not checked on yet. Hope to do that when I get to Miami this afternoon. If it makes a difference, the lady I spoke with about modifying my (2/2) reservation was incredibly friendly and helpful</t>
  </si>
  <si>
    <t>going great, do I get a complimentary breakfast with my H honorarium status?</t>
  </si>
  <si>
    <t>**Probably alert-worthy**
 Rationale: The language is strongly negative ("Horrible," "quite terrible experience"), signaling more than a routine complaint ‚Äî this isn't a minor gripe. However, there are no specifics about *what* went wrong (no mention of staff conduct, safety, security, or intent to escalate). It's enough to flag that something significant may have occurred, but too vague to confirm Manager-level severity versus an ordinary service failure described in dramatic terms. Front Desk should follow up immediately to get details, and if the guest elaborates with any serious specifics, it should be escalated to Definitely.</t>
  </si>
  <si>
    <t>(1/2) I would give a 9!! Love the pillows!! Only thing I didn't like were the prices in the bar. Other than that, we will definitely stay there again! Thank (2/2) you for everything!</t>
  </si>
  <si>
    <t>Everything is good. We will need some more toilet paper please</t>
  </si>
  <si>
    <t>Hi Josh, definitely a 10!</t>
  </si>
  <si>
    <t>. We had TV issues but it was fixed enjoying our stay. 10 thanks</t>
  </si>
  <si>
    <t>9.5! Is chips the only snack in the reception? Thanks</t>
  </si>
  <si>
    <t>. ... Very well thank you 9 Blessed??</t>
  </si>
  <si>
    <t>10 I have to leave very early in the morning I do need to arrange for a shuttle or something to take me to the airport tomorrow morning my flight leaves at 7 am</t>
  </si>
  <si>
    <t>I am a Hilton Gold member, any way you could add this stay to my account!? Hilton honors member #524304045</t>
  </si>
  <si>
    <t>(1/2) Hi Judy. Everything has been great so far, thank you! We're at the spa pool now and we had the Do No Disturb sign up all morning. Would it be possible to (2/2) have housekeeping come by now? We'll probably be at the pool until about 6</t>
  </si>
  <si>
    <t>**Not alert-worthy** ‚Äì Guest reports a minor initial cleanliness issue (food stains on table) that she resolved herself, and notes housekeeping responded quickly to her requests. She explicitly states "all is well now" and the family is having a "wonderful time," with warm, positive closing remarks. No unresolved complaint, staff conduct issue, or dissatisfaction signal ‚Äî routine feedback Front Desk can log/note.</t>
  </si>
  <si>
    <t>Please send over 12 waters</t>
  </si>
  <si>
    <t>0 I am not there - the stay was booked fraudently and I am awaiting a refund of my 1020.00 as you agreed to do but havent!</t>
  </si>
  <si>
    <t>(1/2) ...8.5, but only because we're still having problems with the TV. A supervisor is headed this way now, pretty sure it'll get fixed &amp; we'll be back to a 1 (2/2) 0+. Thanks!!!</t>
  </si>
  <si>
    <t>0. That was the worst experience I've ever had at a Hilton property. I'd like a full refund and my Honors points back.</t>
  </si>
  <si>
    <t>"9" SO MUCH BETTER THAN PREVIOUS YEARS! THANK YOU!</t>
  </si>
  <si>
    <t>I everything is fine Thank you. We are with family members today and tomorrow.We are her for my grandma Funeral</t>
  </si>
  <si>
    <t>Can I request housekeeping to clean the room today please?</t>
  </si>
  <si>
    <t>(1/4) Very disappointed with the hotel and room.I specifically stated in my reservation that we are celebrating our 31st anniversary. There was no mention or co (2/4) ngratulations reflecting it. I had asked to be upgraded to a 1 bedrroom suite which did not happen. We stayed at the Washington Hilton prior to our stay w (3/4) ith you and they upgrade us to a beautiful suite and A 50.00 gift credit to celebrate our anniversary at their restaurant. I regret not booking our entire (4/4) stay with them . My grade for the capital Hilton is a 1.</t>
  </si>
  <si>
    <t>I checked out this morning</t>
  </si>
  <si>
    <t>"10".......we love this resort and will continue to book here. We also love "Jason" from the Concierge</t>
  </si>
  <si>
    <t>Jasmine I'm a little disappointed. the room was so cold last night I froze.. Today were suppose to be celebrating my sister's birthday and we have nothing to do?</t>
  </si>
  <si>
    <t>Ok going well. Need fresh towels please and thank you.</t>
  </si>
  <si>
    <t>**Definitely alert-worthy**
 Rationale: This describes a safety/security incident ‚Äî an actual physical fight between intoxicated guests directly outside their room at 4 a.m. Even though this is only part of a multi-part message, physical altercations in guest hallways are a security concern the Manager needs real-time awareness of, especially since the guest indicates they had to call for help ("We called..."). This goes beyond a routine service complaint and touches on guest safety, potential liability, and how the incident was handled overnight ‚Äî all things Manager should be aware of immediately, regardless of how Front Desk/security responded at the time.</t>
  </si>
  <si>
    <t>10 (and I've checked out)</t>
  </si>
  <si>
    <t>10. Hi good afternoon any way we can get 4 rolls of toilet paper please and thank you</t>
  </si>
  <si>
    <t>(7) we didn't get a room cleaning as promised yesterday. Had to get clean towels rushed to room at last minute before dinner reservations. I would recommend TVs be upgraded to smart TVs for stream services. And offer tea for non coffee drinkers</t>
  </si>
  <si>
    <t>0. We started our stay yesterday with the young lady ;who was very polite and courteous) telling us she moved us to building 6 which is closer. She forgot to mention that 6312 is on the third floor and there is no elevator that can get us to the floor. We had been here before and the elevator in the lobby took us to our floor, but apparently, it is not available for building 6.</t>
  </si>
  <si>
    <t>, yelling and slamming doors until about 11-1115 or so. Otherwise all else was fine.</t>
  </si>
  <si>
    <t>(4) The bed was visibly not clean. The sheet had a large nasty stain on it. I didn't noticed until it was time to go to bed when I turned back the sheet.</t>
  </si>
  <si>
    <t>"10" thanks for asking. You have a great day as well!</t>
  </si>
  <si>
    <t>Can we get 4 large towels?</t>
  </si>
  <si>
    <t>Hello, we are having a great time. This property is gorgeous! I do have a question about a random charge on my card...</t>
  </si>
  <si>
    <t>#1 we thought we were getting a room with a balcony and instead it is a claustrophobic room and the baby next door woke us. In the past we were always a Hilton fan.</t>
  </si>
  <si>
    <t>Martyna, Definitely a 10. Wish we could stay longer. We will just have to come back again. Our room is wonderful!</t>
  </si>
  <si>
    <t>**Definitely alert-worthy**
 Rationale: Guest reports multiple, specific cleanliness failures ‚Äî heavy dust throughout the room and coffee pot, dirty mini fridge, and foreign objects (change) found in the bed. This is a stacking of several distinct lapses (not just one minor issue), suggesting a systemic housekeeping/inspection failure rather than an isolated miss. The guest has already checked out, so there's no opportunity for in-stay service recovery ‚Äî Front Desk logging the complaint doesn't address the root cause. A Manager should know now to review housekeeping standards for that room and consider proactive outreach (apology/compensation) given the severity and multiplicity of issues described in the guest's own words.</t>
  </si>
  <si>
    <t>"I'm certainly not impressed. I'm Travel Consultant (45 years). Would not pick this Property for clients. Front Desk supposedly Upgraded us to better room. Room May. E bigger, but no view except for huge Fuel Tanks. Luckily I'm in Transit to Royal Caribbean Cruise from Bridgetown. Property has difficulty with Lunch Service. Only option is at the Pool Bar. Tried that yesterday, had a Turkey Club. One piece of Turkey, tomato and lettuce per half. But tons on Bread. Not at all what I expected. Too tired to change room or food. Sad</t>
  </si>
  <si>
    <t>Very good thank you. Could someone tell me how to make a reservation for hanauma bay snorkeling?</t>
  </si>
  <si>
    <t>the staff is very friendly and helpful. give the hotel a 10 for sure</t>
  </si>
  <si>
    <t>(1/2) It's been very pleasant other than the incredibly miniscule two resident beds in which I found myself stuffed to the brim along side my bedmate considerin (2/2) g all factors, especially my phone being graced with your text and the wonderfully patterned carpet I would give it an 8</t>
  </si>
  <si>
    <t>"10" ..can you make sure that we are getting clean towels. I had asked the front desk this morning. Thanks</t>
  </si>
  <si>
    <t>Still waiting for someone to fix toilet handle</t>
  </si>
  <si>
    <t>Could you meet me at the entrance and take me to building four?</t>
  </si>
  <si>
    <t>(1/2) Ok, next time we need to get a more senior friendly room. Difficult to step into tub for shower, height of toilet makes for difficulty of use, things lik (2/2) e that. But the Palmer house is such a special place. We have many wonderful memories of our stays over the past many years.</t>
  </si>
  <si>
    <t>**Definitely alert-worthy**
 Rationale: The guest gives an extreme rating (0/5) and directly criticizes staff attitude ("terrible," "grumpy"), which is a real complaint about staff conduct/demeanor, not just a service hiccup. Combined with the emphatic negative framing, this is clear signal a Manager would want to know about now ‚Äî even without a legal/safety angle or explicit escalation threat.</t>
  </si>
  <si>
    <t>- 2 clean hand towels (both were used when I arrived - hanging up, but upon closer inspection clearly used) - Lotion - looked full but actually empty. - Note: My room has a Do Not Disturb sign but it's fine to go in-- I just don't want/need the room cleaned. - Is there a microwave I can use?</t>
  </si>
  <si>
    <t>Pls Going very well Chantrece. You get Five stars and I hope Hyatt gives you bonus points. Five!</t>
  </si>
  <si>
    <t>0 my question hasn't been answered yet</t>
  </si>
  <si>
    <t>-stay is good. Thank you.</t>
  </si>
  <si>
    <t>(10)..... Your staff have been very kind &amp; I really appreciate that especially since they have to work over the holiday.</t>
  </si>
  <si>
    <t>What does cleanstay mean</t>
  </si>
  <si>
    <t>10! A great day to you too!</t>
  </si>
  <si>
    <t>**Alert-worthiness: Not alert-worthy**
 **Rationale:** This is a highly positive message with no complaint or issue ‚Äî the guest is praising Esteban and the housekeeping/food service. No action or Manager awareness is needed. (Note: this could optionally be flagged to the Manager as positive recognition/kudos for staff, but that's a "good news" forward, not a real-time alert per the criteria given.)</t>
  </si>
  <si>
    <t>It's great ! We are out of the room till late this evening. Can housekeeping drop off towels 9404 and 9403. Please leave on kitchen counter. Thank you.</t>
  </si>
  <si>
    <t>..great.. Ducks winning!!! 10</t>
  </si>
  <si>
    <t>I'll no better if room cleaned as scheduled Saturday. Only 1 small waist basket (more needed if room not cleaned every day), put in a room facing railroad tracks-noise at night distracting while trying to sleep, only 1 set of towels when we arrived for 2 people, no guide books for local attractions, room safe inoperable, coffee but no coffee pot. For $1100 for 4 nights it is disappointing, so I'll be kind because of the hotel's past history and give a 6 rating. Will be returning to Chicago for vacation this summer and probably seek other arrangements.</t>
  </si>
  <si>
    <t>9 Very good Thanks again for everything, Ronisha ☺️</t>
  </si>
  <si>
    <t>Hi. I spilled some liquid on the floor at Tower to elevator entrance on the marketplace level.</t>
  </si>
  <si>
    <t>Not cancel my room when another company had a guy with the same name and said he was already checked in a room lol but you did well in finding me another room. Not on the same floor but it's okay. :)</t>
  </si>
  <si>
    <t>Thx. Everything is good. Can I get a wake up call for room 626 at 5am tomorrow morning?</t>
  </si>
  <si>
    <t>Brutal construct noise. Should've been warned. We will endure and will be asking for a discount.</t>
  </si>
  <si>
    <t>**Definitely alert-worthy**
 Rationale: The guest opens with an explicit low satisfaction score ("0... wasnt real happy") and stacks multiple distinct failures in one message: forced valet/resort fees they resent, a 90-minute wait for food that then arrived wrong, and a broken skyway elevator. This is the classic "multiple failures stacking up" signal ‚Äî no single item may be severe, but the cumulative pattern plus the guest's clear dissatisfaction ("0") means the Manager should be aware now, both for service recovery and because fee-related resentment often escalates to review sites or complaints about being nickel-and-dimed.</t>
  </si>
  <si>
    <t>Can I get more of those complimentary water bottles for Diamond members in my room please? Thank you</t>
  </si>
  <si>
    <t>I am good to go, but thanks so much for checking in!</t>
  </si>
  <si>
    <t>Can we please have 12 o clock checkout. Thank you. We will be back on the 11th and can we please have early check-in? Thanks Rita ?</t>
  </si>
  <si>
    <t>(1/3) Good afternoon, Lindsay! So far, so good! Can you possibly arrange to have my possessions (which were left behind last month and in Brian's office) de (2/3) posited in my room? I will be out working until at least 9pm, so any time is fine. As I will be working thru the social, an accommodation would be apprec</t>
  </si>
  <si>
    <t>Okay they said that's fine ...</t>
  </si>
  <si>
    <t>8, only because our refrigerator has not been working since we arrived. We reported it but no one has come to fix it. Everything else has been great.</t>
  </si>
  <si>
    <t>(1/2) Everything is going great I'd give it an 8, but we're huge bronco fans and i was wondering if you knew of a bar that would be showing the game today so we (2/2) cab relax and watch it</t>
  </si>
  <si>
    <t>No thanks we have only one bag.</t>
  </si>
  <si>
    <t>Definitely alert-worthy.
 Rationale: Multiple serious failures stacking up ‚Äî health/hygiene hazard (fecal matter contacted by a child, pubic hairs in a second room), incorrect information given to the guest, and a disruptive/uncomfortable lobby experience. The guest explicitly states strong dissatisfaction ("disappointing and unacceptable," repeated for emphasis) and notes they've already been in contact with a manager, signaling this is an ongoing, escalating situation the Manager needs to be aware of in real time rather than a routine service recovery item.</t>
  </si>
  <si>
    <t>Was ok til we missed the shittle while waiting for security to open safe Then since we had to drive to sunshine was stressed and got at 273 $ speeding tickey</t>
  </si>
  <si>
    <t>(5) Just wonderful, taking all of Donna's family to the hockey game tonight, they are picking us up at 3:30pm, can we get the room cleaned up after then? It is ok to bring the nephews up to grab some candy when we go? Thank you for looking after us!! Donna and Bruce</t>
  </si>
  <si>
    <t>I had a beyond wonderful check-in experience which made my stay a perfect 10 before it even started !</t>
  </si>
  <si>
    <t>all is great. can you tell me what time yoga is tomorrow am?</t>
  </si>
  <si>
    <t>(2/3) on one of the highest floors, overlooking the strip? They would be so thrilled if that might be accommodated; with my gratitude. Would you please let me</t>
  </si>
  <si>
    <t>#4, it was hard to adjust the heat because there no marks on the dial and was loose. I got up twice in the middle of the night to readjust it... but othe</t>
  </si>
  <si>
    <t>(1/2) Hi Jason thanks for checking in. I love the resort the only critique is that there are a lot of tiny little ant like bugs on the tabletop and countertops (2/2) in my room</t>
  </si>
  <si>
    <t>0 - Did not enjoy our stay the hotel. We checked out the next day.</t>
  </si>
  <si>
    <t>"5". The food and service were excellent. First time we've stayed there and definitely would do in again. Thanks very much.</t>
  </si>
  <si>
    <t>We need your help to get this done</t>
  </si>
  <si>
    <t>**Definitely alert-worthy**
 Rationale: This is a health/sanitation incident (fecal contamination in a pool, resulting in closure of an amenity ‚Äî Jade Waters) that affected guests' experience. Pool closures due to biohazard/contamination events are exactly the kind of operational, health, and reputational issue a Manager needs situational awareness of in real time ‚Äî there may be guest compensation expectations, reopening timelines, health department protocols, or other guests asking about it. Even though the guest isn't overtly hostile or threatening escalation, the nature of the incident (safety/health-related, amenity closure, disappointment for children) clearly rises above routine Front Desk handling.</t>
  </si>
  <si>
    <t>0. We left after one night</t>
  </si>
  <si>
    <t>(1/2) The whole evening staff was awesome. I have stayed in alot of hotels and never had anyone pass out popsicles to everyone in pool. So for this hotel has b (2/2) een the best hotel ever</t>
  </si>
  <si>
    <t>9. Enjoying myself for sure!</t>
  </si>
  <si>
    <t>"9" everything's been great other than the kids yelling until 2:45 this morning when I called the front desk. I will have to say a quiet it down after that. I would also like to complement a lady named Sztella she worked the manager special last night and went out of her way to be hospitable</t>
  </si>
  <si>
    <t>Overall it is going well.</t>
  </si>
  <si>
    <t>Yes there is something. I received a recept that indicates a room charge for a room I prepaid. The restaurant and bar charges are OK as my son incurred</t>
  </si>
  <si>
    <t>8 would be 10 if hot sunny day</t>
  </si>
  <si>
    <t>"All's Well", Jessica... ! I asked this morning if an engineer could please check the insulation at the bottom of the shower door... since water was leaking all over the bathroom floor next to the showerI haven't been back to the room since 6:45 AM. If you could tell me whether the issue has been corrected, I'd appreciate it. Thanks. Scott</t>
  </si>
  <si>
    <t>"9"we couldn't figure out the hot tub! But other than that it has been a good stay!</t>
  </si>
  <si>
    <t>Thanks, not a 10 but a 20??we love everything about this home away from home ?</t>
  </si>
  <si>
    <t>1 Not good Bathroom exhaust fan still not working. Whirlpool tub also not working.</t>
  </si>
  <si>
    <t>**Not alert-worthy** ‚Äì This is an overwhelmingly positive message (out-of-order multi-part text, but content is clear). Guest is happy, loves the room and view, and gives a 10 rating. No issue for Front Desk or Manager to address.</t>
  </si>
  <si>
    <t>Hello. Can someone please bring us a new/better quality comforter? The one on this bed is very thin and while it seems as though it it suppose to be a down comforter, it has zero feathers.</t>
  </si>
  <si>
    <t>(1/2) 10 I had just stayed at the resort in Honolulu and I had the worst experience and nothing was done nor an apology. So was dreading this but this is BEAUT (2/2) IFUL and from the young lady that checked me in to Megan at the dolphin cove it has been GREAT.</t>
  </si>
  <si>
    <t>-Jenn We decided to stay till Noon. We will check out then. Is there a place we can store our bags till 4p?</t>
  </si>
  <si>
    <t>Thanks Megan, I'm very pleased (a 10) with the service and accommodations, which have gone smoothly. Thanks for your follow-up!</t>
  </si>
  <si>
    <t>Could get new sheets?</t>
  </si>
  <si>
    <t>(1/2) My only issue is parking fee. With my company discount we usually have free parking and breakfast cupon at other shreatons. Still would rate a 5!! St (2/2) aff is great!</t>
  </si>
  <si>
    <t>9 so far! The room warmed to 70 so we're comfy. If room service is in the area thus afternoon , there is no body gel in the back bathroom or the pump is malfunctioning but love the Palmer!!</t>
  </si>
  <si>
    <t>#7, I have something to consider that why I would say 7. I will write a review on Tripadvisor today. Thanks for your exellent services Shawn. You are the best !!!! Tien</t>
  </si>
  <si>
    <t>We would rate an 8, unsatisfied with view.</t>
  </si>
  <si>
    <t>10 and Great thank you!</t>
  </si>
  <si>
    <t>**Definitely alert-worthy**
 Rationale: This combines multiple serious signals ‚Äî (1) an unresolved maintenance failure (no hot water) spanning over a day despite repeated guest calls, (2) a staff-conduct complaint (front desk described as "very dismissive," telling guest to just "let the water run" instead of addressing the issue), and (3) strong expressed dissatisfaction ("entire day is ruined," pointed rhetorical complaint about paying for a vacation). The stacking of an unresolved service failure with a specific complaint about staff attitude is exactly the kind of situation a Manager would want to know about now, not just have Front Desk continue handling ‚Äî since Front Desk is the party being complained about.</t>
  </si>
  <si>
    <t>...a 10, of course! Thank you for your exceptional hospitality &amp; favor, as always. Blessings to all of you, my Palacio del Rio family? Mrs. Powers</t>
  </si>
  <si>
    <t>Hi Sonia for checking I give 10 Thank you!</t>
  </si>
  <si>
    <t>woman on the desk this morning seemed more interested in chastising me than hearing about the problem. That's the second such experience I have had with</t>
  </si>
  <si>
    <t>8, it's nice Christmas decor, nice staff.frozen drink machine at lobby coffee shop broke, pool seems over chlorinated, irritated eyes , smells of chlorine. But staff for housekeeping is excellent. Thank you.</t>
  </si>
  <si>
    <t>09. Only because I wish I could have room service deliver fresh brewed coffee but other than that It's a 10. Frank, at the front desk, is top notch with customer service.</t>
  </si>
  <si>
    <t>0... Just kidding, stay has been great so far... 9.5ish!! Thanks...</t>
  </si>
  <si>
    <t>The staff is lovely. My two requests were filled quickly and correctly. Our room however is lacking. It is small and somewhat beat. Our terrace has a view of the air conditioners and the noise from those keeps of us off the balcony. Disappointed!</t>
  </si>
  <si>
    <t>1. Wrong room number was given at check in, didn't have water for a time, black stuff came out of bath tub for nearly 10 minutes</t>
  </si>
  <si>
    <t>(2/3) y front desk soon, my son forgot his tooth brush &amp; paste ~ Cheer (1/3) 7.5, but will be better soon I am sure? BTW, I will be coming b (3/3) s!</t>
  </si>
  <si>
    <t>I checked out at 5:30am. Thank you. Everything was great.</t>
  </si>
  <si>
    <t>Great! Give it an 8 since we don't like the mask at the pool rule, understand tho! Just don't care for the rule on that... otherwise all is great! Thanks</t>
  </si>
  <si>
    <t>**Definitely alert-worthy**
 Rationale: Guest describes a health/sanitation issue ‚Äî brown/crude sediment discharging from the jetted tub, filling it with "gook." This is a genuine facilities/hygiene concern, not just a minor inconvenience. The guest's strong reaction ("so disgusting") and the fact they deliberately kept physical evidence "to show admin" signals they view this as serious and may escalate (complaint, compensation request, review). Manager should be aware now to address the room/plumbing issue and manage guest relations directly.</t>
  </si>
  <si>
    <t>Hey this is Bill Ludwick down here in 3206 I was thinking maybe it's taking one extra night do you think there's a chance we could do a cash I buy on th</t>
  </si>
  <si>
    <t>(1/2) I am home. Is ten the highest. Can I go higher. The staff were excellent. The food was great. I have to say I overheard a chef ripping into one if the ser (2/2) vers in front of everyone which I thought was unprofessional. Otherwise perfect</t>
  </si>
  <si>
    <t>10. It is good. Was going to ask what activities are included with the resort fee?</t>
  </si>
  <si>
    <t>(1/2) 9-10. Kalia pool is finally clear, not cloudy. The maid only leaves one package of regular coffee and the next cleaning isn't until Sunday. Would like at (2/2) least three packs left, along with more body wash and lotion. Otherwise everything is great.</t>
  </si>
  <si>
    <t>(1/2) Jacqueline, we have a slight issue. Elvia Mendoza is one of our employees. There's been a mixup with her reservations. Lisa Martin from Mmodal is in conta (2/2) ct to try to resolve the issue. Would appreciate your help resolving the problem, please.</t>
  </si>
  <si>
    <t>(10) We only have 3 small spoons. You're welcome &amp; have a Grand day!</t>
  </si>
  <si>
    <t>**Not alert-worthy** ‚Äî This is entirely positive feedback. The guest is praising multiple staff members by name (Claudia, Donna, Vinny, Maria, Connie, Sienna, Shirin) and rating the stay a "10+." There's no complaint, dissatisfaction, or issue requiring Manager awareness. Front Desk can log this praise and pass along kudos to the named employees through normal channels, but it doesn't meet the bar for a real-time alert since the alert system is designed to flag problems/risks, not compliments.</t>
  </si>
  <si>
    <t>(1/2) Hi Raphael, things are going great, I do have a question though. Does the Elara have a fans that can be put into a guest room, my wife likes to have a fan (2/2) blowing air while she's sleeping.</t>
  </si>
  <si>
    <t>0. I told you yesterday this is the wrong number! I'm not at a Double Tree hotel!!!!!</t>
  </si>
  <si>
    <t>(1/2) Everything is great but if housekeeping can pop in in about an hour that would be great. The shower put a whole bunch of water on the bathroom floor. I so</t>
  </si>
  <si>
    <t>. We blew a fuse this morning so a bit inconvenient. It was fixed. The main problem is hallway noise. There is a group or something on our floor. I asked</t>
  </si>
  <si>
    <t>your hotel, it happens all the time. But when people stay at a hotel with good pillows, it's a differentiator.</t>
  </si>
  <si>
    <t>(1/2) Right now a 5...the air and hot water just came back on about 30 minutes ago after being off for more an hour...however the room is gorgeous and very spac (2/2) ious, which caters to my family and I perfectly....</t>
  </si>
  <si>
    <t>accommodation for the room not being clean n the remote isn't t working so I ask for another one</t>
  </si>
  <si>
    <t>.wendy please can you cancel our dinner for tonight, room 217. We are in ER , my wife fall. Please be so kind to confirm the cancellation. Thanks</t>
  </si>
  <si>
    <t>Checking in approximately 2pm</t>
  </si>
  <si>
    <t>Definitely alert-worthy.
 The guest describes a serious safety/security incident ‚Äî being verbally assaulted by another guest in front of her child and other women ‚Äî and reports that the offending guest was allowed to remain at the property afterward. This involves potential guest-on-guest misconduct, a traumatized child, and implicit dissatisfaction with how staff handled the aftermath. This is exactly the kind of safety/security and reputational risk a Manager needs to know about immediately, not just Front Desk follow-up.</t>
  </si>
  <si>
    <t>I cancelled my reservation. Please advise if that did not happen</t>
  </si>
  <si>
    <t>(1/2) Stay is great! Haha I'm biased coz I'm an Hilton owner. Thanks f</t>
  </si>
  <si>
    <t>Hi. Stay has been great. We could use housekeeping service today. We declined it yesterday. Thx</t>
  </si>
  <si>
    <t>Everything was great thank you! (10). Please send my receipt to: suekoontz@comcast.net</t>
  </si>
  <si>
    <t>We're nice, we will rate it a 9. Thank You.</t>
  </si>
  <si>
    <t>Can we add a extra night to our visit</t>
  </si>
  <si>
    <t>"7" please provide 3 more wash clothes, bath towels and hand towels as well as 3 more Shampoo bottles and pick up garbage and fill ice bucket please!</t>
  </si>
  <si>
    <t>for easy room delivery. otherwise top marks on everything!</t>
  </si>
  <si>
    <t>They forgot to wake me this morning. All is well.</t>
  </si>
  <si>
    <t>Definitely alert-worthy ‚Äî Multiple stacked failures (extended internet/TV outage recurring, no hot water requiring maintenance, hardware issue, missing/broken coffee maker) combined with the guest explicitly stating this is their "worst visit so far" despite being a repeat/loyal Embassy Suites guest across many stays. This pattern of compounding service failures plus a loyal guest's strong dissatisfaction and implicit comparison to brand standards is exactly the kind of cumulative issue a Manager should be aware of in real time, not just left to Front Desk to patch individually.</t>
  </si>
  <si>
    <t>Good, we had to check out early but the stay was nice</t>
  </si>
  <si>
    <t>"10" so far so good. You have a great day also. Barbara Cross</t>
  </si>
  <si>
    <t>Hi Jessy, thank you for asking . Things. have been a little troubling. Both phones in are room were not working upon check-in. Someone came by to fix them but could only get one operating. The light bulb in the main room was out and there were no blankets or pillows for the pull out couch. When I went down last night to retrieve bedding (I had to walk down myself at a very late hour because I was told that housekeeping was gone for the night), there were a long line of people also waiting for blankets . I was then told that I had to go back upstairs and wait, because there were no more behind the desk. When the bedding was finally brought up, it was just another fitted sheet and not a blanket. While we do appreciate the staff's attempt to rectify any issues as they arise, we'd like to speak to a manager upon check out.</t>
  </si>
  <si>
    <t>"10". Just checked out. We had a great stay and my Pittsburgh Steelers won??. See you next time.</t>
  </si>
  <si>
    <t>bath towel? Thank you very much.</t>
  </si>
  <si>
    <t>(10) Kevin King was nice to us and help us so much!!! Thank you all..</t>
  </si>
  <si>
    <t>Free tickets for Epcot please☺️</t>
  </si>
  <si>
    <t>I need 4 heavy blankets..</t>
  </si>
  <si>
    <t>Definitely alert-worthy ‚Äî Serious room-cleanliness/health issue (visible bugs/dust mites, "disgusting"), strong dissatisfaction, and guest ultimately refused the room and left to stay elsewhere, meaning a lost stay and likely refund/compensation expectation. This is a significant service failure a Manager needs to know about immediately, not just a routine complaint.</t>
  </si>
  <si>
    <t>(1/5) Excellent ☺ thank you. I do want to mention so you're aware I (2/5) had curdled creamer this morning from the coffee station in my (3/5) room and my husband had some concern with his soup and salad (4/5) delivered by room service last night. Neither of those are huge (5/5) issues but figure you might like knowing.</t>
  </si>
  <si>
    <t>Very nice thank you!</t>
  </si>
  <si>
    <t>#9 so far! Too bad there’s no fridge and little knocking sound possibly from the AC at night time (although we shut it off at night). But overall, it’s been great. Good afternoon!</t>
  </si>
  <si>
    <t>Could you please refill the shampoo in the shower?</t>
  </si>
  <si>
    <t>I really needed another room with king bed top floor overlooking the water. I was to pay the difference if needed. Is that possible?</t>
  </si>
  <si>
    <t>(1/2) I would rate your Westin hotel at a 10. Management and your staff took care of any and all issues we had. We appreciate the quality and the professionalis (2/2) m of you Westin Beach Resort Fort Lauderdale Hotel and we look forward to future stays. As a SPG member we enjoy staying at the Westin brand.</t>
  </si>
  <si>
    <t>Hi. We would like to book extra time in our room, tomorrow. We would like to check out at 6:00 PM. Can you set that up for us? Thanks</t>
  </si>
  <si>
    <t>**Probably alert-worthy**
 Rationale: This describes multiple operational/facilities issues stacking up ‚Äî slow elevators (both directions), dirty floors, and the guest explicitly states it "ruined" their overall ambiance/impression. That's more than a single minor gripe; it reflects a broader property maintenance/service concern that a Manager would likely want visibility into, especially if other guests are experiencing similar elevator wait times or cleanliness lapses. However, there's no indication of severity beyond inconvenience (no safety issue, no staff conduct complaint, no explicit threat to escalate/leave a bad review), so it doesn't clearly meet the bar for "Definitely." It's a signal worth flagging for awareness/pattern-tracking rather than an urgent, clear-cut escalation.</t>
  </si>
  <si>
    <t>Teas great. Happy Thanksgiving. ?</t>
  </si>
  <si>
    <t>10, not a single issue.</t>
  </si>
  <si>
    <t>(1/2) Hi Rayandra, Its going great, thanks I would like to stay 1 more night and check out 7/14. The system was down at the front desk, but Carmen wrote it dow (2/2) n. Thanks, Cynthia</t>
  </si>
  <si>
    <t>Hi, things are great! 10</t>
  </si>
  <si>
    <t>(1/2) Good morning So far our stay is a 10 or excellent. Thank you f</t>
  </si>
  <si>
    <t>All good. U do need some ramps for strollers to get from the gatehouse to the main building</t>
  </si>
  <si>
    <t>.excellent, thanks. I just purchased Elara as my home property so before I check out I would like to see the type of Room I would receive</t>
  </si>
  <si>
    <t>10. We have left. Thank you!</t>
  </si>
  <si>
    <t>Can housekeeping come tomorrow?</t>
  </si>
  <si>
    <t>Nice, is breakfast inclusive for honor members? Our breakfast friends had breakfast inclusive</t>
  </si>
  <si>
    <t>Definitely alert-worthy ‚Äî Guest reports a specific staff-conduct complaint: a waitress was "extremely rude," embarrassed the guest in front of a colleague, and disputed their Diamond member benefits. Repeated emphasis ("rude rude rude") signals strong dissatisfaction. This is a clear staff behavior/treatment issue that warrants Manager awareness, not just routine service recovery.</t>
  </si>
  <si>
    <t>Thank you. Everything is great so far.</t>
  </si>
  <si>
    <t>"5" - Great employees , Excellent service!</t>
  </si>
  <si>
    <t>0 as far as hot water/cold water in the shower and faucet. Only got scalding water! No cold!</t>
  </si>
  <si>
    <t>"10" we really enjoy our stay. Thanks again to help with our shuttle bus.</t>
  </si>
  <si>
    <t>Very nice, thank you. Will someone be making up my room today? Thank you for checking.</t>
  </si>
  <si>
    <t>#5. absolutely the best and met Ernest on the 23rd floor such a positive start to the day</t>
  </si>
  <si>
    <t>What time does the jacuzzi close</t>
  </si>
  <si>
    <t>**Not alert-worthy** ‚Äî This is an enthusiastically positive message with no complaint at all. The guest is praising staff (front desk giving candy, someone giving a balloon, a coloring book made for her daughter) and explicitly says "everything's been great!!" This is great feedback for Front Desk to log and possibly share with the team, but there's no issue requiring Manager awareness. (Optional: could be nice to pass along as a positive shout-out, but not an "alert" in the risk/escalation sense.)</t>
  </si>
  <si>
    <t>so all good here. Thanks ☺️✅</t>
  </si>
  <si>
    <t>10' thank you for the check in</t>
  </si>
  <si>
    <t>#10!!!! Actually you guys are more like a 12!!! Great staff!!!</t>
  </si>
  <si>
    <t>0 no one cleaned our room or changed our towels</t>
  </si>
  <si>
    <t>shower door in our room doesn't stay closed all the way against the side that the shower head is on. It's totally fine for now but once we check out tom</t>
  </si>
  <si>
    <t>I would like to check out at noon</t>
  </si>
  <si>
    <t>10 Excellent Will , I need a room for someone else, 2 beds. Department President, it sims that there was a misunderstanding in getting her room. You can call me, I am in room 334</t>
  </si>
  <si>
    <t>!So far so good. Staff wonderful. Love the surf pool. One thing so far the new pool menu is not so great. Just our family's opinion. It just seems very li</t>
  </si>
  <si>
    <t>Definitely alert-worthy.
 Rationale: This is a serious staff-conduct complaint ‚Äî guest says sales team members were among "the rudest people," made them "feel like idiots," and misrepresented the meeting's duration (1.5 hrs promised vs. 3 hrs actual). Multiple failures stack up: lost dinner reservation, lost pool/relaxation time, and a first day "ruined." Guest explicitly signals brand-level dissatisfaction ("bad taste in my mouth for Hilton") and threatens future loyalty loss ("not sure I will ever stay again"). This combination of staff mistreatment, deceptive practice, and explicit brand-loyalty threat clearly warrants Manager awareness now, not just Front Desk handling.</t>
  </si>
  <si>
    <t>not there until March 9th</t>
  </si>
  <si>
    <t>(1/2) 5 indeed. Glad u texted I need 2 wash cloths, 1 towel and shower towel mat please delivered to room. I am out and about so feel free to drop on inside bec (2/2) ause I forgot to take off do not disturb sign.</t>
  </si>
  <si>
    <t>thank you, yes we're enjoying our stay.</t>
  </si>
  <si>
    <t>Yes how much would I get back from the 150 fee?</t>
  </si>
  <si>
    <t>(1/2) Good morning John. EVERYTHING IS GREAT! You mentioned that laundry can be done on the 4th floor. I see that there is a washing machine/dryer in the bathro (2/2) om. Is it operable? 10</t>
  </si>
  <si>
    <t>6. Shower slippery should have bar or at least non skid floor Gate to outlets at bldg 6 is broken. The snack bar at the smaller pool is not open all staff should be wearing name tags. Concierge staff is less than helpful.However , Lobby staff , especially , Michael ,Vanessa and a young man,who I believe is named Jeremy are wonderful.</t>
  </si>
  <si>
    <t>Everything is so good thank you. I give you 10 start thank you</t>
  </si>
  <si>
    <t>"3"....Never stayed at a resort that the kitchen was not equipped with all the cooking pots and pans needed for cooking. What's the point in having the kitchen than? So disappointing. Not everyone eats out when on vacation.</t>
  </si>
  <si>
    <t>(1/2) 5--although one of our bathtubs was not terribly clean. Also, one of your stools runs for over a minute after flushing, although there are no problems wit (2/2) h operation. Thank you, we enjoyed our stay!</t>
  </si>
  <si>
    <t>0 - car je n'ai eu aucune réponse.</t>
  </si>
  <si>
    <t>**Not alert-worthy**
 Rationale: This is a maintenance/facilities complaint (broken knob causing cold water, shower head height issue) ‚Äî annoying but routine. No staff conduct issue, no safety/health/legal concern, and no signal of escalation intent. This is a straightforward service recovery item Front Desk can address (e.g., room change, maintenance ticket, comp gesture) without needing Manager-level awareness.</t>
  </si>
  <si>
    <t>#10. Thank you very much. All was great as usual. Melissa</t>
  </si>
  <si>
    <t>(1/3) Everything is good, couldn't find my reservation for tonight. Bu (2/3) t everything good. Its my birthday so I'm going to enjoy myself. (3/3) ?</t>
  </si>
  <si>
    <t>Struggle to connect for room service on the phone, keep getting a dial tone for 30 minutes now ?</t>
  </si>
  <si>
    <t>(1/2) The texting service is fantastic. What a help to actually be able to get an answer about several different things from one person who is right there. It' (2/2) s a 5 definitely.</t>
  </si>
  <si>
    <t>Do you have a water taxi service to Shooter's tonight</t>
  </si>
  <si>
    <t>It's going pretty good so far. I'd give it an 8. I'm wondering if it would be possible to get an extra comforter?</t>
  </si>
  <si>
    <t>-it is definitely a 10</t>
  </si>
  <si>
    <t>**Not alert-worthy** ‚Äî This reads as a routine in-room maintenance issue (phone extension/feature not functioning). No indication of guest frustration, safety concern, or service failure beyond a simple tech glitch. Front Desk can dispatch maintenance or assist the guest directly without Manager involvement.</t>
  </si>
  <si>
    <t>I am at office all day . Can you please clean my room</t>
  </si>
  <si>
    <t>(1/3) Hi Cosmina: Hard as I tried to take a hot shower last night, the water was Luke cold at best...I've stayed here many time before and I must say I couldn't (2/3) wait to leave this morning. Hopefully, my next visit will be much better...suspect you wish you hadn't have asked. As for your own assistance, it remains (3/3) impeccable. My continued best to you...cheers, Dave</t>
  </si>
  <si>
    <t>Im still here one more night but perfect 10 so far</t>
  </si>
  <si>
    <t>Can you please have housekeeping clean our room</t>
  </si>
  <si>
    <t>Thank you Victoria. All good so far. Everyone is pleasant. Than you!</t>
  </si>
  <si>
    <t>Hey Bria! My stay is going well, I would rate it a 10.</t>
  </si>
  <si>
    <t>Definitely alert-worthy ‚Äî guest reports a billing dispute where staff refused to honor a paid package, forced payment from a minor guest under pressure, describes the night manager as "incredibly rude," and explicitly states intent to escalate to corporate and seek a refund, plus indicates they will not return. This combination of staff-conduct complaint, financial dispute, and escalation intent clearly warrants immediate Manager awareness.</t>
  </si>
  <si>
    <t>Just a reminder ,We asked for a late check out for tomorrow since we will not be heading to airport until 6 pm . Ty.</t>
  </si>
  <si>
    <t>"Thank you" Kaity, we've had a "10" ❤️ stay, enjoying ourselves! thank you for asking!</t>
  </si>
  <si>
    <t>2/10 - My room has no window. It's depressing. Could I move to a room with natural light?</t>
  </si>
  <si>
    <t>Thank you everything is fine</t>
  </si>
  <si>
    <t>10! Thanks! We are gone for the afternoon. Would appreciate the room being serviced. Thank you!</t>
  </si>
  <si>
    <t>Staff hospitable &amp; nice especially Shannon at NUI this morning. Very pricey but it's ok. 50th anniversaries for us &amp; 1324!</t>
  </si>
  <si>
    <t>Breakfast was fantastic ???</t>
  </si>
  <si>
    <t>!!.....excellent 10? So far, everything is going great!!....had a terrific night's sleep</t>
  </si>
  <si>
    <t>**Definitely alert-worthy**
 Rationale: This is a serious staff-conduct complaint ("disgusting and appalling" lack of compassion from marketing staff) combined with a tragic circumstance (guest's father died during their stay) and an explicit signal of intent to escalate ("I will be dealing with this further"). This combination of extreme dissatisfaction, staff behavior criticism, and escalation intent means the Manager needs real-time awareness ‚Äî this is not something Front Desk should handle alone, both for appropriate compassion/response and to prepare for likely further contact (corporate complaint, legal, public review, etc.).</t>
  </si>
  <si>
    <t>10. Clock in room is not working. Lights up when plugged in, but unable to set time. Please leave a note for maintenance.</t>
  </si>
  <si>
    <t>(1/3) 9!!!! How much would it cost to see the "O" show. Are tickets ha (2/3) rd to get. Would like to go to an early show. Thanks for everyt (3/3) hing ?</t>
  </si>
  <si>
    <t>Very good, thanks. I will need to get a taxi to the airport tomorrow. Should I arrange that ahead of time through the hotel?</t>
  </si>
  <si>
    <t>(10) Enjoying our stay.</t>
  </si>
  <si>
    <t>(1/2) 10 so far Katrina thanks for checking in on us. Hope you are hav (2/2) ing a good day ?</t>
  </si>
  <si>
    <t>6 we wish we had passes to sea world</t>
  </si>
  <si>
    <t>(1/3) We left at 630-7am...sadly we were disappointed. Beautiful property and rooms, friendly great staff, however the amount of bugs/spiders in the room, beds, (2/3) towels, coffee maker etc....didnt make for a comfortable stay or sleep. If I had known about the "bug/critter warning" in advance, I probably wouldn't ha (3/3) ve booked.</t>
  </si>
  <si>
    <t>Presentation know. Lol lolp</t>
  </si>
  <si>
    <t>**Definitely alert-worthy**
 Rationale: This stacks multiple serious issues that a Manager would want to know about now:
 - **Extended failure**: A/C broken "the entire time" the stay, not a quick fix
 - **Vulnerable guest impact**: Newborn baby uncomfortable and crying all night from heat ‚Äî a health/comfort concern involving an infant raises the stakes significantly
 - **Service recovery failure**: Guest services was contacted and offered no alternative (no room move, no fan, no urgency) ‚Äî just a delayed maintenance ticket for the next day
 - **Explicit dissatisfaction**: Guest states "very dissatisfied," and the detailed, frustrated narrative suggests real risk of a negative review or complaint escalation
 This isn't just a maintenance issue ‚Äî it's a maintenance issue *compounded by* an inadequate/unsympathetic front-line response, affecting a guest with a newborn. That combination of operational failure + poor service recovery + vulnerable guest + clear dissatisfaction is exactly the kind of pattern Manager-level awareness is meant to catch, even without an explicit request to escalate.</t>
  </si>
  <si>
    <t>Thanks for checking Jillian; so far, everything has been top notch. Thanks, Roger</t>
  </si>
  <si>
    <t>0 - I have not stayed there in a year. I called to report this last night and was told no one could help me and didn't know why I received a text</t>
  </si>
  <si>
    <t>(1/2) 1st time here, Beautiful hotel, nice room except the noise outside kept the little one up who in turn kept us up but looking forward to enjoying the last</t>
  </si>
  <si>
    <t>Going good. I would rate it at an 8</t>
  </si>
  <si>
    <t>"8" ... not sure if it's allowed, but the guests below us smoke on their balcony in the morning and evening, so we cannot sit outside or keep our doors open.</t>
  </si>
  <si>
    <t>We need a new air filter my daughter has bad allergies</t>
  </si>
  <si>
    <t>(1/2) 9.5 it's a nice get away. My only issue is when I use my points for a FREE stay and had to pay for an upgrade to be on what turned out to be a honors flo (2/2) or and pay 30 dollars for parking it seems to be just another scam. 60 dollars is what my free stay costs me.</t>
  </si>
  <si>
    <t>We no longer need the blanket but we do need the 2 towels for tonight if someone can send those up for us</t>
  </si>
  <si>
    <t>Definitely alert-worthy ‚Äî Guest cancelled due to a death in the family and was still charged full price plus a cancellation fee. This involves a billing dispute tied to a sensitive bereavement situation, strong dissatisfaction expressed, and a likely need for a manager-level decision on fee waiver/refund as a service recovery and goodwill matter.</t>
  </si>
  <si>
    <t>(1/2) 5?? everyone and thing was amazing!!! Owe I did wish we had a (2/2) microwave in the room though?</t>
  </si>
  <si>
    <t>great day! -Leo, Guest Services”</t>
  </si>
  <si>
    <t>0 we left! It was awful! I've reached out to Hilton Honors for a refund</t>
  </si>
  <si>
    <t>(1/3) Hi Shelby thanks for asking. We weren't as comfortable as we would have expected staying at a nice hotel like yours. The beds and pillows were uncomfortab (2/3) le no refrigerators and a high daily parking fee made it not as worth the stay as we had hoped. I'm sorry to give that sort of review but I do appreciate (3/3) the fact that you checked in with me before trying to enter the room with the do not disturb sign on the door</t>
  </si>
  <si>
    <t>I understand late check out for valet is 3pm without an additional fee, however my daughter is still has 2 more volleyball games and wont be done until after 5. Is it possible to get an extension on the valet so that we wont have to pay for an additional day? The tournament should be finishing up around 5pm or so.</t>
  </si>
  <si>
    <t>I would like to know if the small floor fan that my husband and I left in room 3310 yesterday has been found.</t>
  </si>
  <si>
    <t>Everything is wonderful. Thanks. Just. Need Extra towels please</t>
  </si>
  <si>
    <t>0- I've departed several days ago!</t>
  </si>
  <si>
    <t>Definitely alert-worthy ‚Äî Guest describes multiple stacked service failures (repeated missed housekeeping, mismatch with Gold status expectations) plus a specific grievance about being denied a reasonable late checkout accommodation and effectively being forced to pay for a full extra day for a few hours' use. The guest explicitly states "not thrilled" and frames this as below the service level they're accustomed to, signaling real dissatisfaction with how they were treated by staff regarding the checkout/billing issue. This combination of loyalty-status disappointment, repeated service lapses, and a concrete billing/fairness complaint is something a Manager should be aware of now, both for service recovery and to review whether the checkout policy was applied appropriately.</t>
  </si>
  <si>
    <t>0. We have had nothing but issues.. blinds broken (won't close all the way) called and said they will make note so not charged? 19 floor (asked to move) was denied 2-3x (due to occupancy). Now toilet overflowed and still waiting for someone. Breakfast has to wait on a line at 6:30 and No coffee to be had.. machine wasn't calibrated was pumping hot water coffee ever so slightly I'm extremely un-happy. front desk and staff amazing! I get busy time but some accommodations need to be met..</t>
  </si>
  <si>
    <t>Definitely a five excellent thank you for asking Taylor</t>
  </si>
  <si>
    <t>I am very very disappointed in service My card was deactivated 4 times</t>
  </si>
  <si>
    <t>I was curious what promotions there might be to learn about Hilton Grand Vacations ownership?</t>
  </si>
  <si>
    <t>10, thank you and thank you for the beautiful room.</t>
  </si>
  <si>
    <t>All was good. Thank you.</t>
  </si>
  <si>
    <t>. However, my girls would love one, if something comes available.</t>
  </si>
  <si>
    <t>**Definitely alert-worthy**
 Rationale: Guest is explicitly alleging food poisoning from the property's food ‚Äî this is a health/safety concern with potential legal/liability exposure. The guest also states it "ruined" their vacation, signaling strong dissatisfaction. This combination (health claim + significant harm stated + potential escalation risk) clearly warrants immediate Manager awareness, not just routine Front Desk handling.</t>
  </si>
  <si>
    <t>0-1 front desk, customer service confusion with rooms!! Got here at 1:15pm, got in room at 8!! missed birthday dinner cake , and games planned that was supposed to be in our room from 4-7pm!! (PS- when we did finally get text that room ready, we were given keys for someone else's room..... that we walked into!!!! 9/10 room and amenities</t>
  </si>
  <si>
    <t>(1/2) I'll give a 10 if we can get an extra comforter for our boys on the pull out bed. :) No rush. Whenever they clean the room. I think my husband &amp; boys are (2/2) getting ready for the wedding in there.</t>
  </si>
  <si>
    <t>(1/2) Good its a solid 9. My only concern was i believe i requested online the 1 bedroom suite and not the jr suite. I believe i click the upgrade online. Thank (2/2) you other than that is good.</t>
  </si>
  <si>
    <t>, the hollow space between the floors amplifies the sound wave making the stay unbearable for the guests below.</t>
  </si>
  <si>
    <t>(1/2) Good morning Carlos, hope you enjoyed yesterday off. We are preparing to leave while the water is off for the next 5 hours. We have awfully loud guest</t>
  </si>
  <si>
    <t>I'm not checking in. I checked out earlier today.</t>
  </si>
  <si>
    <t>Hi - so far I'd give it a 5. Room is disappointing in need of urgent refurbishment- balcony door doesn't close properly and can't be locked. Hotel doesn't seem to be doing much enforcement of Covid guidelines. On the positive side the staff here are brilliant. Thanks Byron</t>
  </si>
  <si>
    <t>**Probably alert-worthy**
 Rationale: The overall tone is positive, and the food-quality/menu feedback is routine (Front Desk/F&amp;B can handle). However, the lost designer sunglasses (Kate Spade) represent a potential lost-and-found/liability item involving a guest's personal property, already flagged to security. There's not enough detail to know the value or if it will escalate, but a Manager may want situational awareness in case the item isn't found and the guest follows up unhappy ‚Äî worth a heads-up without being a clear "definitely" case since there's no complaint about staff conduct or strong dissatisfaction expressed.</t>
  </si>
  <si>
    <t>Can we get a lift from building 4 to the front where our car is</t>
  </si>
  <si>
    <t>My visit is going well. Thanks for checking in. What is the check-out time? And do I visit the lobby when check out time arrives?</t>
  </si>
  <si>
    <t>Hi great so far, is there any chance we can have our room serviced today instead of Monday? Thank you!</t>
  </si>
  <si>
    <t>Jessy, I made an error in my reservation. It supposed to be Wednesday the 12th check in and Friday the 14th check out. Can you help Me correct this?</t>
  </si>
  <si>
    <t>(1/2) Embassy Suites is always over the top as far as I'm concerned. ..I would rate the hotel and staff a 20 ;-) Embassy Suites is my favorite chain. ...always (2/2) consisteknt in quality and amenities. Thank you for making my stay exceptional! Muchas gracias por todo!</t>
  </si>
  <si>
    <t>Having a great time -10</t>
  </si>
  <si>
    <t>"10" - Abosolute 10 !!! Thank You Very Much !! Alicia - You Are The Best !!</t>
  </si>
  <si>
    <t>8.5. No shampoo....no tea.... and need 2 more towels. How do I get those items???</t>
  </si>
  <si>
    <t>**Definitely alert-worthy**
 Rationale: The guest reports multiple stacked failures (noisy fridge, bad mattress, dirty bathroom/shower) and explicitly states this was "the worst Hilton ever stayed at" ‚Äî strong, extreme dissatisfaction with a specific comparative brand judgment. This combination of compounding complaints plus an emphatic overall negative verdict signals real reputational/brand risk that a Manager would want to know about now, even though no explicit escalation threat or safety issue was mentioned.</t>
  </si>
  <si>
    <t>Good morning. The breakfast wasn't good. I give them 2. Pancakes horrible hard to cut. Sausage over cooked. Why the pancakes are with jelly? Crazy. Any place has fresh blueberries. And how is possible that a Hilton has only one server in breakfast time with 9 tables busy?</t>
  </si>
  <si>
    <t>I don't see on my Hilton Account points earned for this visit. Can you please make sure, I receive points. Thanks</t>
  </si>
  <si>
    <t>9 Loved the weight room, basketball and pool. The water from kitchen was not good to drink and smelled bad when used .</t>
  </si>
  <si>
    <t>(1/2) I'll give it a strong 8. Room is very nice, tub is awesome and the bed/pillows are great. Room service forgot a few small things on my breakfast order but (2/2) nothing dire. Thank you</t>
  </si>
  <si>
    <t>Honestly , I arrived here with a few friends; they stayed here as well because I spoke great things. have thier own room. I opted for this hotel, since I have stayed here before and I have another reservation for Wed to Sat. They have mentioned, there room and bathroom are bigger. I'm a loyal Hilton member for years...not sure if I will keep my upcoming reservations, but will continue with another Hilton family name hotel.</t>
  </si>
  <si>
    <t>(1/2) We have thoroughly enjoyed our stay so far. Had several meals in (2/2) PJs. Great food, but need more waiters. Rate overall an 8 ☺</t>
  </si>
  <si>
    <t>**Not alert-worthy**
 Rationale: Overall sentiment is strongly positive (9/10, calls accommodations "comfortable"). The criticisms are minor and mostly relate to property design/amenities (parking layout, pool size, lake space usage) rather than service failures or staff conduct. The refrigerator-stocking comment is a routine service request Front Desk can note for future stays. No signs of serious dissatisfaction, safety concerns, or escalation intent ‚Äî this reads as constructive feedback, not something requiring real-time Manager awareness.</t>
  </si>
  <si>
    <t>"12" Super comfortable!!</t>
  </si>
  <si>
    <t>6 - it's been great except for the breakfast. The app said it ended at 10 so we got there at 9:30 yesterday and missed it. Today, we got there at 9 and they were out of eggs.</t>
  </si>
  <si>
    <t>(1/3) I will rate a 10 but I guess was expecting something different as far as accommodating privacy for 4 people with one being a male (specified 4 people whe (2/3) n made reservation)- have to go into room with others in order to get clothes or wait until someone comes out. Other than that, it is great here!!!! I hon (3/3) estly see why Saturday to Sunday wasn't available to accomodate the timeframe I have to stay in Orlando for.</t>
  </si>
  <si>
    <t>it's running like 70. ?</t>
  </si>
  <si>
    <t>Hello we did canceled my reservation. My husband called</t>
  </si>
  <si>
    <t>5. I am having a great time. I ate at Potter's, the food and carrot cake were delicious</t>
  </si>
  <si>
    <t>I'm assuming the text above is automated as we cancelled our reservation and are rebooked for Feb. Were you able to apply the credit to the new reservation for Feb?</t>
  </si>
  <si>
    <t>(10) Everything has been great so far, thank you!</t>
  </si>
  <si>
    <t>**Not alert-worthy** ‚Äî This is a highly positive review with no complaint or issue. The mention of sharing with an online community is positive word-of-mouth intent, not an escalation threat. While a Manager might enjoy hearing this praise, it doesn't meet the bar for a real-time alert (no dissatisfaction, no problem to address, guest already checked out). Front Desk can log/pass along the compliment through normal channels.</t>
  </si>
  <si>
    <t>It is a 9. Thank you Blessings. ???❤️❤️</t>
  </si>
  <si>
    <t>(1/2) We will check out at 1230 unless we can have latet. Pool great. Otherwise great stay, but it took two hours last night to get extra pillows and blank (2/2) ets. I callled 4 times. Breakfast good. Bed nice. Pillows to small, but we were tired so we slept.</t>
  </si>
  <si>
    <t>0-Just landed. But, we are sure it will be a 10+. See you soon.</t>
  </si>
  <si>
    <t>(2/2) me to cool off sufficiently. My wife is still a little warm for her comfort this morning. Thanks (1/2) Very well so far with one minor item...can we get an engineer to check the a/c . One stopped by yesterday and we thought the room had not had enough ti</t>
  </si>
  <si>
    <t>I'm still waiting on my additional two rooms to be ready. Please let me know as soon as they're ready when I</t>
  </si>
  <si>
    <t>(1/4) Honestly I would give it a 4 or 5. Our roller bed wasn't here yesterday even though I called the day before to ensure it was ready. There was no pillows o (2/4) r blankets for the fold out sofa bed. There was a cabinet type thing in the bathroom ceiling that fell open this morning and it hit my husband in the head (3/4) , the toilet was clogged for a while, the shower faucet handle isn't working properly. The bathroom ceiling was fixed though after I notified the front d (4/4) esk. I have stayed here before and our experience and room was way better.</t>
  </si>
  <si>
    <t>#5 excellent Everything very lovely</t>
  </si>
  <si>
    <t>1- outlet don't work 2- blind broken 3- cleaning is not to Standard 4- ac / heater thermometer is broken I just don't like to complain until you ask and if you care Score 1</t>
  </si>
  <si>
    <t>Definitely alert-worthy.
 Rationale: Multiple stacked failures (broken thermostat requiring a room move, slow-draining/flooding tub, missed coffee delivery despite calling) culminating in the guest explicitly stating the accommodations are "unacceptable" and that they are "incredibly disappointed." The guest also identifies as a Hilton timeshare owner, invoking their investment/loyalty status ‚Äî a signal of brand relationship risk and potential escalation. This combination of repeated service failures plus explicit strong dissatisfaction and owner status warrants Manager awareness now, not just Front Desk recovery.</t>
  </si>
  <si>
    <t>If this is Grand Geneva, please see updated 847 number. I gave this to someone else. Thanks!</t>
  </si>
  <si>
    <t>0 we have never been more upset with any of our hotels and we travel frequently. It just keeps getting worse</t>
  </si>
  <si>
    <t>Can you please email a copy of the receipt</t>
  </si>
  <si>
    <t>(3/3) beverages ! We had to go out this morning for that. Thank You ! Michael (2/3) definitely like to come back again .... Are there plans to renovate anything anytime soon ? Also, Orchids should be open everyday for light breakfast and (1/3) "4" checking out today by 1:00 The property &amp; pool is in need of some repairs and maintenance but overall, it was an enjoyable experience and we would</t>
  </si>
  <si>
    <t>How do I order room service?</t>
  </si>
  <si>
    <t>I need a toothpaste. could you send it to me?</t>
  </si>
  <si>
    <t>It's great! I have a question! What should I do with the trash! Lol.</t>
  </si>
  <si>
    <t>Can we please have more large towels?</t>
  </si>
  <si>
    <t>5-Hey its good. Just checking if housekeeping got some nee towels and stuff in washroom for us. Oh also should have mentioned rhe one end table on right side of bed is kinda gross looks like someone spilled sowmntign down the front of it and dried and never cleaned up</t>
  </si>
  <si>
    <t>**Not alert-worthy**
 Rationale: This is a routine maintenance issue (broken thermostat) with no indication of significant guest frustration, safety concern, or staff misconduct. The "5" appears to be a numeric rating with minimal context, but the substantive complaint is a standard in-room repair request ‚Äî the kind of thing Front Desk handles daily by dispatching maintenance or moving the guest if needed. No language suggests escalation, strong dissatisfaction, or stacking failures. Front Desk should simply address the thermostat.</t>
  </si>
  <si>
    <t># 5 !!!!!# Excellent, Thanks. ! Zoya &amp; Len</t>
  </si>
  <si>
    <t>Hi Mary Ann, I give it an 8. Can you have maintenance check the shower attachment in the secondary bathroom. It is spraying in more than one place. Thank you.</t>
  </si>
  <si>
    <t>good morning Alexandra. Everything is good, could I please request more towels</t>
  </si>
  <si>
    <t>(1/2) 10!!! I would give a 12 if I could! Great job and I will defini (2/2) tely recommend to all! ?</t>
  </si>
  <si>
    <t>tiny. The bed is comfortable. Also. The room smells like paint. Was it recently renovated ? Thanks George</t>
  </si>
  <si>
    <t>Great!!! Thank you!</t>
  </si>
  <si>
    <t>hi I left the keys in the room because I checked out, how can we leave parking using digital key if it did not work for door??</t>
  </si>
  <si>
    <t>An you confirm my room was cleaned and the supplies I have requested delivered? Please</t>
  </si>
  <si>
    <t>Going great except I'm running late getting back from a meeting can I get at 130 check out?</t>
  </si>
  <si>
    <t>(1/2) 10, we will be coming down soon and wondering if we could add one more night to this room. Wondering if we could still get the $99.00 rate. We found th (2/2) is place AWESOME and just booked a tee time. Thanks</t>
  </si>
  <si>
    <t>**Not alert-worthy**
 This is a highly positive message ‚Äî the guest praises the holiday decorations and atmosphere and is making a lighthearted, friendly request for bonus loyalty points as a "holiday gesture." There's no dissatisfaction, complaint, or service failure involved. Front Desk (or loyalty/guest services) can simply log or route the points request as a routine gesture. No Manager awareness is needed here.</t>
  </si>
  <si>
    <t>Need towels and glasses please.</t>
  </si>
  <si>
    <t>9, breakfast was very crowded though.</t>
  </si>
  <si>
    <t>"10" Thanks! I just wanted to ensure our reservation was OK for this evening. Apparently we have a split reservation, one for each night (November 2nd &amp; November 3rd). Do we need to have our keys re-coded for room 1619 for tonight?</t>
  </si>
  <si>
    <t>Hello. Our stay is going well but we're wondering what the banging noise is that we heard through the night? It sounds like someone banging on a pipe with a wrench. Thanks for your response.</t>
  </si>
  <si>
    <t>(1/2) Thanks for checking in. The staff I'll give a 5, top notch. I'm giving this stay a 1, this room (2217) was sub par. Looking out the window at a fuel truc (2/2) k to the construction noise first thing in the morning made this a less than enjoyable stay. Jude Tucker</t>
  </si>
  <si>
    <t>We stayed on the 28th it was a 10</t>
  </si>
  <si>
    <t>10 thank you so much have a great day as well</t>
  </si>
  <si>
    <t>Where do l go for the time share tomorrow</t>
  </si>
  <si>
    <t>*24 checking out. Thank you</t>
  </si>
  <si>
    <t>(1/2) 10 Jill was great helping out with the room. I am big on the bathroom being a walk in and the bed being king size I would have loved a view of the lazy ri</t>
  </si>
  <si>
    <t>**Definitely alert-worthy**
 Rationale: This message stacks multiple significant failures in one stay ‚Äî broken fridge causing food loss, a scalding-hot shower that prevented the guest from bathing (a safety/health concern involving risk of burns), a ruined night's sleep from noise, an uncomfortable bed, and a secondhand smoke complaint. Any one of these might be routine, but the cumulative pattern of failures across room condition, safety, and comfort clearly signals a stay gone wrong that a Manager should be aware of now ‚Äî this guest is highly likely to feel the stay was a failure overall and may escalate (review, refund request, etc.) if not proactively addressed.</t>
  </si>
  <si>
    <t>Everything went well. Thank you for checking in.</t>
  </si>
  <si>
    <t>Everything is going well! Mahalo for checking in.</t>
  </si>
  <si>
    <t>(7) Disappointed in room size; incomplete set of towels; no linens or pillow for sofa bed</t>
  </si>
  <si>
    <t>I have a car and only have the app for the key, how will I get out the gate?</t>
  </si>
  <si>
    <t>Good, can I get room cleaned between 11 and 1130?</t>
  </si>
  <si>
    <t>0 no refrigerator or microwave</t>
  </si>
  <si>
    <t>**Definitely alert-worthy**
 Rationale: This is extreme, explicit dissatisfaction ("-1", "worst CX ever") from a highly experienced traveler (4000+ nights), which lends weight to the complaint. It includes a serious hygiene/cleanliness allegation ("bathroom was not fit for human consumption") and a strong brand-damage statement invoking Hilton's name and reputation. The tone and comparison ("Palmer YMCA") signal potential public review/reputational risk. This combination of severe dissatisfaction, a health/cleanliness concern, and brand embarrassment clearly warrants Manager awareness now, not just routine Front Desk follow-up.</t>
  </si>
  <si>
    <t>(5) I received phone call early in the morning to ask for me stay, I coming to relax and I go to sleep really late . I think you guys can improve that Thanks Jose Velez</t>
  </si>
  <si>
    <t>about 1030 by midnight we had other guests in the suite next door start causing such a commotion. I heard our other Neighbor's warn them and the front</t>
  </si>
  <si>
    <t>(1/3) It started low due to a stain on the carpet and carpet soaked with water coming from the hvac unit. I was wonderfully surprised when these items were pro (2/3) mptly fixed. The only other outstanding issue is that a lot of water comes out onto the bathroom floor when taking a as shower, with the glass door close (3/3) d. So right now i would give you a rating of 8.</t>
  </si>
  <si>
    <t>0, why do u give food credit on a place that's closed on Sunday?</t>
  </si>
  <si>
    <t>Nice location and stuffs are friendly, 10!</t>
  </si>
  <si>
    <t>10! Going great thank you! I put towels outside the room in a bag this Morning - will I get new ones automatically?</t>
  </si>
  <si>
    <t>we just checked out. It was a 10 stay but would have liked to be notified there is no housekeeping unless requested</t>
  </si>
  <si>
    <t>**Definitely alert-worthy**
 Rationale: Guest describes a legitimate hardship (potential COVID exposure), a fee dispute they feel was handled with "rigidity and insensitivity," and explicitly signals intent to defect to a competitor ("Marriott next time"). This combines strong dissatisfaction, a policy/billing grievance, and a clear brand-loyalty/retention risk ‚Äî exactly the kind of situation a Manager would want to know about immediately to potentially intervene (e.g., waive fee, offer goodwill gesture) before the guest churns or posts publicly.</t>
  </si>
  <si>
    <t>$25 for the breakfast buffet is excessive....especially with only a $12 credit.</t>
  </si>
  <si>
    <t>It's good. A few small bugs in the room. Not sure what they are, but the room is nice.</t>
  </si>
  <si>
    <t>(1/2) My stay is going great so far. My wife and I spent the first 5 days of our Vegas vacation in a room at the flamingo hotel. After a couple of hours in ou (2/2) r room here, we both commented how much more comfortable we felt.</t>
  </si>
  <si>
    <t>Visit is going great. It's a 10. Thank you for checking.</t>
  </si>
  <si>
    <t>Everything is fine. 9</t>
  </si>
  <si>
    <t>(1/2) We are enjoying our stay. Thank you! We are in our room. It has not been cleaned yet. We will be going out at 12:30 If someone can clean it when we leave</t>
  </si>
  <si>
    <t>(7 )no breakfast in hotel today And parking for hotel guests should be free or way less expensive. Other than that it's a real nice stay</t>
  </si>
  <si>
    <t>Great! I enjoyed staying in Waldorf</t>
  </si>
  <si>
    <t>,we are good thank you!!</t>
  </si>
  <si>
    <t>"10" everything is great so far !</t>
  </si>
  <si>
    <t>of hangers. After our request was able to obtain shampoo and conditioner. Sufficient towels were brought. After the closet door lock was disassembled we</t>
  </si>
  <si>
    <t>(1/2) 5+! The hotel was clean and well kept. The valet service was convenient and we especially enjoyed the beer tasting in the afternoon. Thankyou, we had a ni (2/2) ce stay in Seattle.</t>
  </si>
  <si>
    <t>**Definitely alert-worthy**
 Rationale: Although the guest is warm and appreciative overall (thanking staff, praising Hilton Honors, promising a great review), the message reports a real health emergency on property ‚Äî the mother's blood pressure spiked to a concerning level during a 94th birthday stay, prompting an early departure and contact with her doctor, with the guest noting paramedics could have been needed. She also flags that the "upstairs room" location would be problematic if EMS response were required. This is a genuine health/safety-adjacent incident involving a guest during their stay, plus a potential facilities/access concern (upper-floor room and emergency response). Even though the guest isn't blaming staff and is not seeking compensation, this is exactly the kind of health/safety-related event a Manager should be aware of now ‚Äî both to check in on the guest's wellbeing/follow-up and to consider whether room-assignment or emergency-access practices need review.</t>
  </si>
  <si>
    <t>8. Enjoying our stay but toilets are too low and no washcloths at check in. See.s to be a shortage.</t>
  </si>
  <si>
    <t>"10" Everything has been great this is my favorite Hilton!!</t>
  </si>
  <si>
    <t>8. Could use a restaurant</t>
  </si>
  <si>
    <t>#10 as always..My Hubby (the Birthday boy ) and I are enjoying the 'Standing Out Bar' in the Lobby right now ! Bartender is Fantastic ! Lunch is being served as I text.</t>
  </si>
  <si>
    <t>It's great! Can you see if there's reservations at Morgan's tomorrow night?</t>
  </si>
  <si>
    <t>*24. Leaving in 5 minutes</t>
  </si>
  <si>
    <t>"10" My wife is happy so I'm happy.</t>
  </si>
  <si>
    <t>Hi Christina, our stay is great, I'd rate an 8/10. We are still hoping to get a different room and I was unable to redeem water this morning but the water was due to the pool not being open in time before we left for an excursion</t>
  </si>
  <si>
    <t>Very fine. Thank you for asking. Marsha Narmont</t>
  </si>
  <si>
    <t>(1/3) Micheal, my stay has been a little disturbed. Since 4a I was placed in a different room. My belongings are still there while. The maintenance staff works (3/3) p til 6a. Beautiful resort! Everyone is very nice and accommodating. Just being displaced at 4a kind off stressed me. Thanks for following up. (2/3) in my room. I decided to go to the spa instead of staying in the alternative room. Last night I didn't get any rest and because of the room change no slee</t>
  </si>
  <si>
    <t>*24. Thanks for a great stay</t>
  </si>
  <si>
    <t>(10) I love the hospitality and your customer service is A1</t>
  </si>
  <si>
    <t>(2/2) polite. Where would I go tomorrow to speak with someone about several questions I have about doing some self-guided sightseeing? (1/2) 8. Thank you for having gluten-free options available at the conference I'm attending. Housekeeping and other staff have been very nice, helpful, and</t>
  </si>
  <si>
    <t>Definitely alert-worthy ‚Äî Multiple stacked service failures (repeated denied housekeeping requests, difficulty getting basic service, WiFi issues) over a 7-night stay, explicit statement that "this whole stay has been a bad experience," and clear intent to escalate to corporate. This is exactly the kind of cumulative dissatisfaction plus escalation signal that a Manager needs to know about in real time to potentially intervene before the guest follows through on contacting corporate.</t>
  </si>
  <si>
    <t>Hi, sorry who is this from which company?</t>
  </si>
  <si>
    <t>Could I have cart take me to the grill now. I am in room 262. Ray Allender</t>
  </si>
  <si>
    <t>"8" Your staff are fabulous! Answering the Guest Service Hotline is not a strength, seems to take extra time to do that. I'm challenged to figure out how to turn off the tub water faucet ���� Not too much fun, first thing in the morning. And, the coffee maker in 4157 has a mind of its own. Oh, did I tell you that the staff here are amazing? ���� Hope this helps to qualify my 8 rating. ����</t>
  </si>
  <si>
    <t>(7) We cannot control our own air climate in the room</t>
  </si>
  <si>
    <t>6 The bathroom has a sort of sewer smell and we wish there was a microwave included in the room.</t>
  </si>
  <si>
    <t>(1/2) I have already checked out. Checked out yesterday, thanks ?? m (2/2) y stay was great though!</t>
  </si>
  <si>
    <t>Hi thank you! We are actually just leaving the room w the kids to the pool. Cleaning service would be optimal now</t>
  </si>
  <si>
    <t>**Not alert-worthy** ‚Äî This is an overwhelmingly positive message with a high satisfaction score (9/10) and explicit praise for staff friendliness and helpfulness. There's no complaint, concern, or issue requiring Manager awareness. Front Desk can simply log this as positive feedback; no action or escalation is needed.</t>
  </si>
  <si>
    <t>Ok i give it a 8 I would like a microwave for my room if possible</t>
  </si>
  <si>
    <t>8 Lighting is poor especially to put on makeup. Toilet holders falling off in both bathrooms</t>
  </si>
  <si>
    <t>10 all the way. I'll be back</t>
  </si>
  <si>
    <t>#10. Stay was wonderful. Loved our room.</t>
  </si>
  <si>
    <t>0! been to a lot of hotels and have never been ignored as much as I have been here.</t>
  </si>
  <si>
    <t>0... I already checked out. Your hotel is fine it's the surrounding area. My daughter is petrified. Trying to get my money back for tonight and was given a number to call and they said they are not responsible you are. Please advise.</t>
  </si>
  <si>
    <t>0. Had marijuana smokers next to us on their balcony and had to move rooms 3 times. They are in 1005. Our room smelled so bad and we couldn't tolerate it. Very disappointing that management didn't do something to uphold your rules and those of us that do had to move rooms??? Now we are away from them but no balcony to sit on and this is what we really wanted.</t>
  </si>
  <si>
    <t>Definitely alert-worthy.
 Rationale: This isn't a single minor gripe‚Äîit's a stacking of multiple failures across housekeeping, pool, gym, and food, painting a picture of a property-wide decline that's clearly upset the guest ("our stay has been poor"). The guest also flags a business/reputational stake: a group of their employees is arriving tomorrow, meaning the Manager needs real-time awareness to potentially intervene (extra cleaning, amenities restocked, pool addressed) before a larger party experiences the same issues. This combination of multi-area service breakdown plus an imminent group arrival warrants proactive Manager ownership, not just Front Desk triage.</t>
  </si>
  <si>
    <t>Hi who can I ask to meet a furniture movers on Wednesday at 8 or 11. ?? At my unit to let in ? Kim</t>
  </si>
  <si>
    <t>the rest of the staff have been great, but not being able to get dinner last was just very disappointing. Can I please have my room cleaned tomorrow?</t>
  </si>
  <si>
    <t>(1/2) I would like to have a 4p checkout; however, front desk representative said could not do. I informed her I was a diamond member and she said 2p was all s (2/2) he could offer. would you please assist or would I need to contact the diamond desk....</t>
  </si>
  <si>
    <t>Thanks , we enjoy our stay.</t>
  </si>
  <si>
    <t>(2/2) today thank you (1/2) Pauline you have the wrong phone number is it good that the Hyatt Corporation is concerned about their guests I'm glad someone cares about their customers</t>
  </si>
  <si>
    <t>public health regs and is onerous and distasteful. 2. My room is very comfortable however a significant amount of noise comes in from the hallway. I've</t>
  </si>
  <si>
    <t>"2" for the 1am call complaint for having my TV on and volume was at 15 and which i was in bed already with my daughter.</t>
  </si>
  <si>
    <t>Great , hey Can u please put a couple bottles of water in my room</t>
  </si>
  <si>
    <t>It is going great thanks. 9</t>
  </si>
  <si>
    <t>(4) Other than people next door having a fist to fist domestic dispute its been ok. If that continues tonight then we will have a big problem. Room is lovely definitely (10)</t>
  </si>
  <si>
    <t>Definitely alert-worthy ‚Äî Multiple stacked failures (cold room, cold breakfast area, widespread guest complaints suggesting a facility-wide HVAC issue), extreme dissatisfaction on a milestone occasion (30th anniversary), explicit intent to escalate to corporate, request for full refund, and guest is checking out early to stay elsewhere. This is a clear case where Manager ownership is warranted‚Äîboth for service recovery/potential compensation decision and because it signals a possible broader facility issue affecting multiple guests.</t>
  </si>
  <si>
    <t>0. I still don't have my laundry</t>
  </si>
  <si>
    <t>Everything is great. Thanks you</t>
  </si>
  <si>
    <t>(around midnight), we only received a blanket and more sheets. We just pulled pillows from other beds to make it work. My wife and I are considering co</t>
  </si>
  <si>
    <t>I thank you, everything wonderful</t>
  </si>
  <si>
    <t>Hello , and thank you just towels will be needed . We will be leaving out in 30 minutes If we can have towels delivered while we're out would be great!</t>
  </si>
  <si>
    <t>/Thanks for asking. We have a few issues. No shampoo this morning. The safe took 10 tries to open. Think batteries etc. Left it empty so u can fix it. / When we checked on the carpet on the closet was soaking wet and smelly. Better this morning. Again thanks for asking</t>
  </si>
  <si>
    <t>to get away from the stress for a short while. Thank you again!</t>
  </si>
  <si>
    <t>**Not alert-worthy.**
 This message expresses positive, heartfelt sentiment about the guest's experience volunteering and connecting with staff/interns. There is no complaint, service failure, staff-conduct issue, or dissatisfaction of any kind. No Manager action or awareness is needed ‚Äî this is simply positive feedback that Front Desk can acknowledge warmly.</t>
  </si>
  <si>
    <t>Can we get an upgrade to a suite? We are diamond status. Thanks!</t>
  </si>
  <si>
    <t>000. I did not stay there! I do not know how you got this number ??</t>
  </si>
  <si>
    <t>Hi Claudie, Stay is great so far, except the vanity faucet is loose. Just thought you needed to know. Thanks</t>
  </si>
  <si>
    <t>...still waiting for kitchen supplies, but otherwise great!</t>
  </si>
  <si>
    <t>Twas great! Thanks! 5/5</t>
  </si>
  <si>
    <t>Well.…considering this was our unwelcome guest last night and after our horrendous check-in debacle I would say we are sitting at about a 2 or 3.</t>
  </si>
  <si>
    <t>"10" we are having a great time. Thanks for asking!!</t>
  </si>
  <si>
    <t>We need towels please</t>
  </si>
  <si>
    <t>10. We do need fresh towels washcloths laundry bags and to go cups when you can.</t>
  </si>
  <si>
    <t>(1/2) 8. - Hey, it's been a good start, so far. Only issue I've had was when i was checking in, i couldn't understand the gentleman because of the loud music (2/2) in the lobby. I really like the room and especially the text messaging for assistance. Thank you so much!</t>
  </si>
  <si>
    <t>Well to be honest my room was not that great. The office chair is broken. And the tub . And the shower curtain were dirty.</t>
  </si>
  <si>
    <t>Not alert-worthy ‚Äî Overall positive stay with constructive feedback about staffing levels; no rude/disrespectful treatment, no strong dissatisfaction, and even praise for staff. This is routine operational feedback Front Desk/management can log for staffing review, not something requiring real-time Manager alert.</t>
  </si>
  <si>
    <t>"5" We are really enjoying our stay! We also really enjoyed the Easter Brunch in the Crown Room. Leslie</t>
  </si>
  <si>
    <t>#1307- Our shower is backing up- please have someone look at while we are out this afternoon ..thanks</t>
  </si>
  <si>
    <t>Every thing was great thanks</t>
  </si>
  <si>
    <t>10. Everything has been great so far, thanks!</t>
  </si>
  <si>
    <t>Does the TV not work in the mornings? Mine wouldn't work until 6:20 am or so.</t>
  </si>
  <si>
    <t>Not getting my water bottles or a cookie :(</t>
  </si>
  <si>
    <t>(1/2) 5+++++++. The most Fantastic experiance EVER!!!! I am Diabetic, &amp; when we got to our room there wasnt a refridgerator which I need for my Insulin. Your h (2/2) otel promtly provided one!!! Thank You!!! Ray</t>
  </si>
  <si>
    <t>**Definitely alert-worthy**
 Rationale: The guest describes a stay so poor they checked out a day early, and explicitly says this is a repeat complaint that was never followed up on ("as I said in a previous text... no one cares or follows up"). This signals both strong dissatisfaction and a service-recovery failure ‚Äî the guest already tried to flag the issue and was ignored, which is exactly the kind of stacking failure + escalation risk (frustration, feeling dismissed) that warrants real-time Manager awareness rather than another Front Desk pass-through.</t>
  </si>
  <si>
    <t>Hi ERIC can I get a late check out for tomorrow please</t>
  </si>
  <si>
    <t>We need more towels and toilet paper</t>
  </si>
  <si>
    <t>.I am sorry but I will need to say 7.5 today. When I got up my room did not have wash clothes or shampoo. I hope to get them when my room is serviced today. Thanks</t>
  </si>
  <si>
    <t>Hi - is the hotel shuttle running?</t>
  </si>
  <si>
    <t>So far, so good. Thanks!</t>
  </si>
  <si>
    <t>private conversation - ie not too cramped...</t>
  </si>
  <si>
    <t>(8) I'm doing good. Thanks ?</t>
  </si>
  <si>
    <t>Very good, very good service, we'll be back again next year. We been staying with you guys for the last 5 years !!!</t>
  </si>
  <si>
    <t>6 I don't like how my hall doesn't have much lighting My towels were fairly dirty The tv cable is outdated I expected the Hilton name to have a breakfast like the holiday inn does</t>
  </si>
  <si>
    <t>Definitely alert-worthy ‚Äî Guest describes multiple stacking service failures (no blankets available at check-in, missing Roku remote/instructions) plus a specific staff conduct complaint: a concierge "practically threw" a map at her, with no eye contact, acting like he was "doing her a great favor." This is a clear negative behavioral/attitude complaint about staff treatment, which on its own warrants Manager awareness, compounded by other lapses despite some positive notes.</t>
  </si>
  <si>
    <t>-Complementary bottle waters in the rooms Will be nice I got 2 when I check in Will be so nice to have 2 bottles in the room as well</t>
  </si>
  <si>
    <t>"10" as always Thanks</t>
  </si>
  <si>
    <t>"9", only because nothing is perfect!</t>
  </si>
  <si>
    <t>#5. Thanks to Tami, she was able to locate a Suite w/2 double beds as we had requested. It improved our experience like our previous visits.</t>
  </si>
  <si>
    <t>#3 --I'm sitting on the floor: not good floor is dirty. Foia talk</t>
  </si>
  <si>
    <t>Everything is perfect! Thank you.</t>
  </si>
  <si>
    <t>(1/4) An "8." And it would have been 6 if you hadn't shown some humanity and hospitality. We have a lot of experience in the industry and hgvc here and overs (2/4) eas. Two generations of our family have also been in restaurant and hotel industry ... one cousin has been general manager of Four Seasons properties an (3/4) d is now gm of a Waldorf Astoria. Another is award winning chef, and was chief of the kitchen in daniel's, often voted No. 1 restaurant in NYC. He's been (4/4) profiled in magazines. My wife's family ran a popular restaurant in Houston for almost 30 years. I will stop there.</t>
  </si>
  <si>
    <t>You guys r awesome .10/10. Thank you.</t>
  </si>
  <si>
    <t>Can housekeeping come at 3 pm?</t>
  </si>
  <si>
    <t>(1/2) Everything has been fabulous. The hotel accomadations are great. The restaurants are so attentive. They made note of our anniversary, both at dinner last (2/2) night and brunch this morning. Jeff W</t>
  </si>
  <si>
    <t>**Probably alert-worthy**
 Rationale: This is a maintenance issue (broken outlets) combined with a more concerning detail ‚Äî a constant water-running sound possibly indicating a plumbing issue, which kept the guest's child awake at night. While the guest rates the stay 8/10 and isn't expressing outrage, the mention of a potential plumbing/water issue behind a wall raises a possible property damage or safety concern (leaks, water damage) that Front Desk may not fully appreciate the urgency of. There's not enough detail to confirm severity (guest isn't sure if it's the main piping), but a Manager may want awareness in case this signals a larger building issue needing prompt inspection.</t>
  </si>
  <si>
    <t>#5, clean comfortable room. Lots of linens. The only suggestion I would say.....supply glass glasses, China mugs, plastic knives/spoons &amp; a corkscrew. I will recommend your hotel. C Crerar</t>
  </si>
  <si>
    <t>9. Wish the room had a fridge but it's ok. Having a great time</t>
  </si>
  <si>
    <t>**Definitely alert-worthy**
 Rationale: Guest discovered blood on the sheets in a bed he slept in ‚Äî a significant health/hygiene and cleanliness failure, compounded by the fact that housekeeping only swapped sheets rather than properly addressing/inspecting the mattress/room. He's a loyal repeat guest expressing clear disgust, and there's an added complaint about no heat in any rooms (suggesting a broader facilities issue). This combination of a serious sanitary lapse, inadequate service recovery, and a loyal guest's strong dissatisfaction warrants immediate Manager awareness ‚Äî this isn't a routine fix Front Desk should own alone.</t>
  </si>
  <si>
    <t>(1/2) hi grace. pls ask maintenance to fix our tall lamp.. we are afraid to turn it on in living room. wires exposed and coming apart. and our ice majer made (2/2) one tiny batch of ice all night long . can they fix that too ? thanks Grace</t>
  </si>
  <si>
    <t>(1/2) The room safe was locked when we first entered the room. Have called front desk, got transfered to security. They said they will take care of it this past (2/2) Monday. It's still locked and we are unable to use it.</t>
  </si>
  <si>
    <t>(1/2) Thank you. We had a very enjoyable stay in your lovely hotel. Jonathan Moreno, in spite of giving our room away to someone else after we were in it, Mr.</t>
  </si>
  <si>
    <t>Never going home! 10</t>
  </si>
  <si>
    <t>**Not alert-worthy** ‚Äî This is a strongly positive message with no complaint or issue. The guest is praising improved management and staff attitude, noting the property feels well-run and reminiscent of a hotel experience they loved in the past. No action or Manager awareness is needed beyond routine appreciation (though it could optionally be shared as positive feedback/morale boost, it doesn't meet the criteria for a real-time alert).</t>
  </si>
  <si>
    <t>0 - I checked out after my first night around 6am and will never be back</t>
  </si>
  <si>
    <t>"9" Going well thank you! Could we please get some more regular coffee in our room please? Room 1012</t>
  </si>
  <si>
    <t>9, would be a 10 if drink wasn't limited ??</t>
  </si>
  <si>
    <t>(3) --The pool was nice, the beds were uncomfortable and left us it chy! ? --Restaurant was good. --Staff was great.</t>
  </si>
  <si>
    <t>...9...enjoying my room...</t>
  </si>
  <si>
    <t>$508 was billed to my credit card. And $105 for incidentals.</t>
  </si>
  <si>
    <t>Rosalie, going to have to give it 7. Room was requested to my hypoallergenic and last night we had to swap out 4 feather pillows. Carla is deathly allergic</t>
  </si>
  <si>
    <t>Definitely alert-worthy ‚Äî This goes well beyond a routine service issue. The guest describes staff (a ranger) being rude and pressuring guests, which caused significant emotional distress to his wife, who is recovering from breast cancer surgery ‚Äî an especially sensitive situation that could expose the property to reputational risk if mishandled. There's a stacking of failures (rude staff, ruined golf experience, canceled follow-up reservation), a request for further compensation beyond the partial refund already given, and clear guest distress ("total disaster," wife "crying the whole time"). A Manager should be aware now to consider appropriate service recovery/compensation and to ensure the staff conduct issue is addressed.</t>
  </si>
  <si>
    <t>(1/2) Just yesterday our cleaning wasn't done at an acceptable time. We had called to see if it was the right day. After 5, we were told that housekeeping is a (2/2) s late as 9. If you don't plan to come until dinner or bed time, say so. The cleaning was very nice when it happened! Thank You!</t>
  </si>
  <si>
    <t>10. Things are great!</t>
  </si>
  <si>
    <t>Very much so! Do you have any suggestions for a celebration birthday dinner?</t>
  </si>
  <si>
    <t>"10" My daughter and I really enjoying. Want to find her a show that she will enjoy. Also, I'm in need of a parking pass.</t>
  </si>
  <si>
    <t>Solid 7. Room service is a bit of an inconvenience but everything else is fine. Thank you for checking.</t>
  </si>
  <si>
    <t>...I think have bed bugs...I awoke with 4 bites on my body . Last night I slept on the other bed, no bites this morning...</t>
  </si>
  <si>
    <t>(1/3) Thanks Rachel, going well. If only you could get me out of my me (2/3) etings so I could enjoy the pool, that would make everything bet (3/3) ter....?</t>
  </si>
  <si>
    <t>Couldn't be better. Thanks.</t>
  </si>
  <si>
    <t>10! Great so far.. thank you!</t>
  </si>
  <si>
    <t>(2)Disappointed at furnishings. Chairs are stained. Wood all chipped and damaged, lamps not working in bedroom. Clock radio is all static. Toilet not flushing properly. Carpets have many stains. Moldings and paint chipped off. You need to do major upgrades. This is not up to Hilton standards.</t>
  </si>
  <si>
    <t>Hi. Good. Got tickets to Hamilton ?. Could you please have two extra pillows delivered to our room ? Thanks.</t>
  </si>
  <si>
    <t>9. Will prob get bumped to 10 after Happy Hour this pm.</t>
  </si>
  <si>
    <t>Definitely alert-worthy ‚Äî multiple stacking failures (missing pillows/towels, broken light, ripped sheers, missing cup) culminating in guest reporting the room was "DISGUSTING" with photo/video evidence and stating they were "livid." This is strong dissatisfaction with a pattern of failures that a Manager would need to know about now, even though front-desk staff (Aileen) were reportedly pleasant.</t>
  </si>
  <si>
    <t>(1/2) Good but I left our eBay conference and forgot my luggage in one of the ballrooms. Can someone please go check for it it is in a maroon bag. I will mom my (2/2) way back to the hotel. Thank you very much!</t>
  </si>
  <si>
    <t>Please do not put a receipt under my door. I do not want my personal info lying around. Thanks.</t>
  </si>
  <si>
    <t>#1 regarding my sleep. There is a motor running all night long within the atmosphere in this room. with a switch in tone that makes sleep impossible. Even if one covers his ears. The sound comes from the center of the room. But it never stops. By the way We have never had a complaint about our Hilton rooms before, as far as I can remember.</t>
  </si>
  <si>
    <t>(1/2) Thanks Shanel but my Mom has been sick all morning. Trying to figure out if it's from the food we had out last night. Otherwise we enjoyed the pool after (2/2) check-in yesterday and the room is amazing! 10</t>
  </si>
  <si>
    <t>-1. The alarm that went off was scary no notification on what happened what went down we slept in missing breakfast because we couldn't sleep. No message</t>
  </si>
  <si>
    <t>good morning stephen. it would be AMAZING if we could get our room turned down.</t>
  </si>
  <si>
    <t>Can I please get an extra blanket to 6708?</t>
  </si>
  <si>
    <t>7-8 the tv continues to go out saying no signal and the bathroom sink drains poorly. Kitchen sink gurgles a lot but things are fine</t>
  </si>
  <si>
    <t>Definitely alert-worthy.
 Rationale: Extreme dissatisfaction ("dirtiest most dated room in my entire life"), explicit statement of never returning and never recommending, and a significant reputational/business risk given this guest is part of a 100-person wedding party who is publicly embarrassed by the property. Multiple failures stacked (cleanliness, dated furnishings, linens, furniture) plus a clear value complaint relative to price paid. This is exactly the kind of large-scale, high-visibility dissatisfaction a Manager needs to know about immediately, especially given the group size and potential ripple effect on other guests in the same wedding party.</t>
  </si>
  <si>
    <t>It was a great stay. I give it a 9. The only problem was the alarm clock was impossible to set and I was not able to reach anyone e for a wake up call last night. The pillows were amazing! Can you tell me what kind they are?</t>
  </si>
  <si>
    <t>What time ? Time out room</t>
  </si>
  <si>
    <t>(1/3) 8, staff is always very nice to deal with! We finally got towels today we asked yesterday 3 times. Also took 3 times during the course of the day to get s (2/3) omeone to change the light bulb in the master bath. The free DVD we got was damaged so it was hard to watch the movie. But, the staff is amazing so that m (3/3) akes up for the missteps.</t>
  </si>
  <si>
    <t>Can I have a bottle opener</t>
  </si>
  <si>
    <t>(1/2)It was great. I checked out early this morning due to a change in plan. No one was at the front desk when I left at 5 AM. Called the number and they said (2/2)they will email the front desk. Can you please check if I was checked out? Thanks</t>
  </si>
  <si>
    <t>It's going really well, Thank you</t>
  </si>
  <si>
    <t>-0. Williams 7132486049</t>
  </si>
  <si>
    <t>#10. Happy wife, happy life</t>
  </si>
  <si>
    <t>**Definitely alert-worthy**
 Rationale: This involves a serious health/hygiene failure (another guest's fecal matter found in the bed) ‚Äî a legitimate sanitation/safety concern, not a routine complaint. The guest explicitly states dissatisfaction with the resolution already offered ($220 credit), argues they deserved a "full refund considering the potential health issues," and stacks on an additional service failure (no cups/glasses). The combination of a genuine health-related incident, unresolved compensation dispute, and explicit escalation language ("Really should have been given a full refund") means the Manager needs real-time awareness ‚Äî this isn't something Front Desk's existing response has adequately closed out.</t>
  </si>
  <si>
    <t>Checked out already. Wi-Fi was spotty last night.</t>
  </si>
  <si>
    <t>-1. I cancelled my stay and left. I told your manager on duty that.</t>
  </si>
  <si>
    <t>in, helpful staff in shops, concierge making last minute reservation for Waldhaus and cancelling my other reservation I had made for the same time Cons:</t>
  </si>
  <si>
    <t>I will be leaving my room at 2:30 so housekeeping can come after that. Thanks.</t>
  </si>
  <si>
    <t>9 reservation to have a room further down the hall? Many thanks</t>
  </si>
  <si>
    <t>Hello! Nothing at all, we're actually out and about thank you so much!</t>
  </si>
  <si>
    <t>Definitely alert-worthy ‚Äî multiple stacked failures (4-hour wait, unhelpful/unresponsive staff, kitchen understocked, timeshare service breakdown) culminating in explicit statement that it "ruined my family vacation" and guest declaring they will not return. This is strong dissatisfaction with several service failures compounding, which a Manager should be aware of now, not just Front Desk handling one issue at a time.</t>
  </si>
  <si>
    <t>Daughters are staying with DT, they said 10</t>
  </si>
  <si>
    <t>(1/2) It's going well thank you. I would give it a 9 so far. Would you please have someone check the tv in the master bedroom as it doesn't appear to turn on vi (2/2) a remote or directly from the tv itself. We are out sightseeing so they may access the room while we are away. Thank you.</t>
  </si>
  <si>
    <t>It is certainly a great spread</t>
  </si>
  <si>
    <t>(1/2) Hello Charlotte, Actually, i have a discrepancy in my bill. Being charged 57.00 for parking last night when i was told it would be 25.00 due to the vbal (2/2) l tourney rate. I did email back to the sender of my receiot but havent heard back yet. Can u help? Thx. Lisa</t>
  </si>
  <si>
    <t>Everything was fine Thanks Have a nice day!</t>
  </si>
  <si>
    <t>*10 - Everything has been terrific. The staff (like Emma at the front desk)especially. Thank you very much! Bob Luke 1887</t>
  </si>
  <si>
    <t>had to leave to leave</t>
  </si>
  <si>
    <t>Definitely alert-worthy ‚Äî Multiple stacked failures (non-working room, forced move to another broken room, delayed to 5:30am, breakfast service breakdown, pool seating/bar access issues, no champagne) culminating in explicit strong dissatisfaction ("No I'm not enjoying my stay"). This is a pattern of compounding failures across the stay that a Manager would want to know about now, not just a single routine complaint.</t>
  </si>
  <si>
    <t>(1/2) I absolutely love it here thus far. We had one incident with the safe and it was handled right away. However we could use a new iron, it sticks to our (2/2) clothes. We give it an 8.</t>
  </si>
  <si>
    <t>its alright, everything is fine for now. Thanks</t>
  </si>
  <si>
    <t>0. We had two spiders in the room</t>
  </si>
  <si>
    <t>(1/5) Concierge Ms. Soto - 1. She has mialead, well outright lied to us. Caused us to miss an excursion we prepaid for in St Augustine, which we made her FULLY (2/5) aware of our time constraint. Now we have to pay a $60 rebooking fee which i told her i expected hgvc to cover. She said she'd ck with her mgr on Thurs a (3/5) nd haven't heard a word. She also said she was sending a gift basket with balloons and whatever for our anniversary. That was Wednesday. She is an epic FA (3/5) nd haven't heard a word. She also said she was sending a gift basket with balloons and whatever for our anniversary. That was Wednesday. She is an epic FA (5/5) l. We have a lovely view of the parking lot! On our way down.</t>
  </si>
  <si>
    <t>Some stuff broken in the house but overall is all good. I will say an 8 rate</t>
  </si>
  <si>
    <t>It's been great. Thank you. Our shower doesn't drain very well though. Fyi</t>
  </si>
  <si>
    <t>(1/2) Everything was great. No complaint but I would rather have a higher toilet. I rate my stay a 4 overall. Everyone at the front desk I rate a 5, very helpfu (2/2) l and polite.</t>
  </si>
  <si>
    <t>0 very unorganized. We never got our room even after 6:00 will never stay again</t>
  </si>
  <si>
    <t>10! Curious if theres an easy way to get food delivered. Donyou have any suggestions or advice?</t>
  </si>
  <si>
    <t>0 for Pritchell Hall b/c of musty and moldy smell. The aesthetics remind me of the movie, The Shining. ??? On the other hand, Mountain Laurel a 10+. It would be nice to have a small microwave in the room, but compared to The Shining, this 10x better.</t>
  </si>
  <si>
    <t>Definitely alert-worthy ‚Äî Extreme, escalating dissatisfaction ("worst experience in 30 years"), explicit complaints of rude/lazy staff, a specific staff-conduct issue (phone not answered by design), and a clear stated intent to escalate the complaint "to the highest level possible." This clearly requires Manager awareness right now, not just Front Desk handling.</t>
  </si>
  <si>
    <t>Everything is great ! Thank you! I give a 10 ?</t>
  </si>
  <si>
    <t>Hey Emily, the light on vanity mirror in my room just broke :( I need some natural light for my makeup application for the wedding I'm on :( any chance</t>
  </si>
  <si>
    <t>8 we had some issues with our fridge. They were sorted out but we needed to call the front desk a few times, a few times regarding the fridge and it was hard to reach someone. You gave us 50 for our inconvenience, which was nice. but I guess just answer the phones and be more responsive going forward. Also all the channels in our main/family room don't get reception while they do on our bedroom. One channel in particular is the main HBO. It be nice if that got fixed.</t>
  </si>
  <si>
    <t>10 thank you. Is it possible to get a 4pm check out tomorrow</t>
  </si>
  <si>
    <t>I checked out this am and the stay was a 10</t>
  </si>
  <si>
    <t>"8" I really appreciated all your help with dinning the other day :) We had a wonderful dinner! I asked someone by the pool where I could purchase something, they said in the shopping area out front but we thought it was far and we dont have a car so we didn't go. Now we're waiting to leave in the lower lobby and we notice shuttles to the shopping area. Wish we were informed of this earlier.</t>
  </si>
  <si>
    <t>I am here for another 4 nights... at the moment it is a 9.</t>
  </si>
  <si>
    <t># 10 thanks for everything and making us feel welcomed and for the chocolates thank you Victoria !!</t>
  </si>
  <si>
    <t>Just a question : do I get a voucher for finish line each day for $13-15 And breakfast. Wasn't explained at check in . 9</t>
  </si>
  <si>
    <t>**Not alert-worthy**
 Rationale: The guest is polite and largely positive ("Very well thank you"), noting a lingering minor noise issue that has already improved from before. This is routine feedback about room placement/noise‚Äîan ordinary operational request Front Desk can log for future room assignment. No signs of strong dissatisfaction, staff misconduct, safety concerns, or escalation intent (e.g., corporate, reviews, compensation). A simple "thanks for the feedback, we'll note your preference" from Front Desk fully resolves this.</t>
  </si>
  <si>
    <t>But can you tell me is 555 in the old tower or new one?</t>
  </si>
  <si>
    <t>(1/2) 10! This is a very cool service that you provide with the text messaging. My wife gave a huge Yelp review for the hotel and Jasmine at the front desk was (2/2) very good to us.</t>
  </si>
  <si>
    <t>Everything is fine at the moment, thanks for asking.</t>
  </si>
  <si>
    <t>Von - please ask my wife, Michele, at 302.598.2824...she wasn't happy with the room. It wasn't what we reserved</t>
  </si>
  <si>
    <t>0 and I will tell/show you why when I return this afternoon.</t>
  </si>
  <si>
    <t>(1/3) Hi Kristine! The blow dryer was not working so I called down for a replacement. Another blow dryer was brought to my room but that blow dryer's heat switc (3/3) here are polite and quick to address guest requests for assistance. Thank you for the "10" rated service! (3/3) here are polite and quick to address guest requests for assistance. Thank you for the "10" rated service!</t>
  </si>
  <si>
    <t>0 I didn't stay with double tree your staff was rude</t>
  </si>
  <si>
    <t>there should be one in the suite also...</t>
  </si>
  <si>
    <t>1/2 hour (outdoors) while in the outdoor pool. Some People were uncomfortable and left. Guests are here for a stress free time she was definitely str</t>
  </si>
  <si>
    <t>(1/2) 10!!! We had a wonderful stay. Can I get my receipt either my email or text? We will be leaving in about 1 hour thank you again for everything! Also lov (2/2) ed the breakfast!!</t>
  </si>
  <si>
    <t>Very good, thank you</t>
  </si>
  <si>
    <t>extra hand towels, shampoo, conditioner.</t>
  </si>
  <si>
    <t>8. Could use better / more elevators. Staff is great ??</t>
  </si>
  <si>
    <t>**Definitely alert-worthy**
 Rationale: This is a multi-issue complaint (musty odor, poor A/C performance, broken TV, stained carpet) ‚Äî a clear case of "multiple failures stacking up." The guest also emphasizes they're a returning customer and explicitly states disappointment with room upkeep/cleanliness standards, suggesting a brand/quality perception issue rather than a single fixable glitch. A Manager would want visibility into this pattern (possible room-maintenance or housekeeping systemic issue) and the repeat-guest relationship risk, even though Front Desk can still action the immediate fixes.</t>
  </si>
  <si>
    <t>#1 we're having the time of our lives! Mahalo!</t>
  </si>
  <si>
    <t>10 thank you beautiful Gina........????</t>
  </si>
  <si>
    <t>Great thank you for asking !</t>
  </si>
  <si>
    <t>10 - so far so good</t>
  </si>
  <si>
    <t>Is ok tomorrow , we need to refresh towels.</t>
  </si>
  <si>
    <t>(2/2) re would be no problem (1/2) As of now its an 8 because the walls are thin and my neighbors were talking loudly and laughing until 2 am. So if the walls were better insulated than the</t>
  </si>
  <si>
    <t>Angie the stay is go fabulous. ???????????? a big 10</t>
  </si>
  <si>
    <t>0. I have checked out. The stay was not pleasant at all. Building seven needs to be condemned.</t>
  </si>
  <si>
    <t>Hello Jacki. Would you please ensure our room is fully serviced today? Towels and sheets? --On our first full day, we had the tag on the door for "do not disturb" and did not request service. --Yesterday, we took the tag off of the door and did not get service. We called and the gentleman said he could exchange our towels only. --This morning we had a note on the door that said "do not disturb on doorbell sign." We tested this sign and it does not work and we didn't have it enabled. It may be broken? Thank you for your assistance.</t>
  </si>
  <si>
    <t>Thank you for the help your staff gave my family during our recent stay. Nekane in particular was very helpful .</t>
  </si>
  <si>
    <t>I'm giving a 10, thank you...</t>
  </si>
  <si>
    <t>**Definitely alert-worthy**
 Rationale: The guest gives a "0" rating and expresses raw, extreme dissatisfaction ("I hate I paid for this mess," multiple exclamation points). While no specific cause is named, the intensity of the sentiment itself clears the bar for "strong/extreme dissatisfaction" ‚Äî a Manager would want real-time awareness that a guest feels this strongly, even before details are known, so they can personally follow up rather than let it sit as a routine complaint.</t>
  </si>
  <si>
    <t>(1/2) Hi Shannon, our rating on our stay so far will be an 8. The staff is very pleasant and friendly and the rooms are well kept but if all amenities were incl (2/2) uded like the Westgate Resort then it would have been a 10.</t>
  </si>
  <si>
    <t>All good. Thank you Brian</t>
  </si>
  <si>
    <t>Everything is good</t>
  </si>
  <si>
    <t>0 - my wife has told me this was the absolute worst hotel stay ever. Non-smoking rooms reaking of cigarettes and bathroom flooded; she was moved to another room and again the room smelled like cigarettes. She explained to manager the importance of having a smoke free room as both of my children(who were with her) have cystic fibrosis which is a respiratory disease in-which noxious fumes and aerosols can be detrimental to lung function. So the manager(very rude BTW) moved her again but first doused the room with aerosol spray. Makes absolutely no sense based on what my wife had already told him. She was told that the room would be complimentary and I hope this is the case. Please confirm and get back to me. Needless to say we will NEVER be back to this hotel.</t>
  </si>
  <si>
    <t>Can I still go to the front desk for a formal check out ?</t>
  </si>
  <si>
    <t>0 0 0 I'm not at your place. You have the wrong number. Please stop texting me! Thanks</t>
  </si>
  <si>
    <t>(1/2) All was great except for the security person las night was rude. sorry. i ended up not being so nice and he refused to help me. i couldnt find my key to g</t>
  </si>
  <si>
    <t>#1: We need additional pillows for a 4-person stay #2: the AC in the main bedroom does not work well #3: I'm not happy with the location of the room. The view is terrible and we are right next to the trash room. I booked this in March and was under the impression the representative was giving me a better positioned room. Thank you.</t>
  </si>
  <si>
    <t>Good thank you not at this time</t>
  </si>
  <si>
    <t>(1/2) Hi jayni. Haven't really did or seen much. I like room and had a good night rest. Today i plan to get out and frequent the property so i can give you a (2/2) more precise rating later. Have good day</t>
  </si>
  <si>
    <t>Definitely alert-worthy ‚Äî Multiple stacked complaints (room not cleaned by 3:30, poor breakfast quality, parking fees, disrepair/maintenance issue with awning) combined with strong dissatisfaction language ("Horrible service," "disgrace," "not neat appealing atmosphere") indicate a guest experience breakdown across several touchpoints. The cumulative nature of these failures signals a Manager should be aware now, both for service recovery and because this pattern suggests broader property issues worth reviewing.</t>
  </si>
  <si>
    <t>(1/2) We would definitely give it 10. Although short we enjoyed our stay and since we bought a package to return within 6 months I'm sure that our next stay wil</t>
  </si>
  <si>
    <t>on our 2nd time being here was the tub. Unfortunately our tub was dirty. After a long day out in the parks we wanted to come and soak last night and not</t>
  </si>
  <si>
    <t>(1/2) 4.0 - Your desk staff and Bellman were outstanding. Room exceeded expectations with the exception of two housekeeping issues. Previous occupants left over (2/2) food in the refrigerator with a strong order of garlic, and a very large clump of hair in the shower.</t>
  </si>
  <si>
    <t>Can we have house keeping Come clean the bathroom that's all thank u so very much</t>
  </si>
  <si>
    <t>- will look forward to the receipt under our door.</t>
  </si>
  <si>
    <t>"10"! Thanks for a great stay. ?</t>
  </si>
  <si>
    <t>I need a manager to call me regarding my stay</t>
  </si>
  <si>
    <t>.great thanks for checking!</t>
  </si>
  <si>
    <t>**Not alert-worthy** (but flag for positive recognition, not a service concern)
 Rationale: This is an overwhelmingly positive message with no complaint or issue. The guest explicitly asks that praise be passed to the GM about staff member Alex ‚Äî this isn't a problem requiring Manager intervention, but it's a specific compliment the Manager would likely want to see (for staff recognition purposes). It doesn't meet the "alert" criteria (dissatisfaction, staff misconduct, escalation risk, safety/legal concern), but many teams route positive shout-outs to managers anyway for morale/recognition ‚Äî that's a distinct workflow from "alert-worthiness" as defined here. Strictly per the rubric, this is **Not alert-worthy**, though worth forwarding as kudos.</t>
  </si>
  <si>
    <t>that everything is great. Thanks Avery! ?</t>
  </si>
  <si>
    <t>0ur stay is a 7-8. Your show guide is outdated.</t>
  </si>
  <si>
    <t>ll definitely reach out if we need anything ☺️</t>
  </si>
  <si>
    <t>"5" Thanks for a great stay!</t>
  </si>
  <si>
    <t>10, but could I get a refresh on our towels, they can be left just outside the door</t>
  </si>
  <si>
    <t>We r having great time thanks !</t>
  </si>
  <si>
    <t>-1 I really don't know where to go with this. When you plan on a vacation all year you want it to go smooth and easy. The room you upgraded us in was a nicer room but wasn't clean as the first room. I really thought I pick the best hotel in downtown Dallas. The cleanliness of the rooms need to step up their game. If it was me I should have checked out when we experienced the s first room. Unacceptable Hilton</t>
  </si>
  <si>
    <t>Things are great now, thanks!</t>
  </si>
  <si>
    <t>**Definitely alert-worthy** ‚Äî Not a complaint, but a specific, glowing compliment naming a staff member (Alex) with an explicit request to pass praise on to the General Manager. Manager should know in real time so they can recognize/reinforce positive staff behavior and personally acknowledge the guest's request.</t>
  </si>
  <si>
    <t>5 n can we get clean towels n toilet paper</t>
  </si>
  <si>
    <t>Overall..very nice..trouble getting NBC on television.</t>
  </si>
  <si>
    <t>It's great!! Just a few minor adjustments needed from above</t>
  </si>
  <si>
    <t>721 does not have internet. What cab you do?</t>
  </si>
  <si>
    <t>0 terrible experience the worst stay ever with Hilton</t>
  </si>
  <si>
    <t>(1/2) Good afternoon. Going well so far. However, yesterday I informed the front desk that the tub faucet has a steady running leak. They said it would be (2/2) fixed yeati but it wasn't and is still leaking. Could you please have it fixed asap? Thank you!</t>
  </si>
  <si>
    <t>3. Not my best Hilton experience.</t>
  </si>
  <si>
    <t>**Probably alert-worthy**
 Rationale: The guest expresses clear dissatisfaction ("Not very happy," sarcastic "BFD") about the amount of Hilton points offered as compensation ‚Äî implying something happened that warranted a service recovery gesture, and the guest feels it was inadequate. However, there's no detail on what the original issue was, making it hard to gauge severity. The unresolved compensation dissatisfaction is worth a Manager's awareness, but the message alone doesn't clearly rise to a "Definitely" given the guest also says "otherwise ok," suggesting overall mild sentiment rather than a serious complaint.</t>
  </si>
  <si>
    <t>Everything is great so far. Thanks</t>
  </si>
  <si>
    <t>No clean towels etc etc. See my text from this morning</t>
  </si>
  <si>
    <t>#2. Your team has Been unresponsive to our repeated requests regarding cleaning our room and bathroom daily, supplying clean towels, and making our beds. At this time. 11:30 am our room and bathroom has still not been cleaned, nor towels replaced. I responded to your inquiry yesterday morning, and you informed me you would be handling our request immediately. This was never addressed. Call me to discuss.</t>
  </si>
  <si>
    <t>Great so far, thanks.</t>
  </si>
  <si>
    <t>? We left yesterday</t>
  </si>
  <si>
    <t>(1/2) 9.9 &lt;&lt;&lt; Only because since I stayed at the Elara last month, THANK GOODNESS I brought my own TEA BAGS! I remembered HGV does NOT provide tea bags. Seri</t>
  </si>
  <si>
    <t>Everything is great. Thank you</t>
  </si>
  <si>
    <t>(1/2) 8:) the bed linens and quilts our awesome! Whos your textile com (2/2) pany? Slept like a bug in a rug?</t>
  </si>
  <si>
    <t>Having a great time. Thank you for asking.</t>
  </si>
  <si>
    <t>can I please have a few large trash bags</t>
  </si>
  <si>
    <t>(5) so far so good. Thanks</t>
  </si>
  <si>
    <t>Not alert-worthy ‚Äî This is an overwhelmingly positive message with only minor, routine feedback (dispenser refill complexity, a running toilet needing maintenance). Compliments for staff are nice-to-relay but not urgent. Front Desk can log the maintenance request and pass along the praise; nothing here requires real-time Manager awareness.</t>
  </si>
  <si>
    <t>#10 for your hotel Demetri -- as Arnold said in Terminator movie: "I'll be back.." Go Hilton!!!</t>
  </si>
  <si>
    <t>So far so good. Thanks Kevin. Rushing back to check out by noon See you soon</t>
  </si>
  <si>
    <t>-200. It's been awful and nobody gives a shit.</t>
  </si>
  <si>
    <t>So far so good. Thanks Choosing to not identify my stay by #'s</t>
  </si>
  <si>
    <t>The staff is great. The shower drain is slow and it appears to have dirt in the grout or mold.</t>
  </si>
  <si>
    <t>Can someone come to the room 774 to do room service, change towels, pick up garbage etc?</t>
  </si>
  <si>
    <t>-1 Negative I will never recommend this place to anyone, and will be leaving a review online as well. Thank you</t>
  </si>
  <si>
    <t>(1/2) It is AMAZING here as ALWAYS...THANK YOU SO VERY MUCH Alondra ! (2/2) !!! ???</t>
  </si>
  <si>
    <t>Hi Robert. My day is going pretty well. Thanks for asking</t>
  </si>
  <si>
    <t>Everything's great just couldn't find your desk yesterday lol</t>
  </si>
  <si>
    <t>(8)we hear noise every night but we absolutely love it here otherwise.</t>
  </si>
  <si>
    <t>(9). I'm a little concerned about the lack luster manager's reception. I understand about the Covid precautions but I noticed you are selling drinks during the reception. What happen to the liquor that was provided during the reception. I'm willing to pay a little but when I asked the cost of a drink it was over $10. Why?</t>
  </si>
  <si>
    <t>(1/4) Dol, thanks for checking in. So far, excellent. That would be a (2/4) 10. ? I do have a question. If we're looking to do a show at th (3/4) e Mirage this evening, is there any shuttle that goes out &amp; abou (4/4) t or do we need to get a taxi?</t>
  </si>
  <si>
    <t>and powerade) until around 12:30pm. We had been told it would be ready at 9am. So we planned around that to try and avoid having my 3 year old out durin</t>
  </si>
  <si>
    <t>I am at my room and my regular room key is not working. Can you please send me the digital key so I can get into my room and I don't have to come down to the lobby and get a new key right now</t>
  </si>
  <si>
    <t>(1/2) Everything is all good please check if my room is being serviced l left early morning to do a conference presentation and will be back at my room in about</t>
  </si>
  <si>
    <t>"9.8". Air conditioner was off when I arrived. Took a while to cool down but otherwise a "10"</t>
  </si>
  <si>
    <t>Rating is a 5 Everything is going ok, but there are a few areas that needs to be corrected. The pool bar was closed yesterday due to no employee to work the bar. The food for the meetings always runs out &amp; coffee is not refilled promptly. I do understand that Covid staffing may contribute to that so I'm patient but the those needs to be addressed because as a Hilton honors member, I expect better service.</t>
  </si>
  <si>
    <t>Please clean tomorrow. Enjoy your day</t>
  </si>
  <si>
    <t>Everything is fine thank you</t>
  </si>
  <si>
    <t>.9999999999. Lol. I have only one thing. That why the poolside restaurant is not open for breakfast like before? That's all. Thanks</t>
  </si>
  <si>
    <t>Hi David, the bathroom and mold and my continues coughing my be a result from it. Special attention needs to be paid to the bathroom as specifically due to COVID-19. My rating is "1"!</t>
  </si>
  <si>
    <t>(1/2) I'd give my 810 room a 4 and 709 room a 3 bc my daughter is always cold and your heat is turned off for the season. Otherwise a very nice stay. Stopped (2/2) in the bar last night. Very nice. Thanks for asking.</t>
  </si>
  <si>
    <t>Besides the fact that my room smells like it's a fucking weed dispensary the whole time I'm here it's fine</t>
  </si>
  <si>
    <t>So far so good! Just need 4 sets of towels please!</t>
  </si>
  <si>
    <t>(3/3) d give it a 7 out of 10 since I've stayed here before and had a lovely time. (1/3) Thank you. Once we moved locations (away from crowds and horses of kids) it was a relatively pleasant stay. Unfortunately it took us until 6:30pm to get s (2/3) ettled, having arrived at 2pm. Also, dinner reservations hadn't been suggested so we ended up not having a place to eat without a long wait. That said, I'</t>
  </si>
  <si>
    <t>It's going great. Thank you.</t>
  </si>
  <si>
    <t>"10" TEN TeN!!! No bellman needed thanks.</t>
  </si>
  <si>
    <t>(1/4) Hi Brittany..thanks for checking. I was a Hilton Diamond till earlier this year. Unfortunately, I haven't travelled as much this year and have consequent (2/4) ly been downgraded to Silver. This is my fourth time staying at Palmer house and i can see the difference. Smaller room smaller bathroom...no access to ex (2/4) ly been downgraded to Silver. This is my fourth time staying at Palmer house and i can see the difference. Smaller room smaller bathroom...no access to ex (4/4) perties in Atlanta and Philadelphia latter this year. Ajay</t>
  </si>
  <si>
    <t>Fabulous! Thank you!</t>
  </si>
  <si>
    <t>It is a 9+, and all of your staff members are friendly and very capable!</t>
  </si>
  <si>
    <t>(1/3) Good morning i want to start off saying so far everything is jus (3/3) r starting place and it sets the atmosphere . (2/3) t fabulous ☺but my check in process was not good ? check is you</t>
  </si>
  <si>
    <t>(1). Hotel is great. My wife was a victim of a thief who put his hands all over her trying to steel her wallet in The French Quarter . She is very upset. We will be leaving tomorrow and never coming back to New Orleans!</t>
  </si>
  <si>
    <t>**Definitely alert-worthy**
 Rationale: Multiple stacked failures ‚Äî advertised lounge access is closed/unavailable, and the offered breakfast credit doesn't come close to covering actual cost, which the guest frames as inadequate compensation for a non-disclosed broken amenity. Guest explicitly says "better compensation needed," signaling an expectation of make-good beyond routine service recovery. Combined with a second complaint (shower hardware) and explicit comparison to their usual Diamond-tier experience ("not the best Hilton stay," "not my usual diamond experience"), this shows a valued loyalty guest with compounding dissatisfaction and a compensation ask ‚Äî something a Manager should be aware of now rather than leaving to Front Desk alone.</t>
  </si>
  <si>
    <t>Everything is working out well right now thank you!</t>
  </si>
  <si>
    <t>(1/2) Trolley tour and lunch was excellent. 10! Friendly and knowing (2/2) guide Star?.</t>
  </si>
  <si>
    <t>(1/2) 10. We had called to ask them to turn on the fridge and by evening it was fine. Now there's a fridge outside of our room. We really don't need that. Thank</t>
  </si>
  <si>
    <t>Well about 8 right now- been waiting about 10 minutes for the beach server</t>
  </si>
  <si>
    <t>9-noise is loud from construction everything else is great, patio door won't open in bedroom but we just informed front desk. Thanks.</t>
  </si>
  <si>
    <t>Bad experience,won't be coming back</t>
  </si>
  <si>
    <t>We have forgotten our health issues for a while. Thanks for every</t>
  </si>
  <si>
    <t>(2/2) er seen this before in such a fine hotel. (1/2) Very nice hotel with great service. However housekeeping had not cleaned under the desk as there were empty Gatorade bottles left in that area. I have nev</t>
  </si>
  <si>
    <t>Our air conditioning hasn't worked the whole time.</t>
  </si>
  <si>
    <t>#10, everything was great, thank you!!</t>
  </si>
  <si>
    <t>Yesterday I asked that trash be removed, from a previous tenant, from my room; and also to have wet linen &amp; trash removed...but it wasn't.</t>
  </si>
  <si>
    <t>"9" My stay was great! Thank you!</t>
  </si>
  <si>
    <t>(1/2) It was perfect, thanks for everything! Looking forward to (2/2) staying here again!?</t>
  </si>
  <si>
    <t>Good afternoon Rosalie, everything is going fine so far how can you order drinks if you are at the pool do you have to come in an order at the counter?</t>
  </si>
  <si>
    <t>My nephew said 8.5 because no microwave in room. Thanks.</t>
  </si>
  <si>
    <t>Great! Thank you so much!</t>
  </si>
  <si>
    <t>#5. No adult pool in our tower. Staff downstairs was a little short when we asked for directions. No restaurants close to our tower. And most do not open until 7 am for breakfast. Otherwise it is fine. Thank you for asking.</t>
  </si>
  <si>
    <t>10 but you need towels in fitness room</t>
  </si>
  <si>
    <t>It is perfect! Thanks!</t>
  </si>
  <si>
    <t>**Definitely alert-worthy**
 Rationale: Multiple escalation signals stack up here ‚Äî construction/drilling noise disrupted a work meeting and sleep, guest developed a migraine and had to abandon the room, and they explicitly frame this as a "very disappointing Hilton experience." They also invoke loyalty status and explicitly signal intent to leave negative reviews ("the reviews will be very bad"). This combination of health impact, significant service failure, and public escalation threat is exactly what a Manager needs to know about in real time ‚Äî Front Desk fixing the noise issue doesn't address the reputational/loyalty risk or the health complaint.</t>
  </si>
  <si>
    <t>Stay is very nice but not over yet so hard to rate</t>
  </si>
  <si>
    <t>No I'm good thank you very much</t>
  </si>
  <si>
    <t>... 3? This vacation has been a disaster from the beginning. The hotel rooms and service are nice tho so hotel score alone is an 8.</t>
  </si>
  <si>
    <t>$30 per day is what we get for the new benefits per person? And we use that for breakfast</t>
  </si>
  <si>
    <t>Room is a little smoky. Nothing other than that. Suggest you put a sign up directing people to food options within walking distance.</t>
  </si>
  <si>
    <t>I thank you! We're doing great.</t>
  </si>
  <si>
    <t>Not alert-worthy ‚Äî Overwhelmingly positive feedback with only a minor, lighthearted preference noted (pool temperature). No complaint, dissatisfaction, or issue requiring Manager awareness; Front Desk can note the pool comment if relevant.</t>
  </si>
  <si>
    <t>8 but each day gets better</t>
  </si>
  <si>
    <t>"5" disappointed restaurant was not open and not much of a healthy grab and go breakfast.</t>
  </si>
  <si>
    <t>-1. Total lack of customer service.</t>
  </si>
  <si>
    <t>sink takes FOREVER to drain. I will also need new coffee for tomorrow.</t>
  </si>
  <si>
    <t>10. Room and services are wonderful</t>
  </si>
  <si>
    <t>0ur stay is going well...a 10.</t>
  </si>
  <si>
    <t>-10 and I plan to call corporate and give the worst google review EVER. Thanks for asking.</t>
  </si>
  <si>
    <t>**Definitely alert-worthy**
 Rationale: The guest is flagging a potential safety/health hazard (scalding-hot water from the sink faucet, explicitly noting it "could be harmful"). Even though it's phrased matter-of-factly and not an emergency, safety-related concerns meet the bar for Manager awareness regardless of severity of tone ‚Äî this isn't just a maintenance ticket, it's a potential guest-injury liability the Manager should know about now.</t>
  </si>
  <si>
    <t>hi, thank God for sparing our lives</t>
  </si>
  <si>
    <t>10! Had a great weekend</t>
  </si>
  <si>
    <t>0 i did not receive all my rooms till after 10pm last night after getting to the hotel at 3 pm</t>
  </si>
  <si>
    <t>0 zero 0. i wasn't able to get all of my rooms till about 10 pm. We arrived at the hotel at 3 pm. 7 hours to receive room keys for 5 rooms that have been reserved the last week and half is unacceptable</t>
  </si>
  <si>
    <t>(2/2) complimentary wifi? (1/2) 5. One question -- I'm a Hilton Rewards member, but did my hotel registration through the conference I am attending. Can I still access the Hilton Rewards</t>
  </si>
  <si>
    <t>10! Thank you. No need for bellman.</t>
  </si>
  <si>
    <t>(1/2) 9. Question...I'm a Gild Honors member and i thought I would receive free internet, but I did not receive the code at check-in. Can you confirm and prov (2/2) ide that info.? Thanks for checking in.</t>
  </si>
  <si>
    <t>#8. Wish there was more seating space.</t>
  </si>
  <si>
    <t>, Must day is going really well. Thanks for checking in.</t>
  </si>
  <si>
    <t>"Enjoyed" my stay? I'm not supposed to check out until tomorrow, but so far, I'm enjoying my stay.</t>
  </si>
  <si>
    <t>0 and I'm going to write and let every outlet know how horrible this property is</t>
  </si>
  <si>
    <t>10, JC you're the best!</t>
  </si>
  <si>
    <t>?? Do I HAVE TO download the Hilton Honours ap to gain access to room1940?</t>
  </si>
  <si>
    <t>Not alert-worthy ‚Äî This is overall positive feedback with constructive suggestions (internet issues, Diamond reception flexibility) and praise for staff. No strong dissatisfaction, staff conduct complaint, or escalation intent. Front Desk/routine feedback channels can log this for consideration; no need for real-time Manager awareness.</t>
  </si>
  <si>
    <t>Going great. Where would I find mouthwash?</t>
  </si>
  <si>
    <t>(4) we arrived at the hotel last night &amp; walked in the entrance &amp; there was no front desk staff we had to walk all the way to the tower lobby to check in &amp; walk all the way back out the other entrance unload our luggage after locating a luggage cart then we get to our rooms to find chips &amp; crumbs all over the night stand &amp; the trash can over flowing I have stayed at many Hilton's but have never stayed at a hilton property that was this dysfunctional!</t>
  </si>
  <si>
    <t>A 9 so far. Water pressure in shower could be better. Room and bed great, facilities and staff a 10.</t>
  </si>
  <si>
    <t>(1/4) Good afternoon. I would rate my stay a 3. My shower didn't work too well and the tub filled up with water each time I took a shower. My TV didn't work (2/4) the first night, however the maintenance team fixed it quickly. Last I requested to be closer to the main lobby and that was not granted although a (4/4) (3/4) colleague of mine was able to get her room switched at the same time. I would still recommend the facilities as it is a very beautiful hotel and Marina.</t>
  </si>
  <si>
    <t>(1/2) Very well! 10 so far! Is impossible to have a late check-out, at 1 p.m.? And to leave our luggage in a safe area well we do an afternoon activity before d (2/2) eparting from Fort before departing from Fort Lauderdale?</t>
  </si>
  <si>
    <t>#10....Sleep like a baby!!! Enjoying my stay ??</t>
  </si>
  <si>
    <t>(5) Im rating our stay a 5. At the time of booking we requested to have a roll in bed in the room. When we got to the room, we were told the resort does not have those available. We are booked with our son and daughter in the room so it was necessary to have the bedding arrangements requested. We had to go to Walmart last minute and grab the very last $180.00 air mattress that they had in the store. We had to make this extra expense in order to sleep comfortably. Also, anytime that we call for towels, we have to wait for hours which causes a delay in our daily plans.</t>
  </si>
  <si>
    <t>We are good- I would like to request housekeeping for tomorrow if possible?</t>
  </si>
  <si>
    <t>"5" Very Nice Hotel. Thanks!!!</t>
  </si>
  <si>
    <t>"7". Kinda wish we were up one floor so we could see the 18th green. Also, being at sidewalk level, people walking can look in. No privacy! Ed 5118</t>
  </si>
  <si>
    <t>**Definitely alert-worthy**
 Rationale: The guest expresses extreme, unambiguous dissatisfaction ("Worst service," "Worst Hilton experience ever") and signals a potential loss of future business/brand loyalty ("May never stay at a Hilton property again"). While no specific incident is detailed, the intensity of the language and the implied threat to the brand relationship (not just this stay) is exactly the kind of strong sentiment a Manager would want to know about immediately ‚Äî this goes beyond a routine complaint Front Desk can quietly resolve, since it reflects a guest who may already be inclined to escalate via reviews or corporate channels if not addressed personally.</t>
  </si>
  <si>
    <t>Can we please have more towels face and dry towels. Thank you</t>
  </si>
  <si>
    <t>(1/2) 100+++ all was awesome and a nice brief break. We will be back. Lost house in St. Augustine so have work to do...but will see you for a break. Thank you (2/2) very much for everything</t>
  </si>
  <si>
    <t>We are living every second. Thank you</t>
  </si>
  <si>
    <t>(1/4) Great afternoon Ms. Damaris... Hi, there were a few things I saw (3/4) ed housekeeping and they were prompt in providing the dish towel (3/4) ed housekeeping and they were prompt in providing the dish towel (4/4) s and sponges. ..☺</t>
  </si>
  <si>
    <t>0. I am not at hotel yet.</t>
  </si>
  <si>
    <t>(1/2) Love the room location and everything is going good so far I'll (2/2) rate it when I'm done?</t>
  </si>
  <si>
    <t>We will give a 10, loving our stay!!!</t>
  </si>
  <si>
    <t>10. We love it and purchased the annual 3400 points today</t>
  </si>
  <si>
    <t>/feeling great today. Thank you</t>
  </si>
  <si>
    <t>8 maybe..Our room is warm.. AC doesn't cool down.. stays 76 F. Maintenance came already but still not cool enough.. We are outside.. il let you know when we come back if it s working well..</t>
  </si>
  <si>
    <t>A 10 Best sleep ever thanks Brady, darrin.</t>
  </si>
  <si>
    <t>Our experience has been very good. We are enjoying our stay.</t>
  </si>
  <si>
    <t>our air-conditioning doesn't seem to be cooling well. Our room was 77 degrees this morning. Thermostat is at 66</t>
  </si>
  <si>
    <t>10 enjoying your hotel and the wonderful staff.</t>
  </si>
  <si>
    <t>Can we get some more ice please</t>
  </si>
  <si>
    <t>Definitely alert-worthy ‚Äî A lifetime Diamond loyalty member with decades of tenure explicitly states this is the worst stay they can recall, detailing multiple stacked service failures (no towels, unanswered requests, no housekeeping for 3+ days, no laundry detergent for days, garbage buildup forcing them to put trash in the hallway). They also note a 14-hour delay in response with still no resolution, indicating an ongoing, unresolved multi-day breakdown in basic service. This combination of high-value guest status, extreme dissatisfaction, and repeated compounding failures clearly warrants Manager awareness and likely intervention/recovery gesture.</t>
  </si>
  <si>
    <t>yes mahalo on housekeeping</t>
  </si>
  <si>
    <t>9 everything is great as usual. Would have been 10 if our unit was ready at check in</t>
  </si>
  <si>
    <t>Everything is going well. I would say 10 but the conference center is really, really cold so 8.</t>
  </si>
  <si>
    <t>#10 everything is great, only one Comment : bath towels etc can be a little softer. Room was very clean.</t>
  </si>
  <si>
    <t>Yes! Can you have a couple of waters sent to my room if possible ? No rush but sometime today</t>
  </si>
  <si>
    <t>(1/2) Yes everything is going well, we just finished our tour with Hilton Grand Vacation Club, and now waiting on the shuttle to transport us back to the Elara. (2/2) We rate you all at a 10!</t>
  </si>
  <si>
    <t>#4 ‐we had a big waterbug in the room which we saw at 1:45 in the morning. We were relocated to another room.</t>
  </si>
  <si>
    <t>**Probably alert-worthy** ‚Äî The message signals an unresolved issue that has persisted for an extended period ("hours"), suggesting a real service failure or ongoing problem. However, there's no detail on *what* the issue is (noise, maintenance, staff, safety, etc.) or its severity, so it's unclear if it rises to a "definitely" level. A Manager would likely want visibility that something has been unresolved for hours, but Front Desk should first clarify the nature of the issue to determine urgency.</t>
  </si>
  <si>
    <t>#1503 needs bath amenities, please. Boys taking a shower a couple times a day, and need more shampoos and body washes. Thank you, Marvin.Scale 9</t>
  </si>
  <si>
    <t>that is the only one that is partially shaded</t>
  </si>
  <si>
    <t>0 - my account was hacked so I hope they enjoyed their stay at my expense</t>
  </si>
  <si>
    <t>(1) Here with two children and no pool chairs and hard to get food. Appears the resort is not prepared to handle the guests.</t>
  </si>
  <si>
    <t>(1/2) So far so good. Room is nice/comfortable. I think they forgot to clean the refrigerator bc there was a coke bottle and some ice in there but other than t (2/2) hat, it's a nice stay so far</t>
  </si>
  <si>
    <t>Extra bath towels, bath,facial, and wash cloths.a couple of wine glasses</t>
  </si>
  <si>
    <t>I'm doing well my checkout is Tuesday thanks</t>
  </si>
  <si>
    <t>(1/2) 9 it would be at 10. But I had dessert last night at the bar. And it didn't go as well as I had anticipated. The server did a great job of recovering the (2/2) situation. In that my food was a little bit on the cold side and instead of it being hot. But all is well</t>
  </si>
  <si>
    <t>10 can u Clean the room New towels plz</t>
  </si>
  <si>
    <t>Very nice so far. Thank you for checking</t>
  </si>
  <si>
    <t>Everything is going well thank you...right now I'll Rate the stay an 8.5 because we need more towels</t>
  </si>
  <si>
    <t>**Definitely alert-worthy**
 Rationale: A low satisfaction score (2/10) paired with a specific, serious incident ‚Äî a false fire alarm at 1:48am forcing a full building evacuation and ruining the guest's sleep. This is a safety-system event affecting potentially all guests, not a routine complaint. Manager needs real-time awareness of the alarm malfunction/incident and the guest impact, both for life-safety follow-up (is the system faulty and needs urgent inspection?) and to manage the dissatisfaction it caused.</t>
  </si>
  <si>
    <t>(1/3) 9. So far everything has been wonderful. The staff is especially hospitable. Thank you so much! The only complaint i have had is the a/c in my room (10365 (2/3) ) does not seem to be working correctly. However, it has stayed right around 71 degrees, so i haven't said anything. I generally like it a bit cooler thou (3/3) gh.</t>
  </si>
  <si>
    <t>3! First I stood at checkin for over 20 minutes. Secondly, the person at the stand said once you are settled in come back and see me for a welcome gift. So I did and she wasn't there!! And my room is so hot!! I even opened the window ...</t>
  </si>
  <si>
    <t>7 Everything and everybody have been excellent. Reason for the 7 is the mask policy. Management should follow the science. Most other areas in Florida have cancelled the mask required policy!</t>
  </si>
  <si>
    <t>10 Our stay is awesome</t>
  </si>
  <si>
    <t>Very well. One of the managers from the Fisk will be inquiring as to a issue with dining charges to be reversed from our credit card and added to our room charges. Please let me know when and if this can be resolved. Also, might we have a humidifier delivered? Thanks again?</t>
  </si>
  <si>
    <t>No thank you! Everything is great!</t>
  </si>
  <si>
    <t>(2/2) hen vacuumed could use a freshener w it. Thanks so much! (1/2) 5, although to be honest sometimes when we walk into the room, it smells like slight cigarette smoke or stuffy. Have sprayed perfume before, not sure if w</t>
  </si>
  <si>
    <t>So for this has been the worst experience I have ever had at any hotel. Doesn't deserve a rating.</t>
  </si>
  <si>
    <t>**Definitely alert-worthy**
 Rationale: Multiple stacked service failures in one stay ‚Äî broken AC requiring a room change at 11pm, over an hour of unanswered room service, front desk repeatedly unresponsive (required 3 in-person visits), being directed to a broken vending machine, going to bed with no drinks, and then no towels the next morning. Guest explicitly states this is "the worst service and hotel we have stayed in" and notes they "travel often," signaling strong dissatisfaction and implicit comparison/escalation risk (frequent traveler likely to review or complain further). The combination of severity, breadth of failures, and strength of language clearly warrants Manager awareness now, not just routine Front Desk recovery.</t>
  </si>
  <si>
    <t>(1/2) I asked Sylvia for a bottle of complimentary bottle and she said NO!! To my understanding HILTON HONORS MEMBERS can receive complimentary water if availa (2/2) ble at that hotel. I'm really disappointed with the answer I received from her.</t>
  </si>
  <si>
    <t>1-10 Thanks It has been great</t>
  </si>
  <si>
    <t>Hi Yelitza. I would rate our stay an 8. The two things that bring down this beautiful room is location to the road and the ice machine. Both make this room noisy. Otherwise it is a very nice room.</t>
  </si>
  <si>
    <t>I did notice that the water fountains weren't working in the center lobby, I don't use/Purchase plastic bottles so it would be great to have areas where I can refill my canteen</t>
  </si>
  <si>
    <t>10. Thank you. Wonderful.</t>
  </si>
  <si>
    <t>-kalehua - the service i've recieved from u was a 10.. we had a great time that we stayed an extra night..lol. hopeing to return as soon as next month .. thanks and alohas . Mr gacutan and ohana..</t>
  </si>
  <si>
    <t>(1/3) Good morning Marsha, we're having a great time. We are scheduled to do our tour 1:30 and we are running late is there anyway you could let them know that (3/3) hank you (3/3) hank you</t>
  </si>
  <si>
    <t>0 - we were so repulsed by the room and the fact that the bathroom was not cleaned that we never checked in or stayed in the hotel</t>
  </si>
  <si>
    <t>(1/2) Oh it's going just great thanks for checking on us have a wonder (2/2) ful day ?</t>
  </si>
  <si>
    <t>"10" - Thanks Jay... all is great.</t>
  </si>
  <si>
    <t>"10" we are having a great stays. Thanks</t>
  </si>
  <si>
    <t>(1/2) Hi Andrea we are doing great. My husband and I give it a 10. In the room we were given first I believe I left my sun block. Hope someone can take a look f (2/2) or me. Thanks</t>
  </si>
  <si>
    <t>keep us going and tiring us out but thank you we do appreciate you asking</t>
  </si>
  <si>
    <t>#5. Great stay thanks. Checked out early. Be back on Feb</t>
  </si>
  <si>
    <t>Very good. Nice hotel. At least 8 so far!!</t>
  </si>
  <si>
    <t>(1/2) everything has been just great, (with the exception of the parking fee). 9. we are checking out and spending a couple nights at Excalibur. thanks for</t>
  </si>
  <si>
    <t>Doing well Thx... Actually could you pls. make reservations for us at Adobe at 8:30 PM ? Thx, Silvio</t>
  </si>
  <si>
    <t>(5) Thanks again, it worked great.</t>
  </si>
  <si>
    <t>(7) There were issues with the air conditioning, in the middle of the night we woke up sweating, a technician came and fixed it. Also, the television signal has been very weak, however I understand as we're experiencing bad weather. Overall it's been a good stay, thanks.</t>
  </si>
  <si>
    <t>I would give it a 9. Thanks for asking. Well be back</t>
  </si>
  <si>
    <t>Thanks it was awesome. I'd say it was a 10</t>
  </si>
  <si>
    <t>Hi... How do I get house cleaning while we are out for a few?</t>
  </si>
  <si>
    <t>It's great a 9. Thanks</t>
  </si>
  <si>
    <t>We are loving our visit. Any chance there's reservations tonight at the Mexican restaurant? We have four people</t>
  </si>
  <si>
    <t>Hello! We enjoyed our visit very much. Can we have assistance in loading our car right now?</t>
  </si>
  <si>
    <t>(5) Excellent. I had a pleasant night</t>
  </si>
  <si>
    <t>0. I checked out yesterday.</t>
  </si>
  <si>
    <t>9. Everything has been great. Nothing to report either way. Thank you</t>
  </si>
  <si>
    <t>-1...I had simple question. Text, email....no reply. 3 phone calls and no one bothered to pick up.</t>
  </si>
  <si>
    <t>No thanks! Thank you.</t>
  </si>
  <si>
    <t>8. Very nice. Do you have a guest laundry room? Thanks.</t>
  </si>
  <si>
    <t>0 - The toillet runs after flushing, clock is set behind, room is dusty &amp; there are 2 splatter stains on the headboard closest to the window &amp; several dark stains on the lamp shade. My Teen daughter used the stairs last night due to long elevator lines and because she had problems using it with the key previously and got locked out behind a door and my other daughter had to go find her after she called crying hystericaly. I spent my stay in bed, elevating and icing my knee and foot from a fall at the garage entrance, because we couldn't get a cart to bring everything in at once like normal and forgot something important in the car. I checked in online, but still was required to check in again in person and was given a less desirable room than I had selected online. The keys we used for the elevator didn't work on the room (others also had this issue). I was charged 3x the "pets" fee than in the reservation terms. The hotel cared more about getting an accident report than helping me.</t>
  </si>
  <si>
    <t>"10" thanks for checking in on us!</t>
  </si>
  <si>
    <t>We are great thank you!</t>
  </si>
  <si>
    <t>Very well. Gracias</t>
  </si>
  <si>
    <t>Can I please get another blanket and 4 face clothes.</t>
  </si>
  <si>
    <t>10, we've checked out. Thanks!</t>
  </si>
  <si>
    <t>My stay was great! I checked out a couple hours ago.</t>
  </si>
  <si>
    <t>(10) is the # Your establishment is Breath taking!!!</t>
  </si>
  <si>
    <t>10 thank you . its,great</t>
  </si>
  <si>
    <t>0. Your place is a shit hole!</t>
  </si>
  <si>
    <t>May need more regular coffee</t>
  </si>
  <si>
    <t>5 nothing is open in the holiday</t>
  </si>
  <si>
    <t>Everything is perfect so far. Thank you so much</t>
  </si>
  <si>
    <t>0 it's been horrible</t>
  </si>
  <si>
    <t>You have the wrong number</t>
  </si>
  <si>
    <t>"10".....thank you. Stepping out for a few hours.....ready for room cleaning when available. Hope you have a great day Douglas.?</t>
  </si>
  <si>
    <t>I would have loved to have a late check out considering check in for the next guest isn't until 4pm, but the front desk told me I couldn't request a late check out</t>
  </si>
  <si>
    <t>Well, we could use a larger skillet, or another small one so we can cook a meal or two in our room. And another cookie sheet please. Room 3504. Thanks, Dale Marino do</t>
  </si>
  <si>
    <t>-All personnel encountered 10 -room cleanliness 10 -as an elite premier I did not think I would be house next to mechanical room attached to master bedroom &amp; the noise associated. Rate a 4 cause I don't complain much</t>
  </si>
  <si>
    <t>"4" Dunn remote room 17-152 remote does not work. This Mr. Johnson his coworker, my room is great room 12-179 thanks for checking.</t>
  </si>
  <si>
    <t>0 no hot water or parking</t>
  </si>
  <si>
    <t>2 Everything was fine and all but the whole no hot water in the morning ruined it. If im paying $130 a night i think its fair to expect the basic amenities to work.</t>
  </si>
  <si>
    <t>(1/3) My observation..house keeping needs some quality control. Floor is dirty however look clean. Dust buildup on top of refrigerator, rust on utensils and can (2/3) opener, trash and dust behind living room dresser, just to name a few. As well, I need clear explanation of what denotes 3 BDR Plus. I do not think i hav (3/3) e two 3BDR Plus units. One yes the other no.</t>
  </si>
  <si>
    <t>We are good! Thank you!</t>
  </si>
  <si>
    <t>We have small black bugs in the rooms and the bathtub in room 2211 doesn't drain properly. Food at nui very mediocre not Many food choices Can't get a chair at the beach to sit in.</t>
  </si>
  <si>
    <t>"10" It's wonderful! Thank you for checking</t>
  </si>
  <si>
    <t>(8) Have you heard anything about the room?</t>
  </si>
  <si>
    <t>Only slight problem there is a foul smell in the room smells like something died. As we come inside the door. We noticed it more today after we had breakfast and came back in. I have to put perfume. Right now we are out and about looking at all what the city has to offer.</t>
  </si>
  <si>
    <t>My room is a 10 for sure! Spending the day out with old buds and will have dinner with my sister. Are there any late night places in the hotel open for cocktails? Thx</t>
  </si>
  <si>
    <t>(1/2) Id have to break it down. Some staff 5. some -100. Pool needs atttention. Did not swim today. Hair or something is in the shallow end. Parking 25 per day (2/2) per car. That was 75 for our friends for one night and us for 2. Thats a lot! Wouldnt mind getting that credit. But all in all good trip.thanks.</t>
  </si>
  <si>
    <t>Not leaving until tomorrow</t>
  </si>
  <si>
    <t>(1/2) Up until receiving this text it was a 5. Nathalee at the front desk is amazing! This is my favorite hotel in sobe. If you'd like some feedback, I would (2/2) say the elevators need some updating. The wifi is great but a little slow.</t>
  </si>
  <si>
    <t>"10!" We are loving the Boca Beach club - thank you!</t>
  </si>
  <si>
    <t>0It's been great! 10 for sure!</t>
  </si>
  <si>
    <t>-0 . Horrible. Checked out early and decided to go elsewhere. Room was dirty. Found others personal items in room.</t>
  </si>
  <si>
    <t>We'd like a late checkout tmro plz?</t>
  </si>
  <si>
    <t>(1/4) Hi Jeff. I did not stay at the Holiday Inn. There was some kind (2/4) of confusion I guess about the phone number. You are looking for (3/4) someone named Mr Parsons and this is not his phone number. Mayb (4/4) e check with Angela and David☺</t>
  </si>
  <si>
    <t>-1 worst stay I have ever had at a Hilton I will never be back</t>
  </si>
  <si>
    <t>(1/2) So far so good. I would give it an 8. Not enough pots and pans, outside windows are dirty, and furniture and window seals are a little dusty. Other than t (2/2) hat, things are good. Beds and restrooms are good.</t>
  </si>
  <si>
    <t>(1/2) Hi!!! Carolina!! Thanks for the text message. I am the guest that you spoke to on the phone on Monday about getting a higher floor for our anniversary!! (2/2) Thanks for the follow-up</t>
  </si>
  <si>
    <t>-10 I'm not happy with this room. Furniture is ripped. The bathroom is too small. Room is too small. Appliances are old and stained. No desk to work. Why is there no King Bed Studious? Stayed at the Trump property 2019 much better accommodation. Mr. Massey</t>
  </si>
  <si>
    <t>Very well 8.75 thanks. Not sure on departure time Thursday yet.</t>
  </si>
  <si>
    <t>(1/3) 5 room is great and when I asked for bedding was great. But I had lost luggage show up and no one called me. Now I understand if it came in the middle of (2/3) the night but the next day around 8 or 9 seems understandble. I had to call sown to see if it was there. They did deliver up to my room promptly, just not (3/3) so happy that I had to track it down when it was down stairs the whole time</t>
  </si>
  <si>
    <t>Thanks! We just locked ourselves out of our room..can we get someone to open the door? 723?</t>
  </si>
  <si>
    <t>Very good! Thanks for replenishing my coffee! Do you need reservations tonight at the restaurant?</t>
  </si>
  <si>
    <t>0 out of 10 I cannot believe the amount of money needed to be put on hold for 2 rooms for 2 nights its ridiculously excessive</t>
  </si>
  <si>
    <t>The water cooler at the bar needs to be refilled... The bar outside needs more servers... This is a busy week...you need more personnel working.</t>
  </si>
  <si>
    <t>work and has no power at the controls, the coffee maker was not wo</t>
  </si>
  <si>
    <t>(1/2) We're not at the room right now, but our shower drains very slow. Can you please have someone come and take a look at it? Also is it possible to get more (2/2) towels? Thank you</t>
  </si>
  <si>
    <t>0 our room smells like sewer and there's nothing no one can do</t>
  </si>
  <si>
    <t>0. We checked out the same night that we checked in. Terrible experience.</t>
  </si>
  <si>
    <t>Hi Kathleen no it was a great experience I didn't get a chance to check out thank you so much I would give the experience and 11 out of 10 ??</t>
  </si>
  <si>
    <t>"3" today our reservation for a cabana was not honored even though after confirming twice with the front desk.... evidently the front dest and cabana reservations representativenot communicate.. i have lodged a complaint with HH Lifetime Diamond member representative. Very unimpressed with VIP Concierge services ...</t>
  </si>
  <si>
    <t>Very good - thank you.</t>
  </si>
  <si>
    <t>(1/2) 4 -1 point for missing hotel info in room, ice machine empty and not producing ice and floors not properly clean. Beside that I had a fantastic night. (2/2) Every employee I saw did a great job and was very friendly.</t>
  </si>
  <si>
    <t>An you guys clean my room after 5pm</t>
  </si>
  <si>
    <t>getting someone else's razors. Lol</t>
  </si>
  <si>
    <t>Everything is great so far. Thank you</t>
  </si>
  <si>
    <t>-1,,, lol,, its going great</t>
  </si>
  <si>
    <t>Enjoying our visit tremendously</t>
  </si>
  <si>
    <t>"5" as always This is an Awesome and helpful feature you offer Than k you?</t>
  </si>
  <si>
    <t>"8" thank you for asking. Wish luggage delivery and in room dining were faster. Also, wish the pool table is available earlier in morning.</t>
  </si>
  <si>
    <t>It's going great we are staying anther night</t>
  </si>
  <si>
    <t>"4" I wish there Bacon ? on your Continental Breakfast. Overall we love this Hotel</t>
  </si>
  <si>
    <t>the history? Just curious. Have a lovely day!</t>
  </si>
  <si>
    <t>Iiiiii I'm</t>
  </si>
  <si>
    <t>an option for an evening appetizer. The room is great and representatives are nice.</t>
  </si>
  <si>
    <t>Everything is great. 10</t>
  </si>
  <si>
    <t>Hi Marie, thank you for checking in. Unfortunately my husband got food poisoning from your restaurant we ate at yesterday, I just got back to our room and the room is not cleaned yet, do you know what time they usually clean as we need some fresh towels</t>
  </si>
  <si>
    <t>Good afternoon. Will someone be available to clean up our room? we forgot to remove the "privacy please" sign outside the door.</t>
  </si>
  <si>
    <t>Hello. My room has not been made up today. Could you please ask housekeeping to do so before 4pm? Thanks</t>
  </si>
  <si>
    <t>is invalid. I apologize if I could have asked for towels on there. Is there a menu where we can order food to the room?</t>
  </si>
  <si>
    <t>5./No house keeping for today but thank you. Maybe tomorrow after 1000 am if possible.</t>
  </si>
  <si>
    <t>Hi I am locked out of my room</t>
  </si>
  <si>
    <t>0 We left Very disappointed</t>
  </si>
  <si>
    <t>Can we request a ride to the front</t>
  </si>
  <si>
    <t>(1/2) 5 . And if I could go to 10 I would .I love this hotel it's the first hotel that im not afraid of how clean it may or may not be everything looks ama</t>
  </si>
  <si>
    <t>Thank you- but we had to cancel this reservation.</t>
  </si>
  <si>
    <t>10 Is my 12$ a day credit being applied to my account?</t>
  </si>
  <si>
    <t>) - need easier access parking spots 4) fix cracked sinks, leaky faucets All else was wonderful, thanks. 9 The following could make it a 10: 1) add a lazy river and/water slide 2) open Adobe Grill on all nights 3) parking was a bit too far from our room (669</t>
  </si>
  <si>
    <t>01/02:It's going well. Thank you for asking. Only 2 requests: 1). My toilet seems to be running non-stop. 2). I did not receive bottled water at check-in. 02/02:May I get a couple of bottles in my room? Thank you for reaching out.</t>
  </si>
  <si>
    <t>#7, we are finding it difficult to enjoy our stay with so many people ignoring the mandatory mask mandate. In particular it would be nice if someone made sure that parents and children were wearing masks at the playground.</t>
  </si>
  <si>
    <t>I enjoyed your "welcoming committee" Nicolas, Meller and the front door coordinator's hospitality. Again, the lounge attendant for our dinner last nig</t>
  </si>
  <si>
    <t>(1/2) It is great. (5) Some configuration suggestions. 1. TV is too far away to enjoy from the bed. Perhaps place on a swivel on desk. 2. Toilet paper is (2/2) hard to pull out...so close to the toilet and behind you.</t>
  </si>
  <si>
    <t>Wonderful. Is it possible to have housekeeping drop off more coffee?</t>
  </si>
  <si>
    <t>7.....they were supposed to clean our room today and did not. It was very disappointing. We went away all day just so they could do without us here. Then when I called they delivered some stuff but not all we needed. They did not take the old towels so they are stacked in a corner. Not good. Otherwise it is a beautiful place to stay.</t>
  </si>
  <si>
    <t>08563 Kevin Wilson car please</t>
  </si>
  <si>
    <t>! 5 thank you so much for a great stay? I meant</t>
  </si>
  <si>
    <t>Can we get some more bath towels please and trash bag for our trash</t>
  </si>
  <si>
    <t>Everything is great! 10!</t>
  </si>
  <si>
    <t>#10. Excellent thanks a lot!</t>
  </si>
  <si>
    <t>Been a great time so far . Question ? Does the sledding hill have a tow rope ?</t>
  </si>
  <si>
    <t>(1/2) Hi Stephanie We had a great stay Thank you so much for your serv (2/2) ice! Rate 5 ☆☆☆☆☆</t>
  </si>
  <si>
    <t>0 I stayed at my house last night. My meeting got canceled and you would not let me cancel my room so a ghost stayed in the room or you gave it to someone else.</t>
  </si>
  <si>
    <t>Nothing right now but later I will text with a request or two</t>
  </si>
  <si>
    <t>"5". Everything was wonderful. Thanks!</t>
  </si>
  <si>
    <t>###5555 Awesome! Thank you so much</t>
  </si>
  <si>
    <t>My husband says "7." First there are a couple things not working in the lock-off double queen room...one of the plugs on the wall between the beds isn't working &amp; therefore the plugs on the right side of the bedside table aren't working &amp; the exhaust fan in that rooms' bathroom isn't working. Secondly, our next door neighbors have come home after midnight extremely loud, showing no courtesy that someone might be sleeping. And lastly, to give over an hour of our time for our HGV Owner’s Update to only receive 2 $15.00 tickets to SeaWorld (which has many things closed right now) &amp; a meal ticket we were told we could use anywhere. Turns out we couldn't use it at the restaurant we wanted to eat at (&amp; I actually could eat at because of gluten intolerance), it seems misleading &amp; that our time is not very valuable to HGV.</t>
  </si>
  <si>
    <t>It's great! Thank you 5</t>
  </si>
  <si>
    <t>0 out of ten. Fuckin place sucks!!!</t>
  </si>
  <si>
    <t>. electronic key doesn't work on mobile app. but overall ok</t>
  </si>
  <si>
    <t>#10 all the way! Everything was perfect. Thanks for your assistance at the hotel.</t>
  </si>
  <si>
    <t>Everything has been great! Thank you for checking</t>
  </si>
  <si>
    <t>-6. Just kidding.... it's been great. 4.5. Not your fault, but if pool was open, would be 5!!</t>
  </si>
  <si>
    <t>reservation. Did honor it. Phoned to ask where ice was, we were told it was in between the room we were in and the elevator. Ice not even on our floor.</t>
  </si>
  <si>
    <t>service last night. And the popcorn snack ordered later tasted li</t>
  </si>
  <si>
    <t>(2)The hotel was subpar with old blankets and robes with holes on them. Very old looking rooms and we ended up leaving the next day. We were supposed to stay 5 nights. The upside would be the staff. They were great and tried to be accommodating.</t>
  </si>
  <si>
    <t>Been great. Thank you.</t>
  </si>
  <si>
    <t>Am we check in early today?</t>
  </si>
  <si>
    <t>i just checked out but it was a 10! thank you</t>
  </si>
  <si>
    <t>Sheets smell bad so do towels</t>
  </si>
  <si>
    <t>-1 I'm disappointed at the miss communication. I was told i was getting a free breakfast not a 90 min mandatory sit down pet talk</t>
  </si>
  <si>
    <t>Solid 9! The tv/cable leaves a bit to be desired.</t>
  </si>
  <si>
    <t>0 the guy told me to put a mask on without saying please</t>
  </si>
  <si>
    <t>We're having a lovely time thank you for checking</t>
  </si>
  <si>
    <t>Thank you for the information</t>
  </si>
  <si>
    <t>(1/2) Well everything is ok ....Expept the bed is like Concrete!!.....wife and I had a miserable nights sleep up the entire night to be honest....not to happy (2/2) still haven't left the room due to being exhausted....4</t>
  </si>
  <si>
    <t>(1/2) Great so far. Thank you for the coffee machine. Bumped it up to</t>
  </si>
  <si>
    <t>No thank you everything is great appreciate you checking</t>
  </si>
  <si>
    <t>It's a 10 so far 10 being the top although room little cold near the window</t>
  </si>
  <si>
    <t>0 because my car window got busted &amp; my feelings are extremely hurt ? . Service of hotel , staff, &amp; room was a 10 .</t>
  </si>
  <si>
    <t>0 this a wrong number is I am in Michigan</t>
  </si>
  <si>
    <t>Can we have 4 coffees and 4 waters? Please and thank you.</t>
  </si>
  <si>
    <t>I left yesterday. Checked out. Hope I'm not being charged</t>
  </si>
  <si>
    <t>(9) So far so good. Thank you</t>
  </si>
  <si>
    <t>(1/2) 8....only because we asked a robe yesterday that wasn't delivered. Hopefully, it'll arrive soon since we asked again. And another note, at the Geneva club (2/2) , the tables could be better kept free from previous used tableware. Thanks for asking.</t>
  </si>
  <si>
    <t>Hi I already left the hotel I checked out this morning so I am not there anymore</t>
  </si>
  <si>
    <t>"10". Will we get a free night? LOL.</t>
  </si>
  <si>
    <t>(2/2) spy pieces falling off (1/2) Good morning! My stay had been SUPER! There is one concern as of right now... The front of the iron is burnt. Making it kind of hard to use with black cri</t>
  </si>
  <si>
    <t>"5"so far so good Thank You!</t>
  </si>
  <si>
    <t>###0000 super thanks Alex</t>
  </si>
  <si>
    <t>***** loved it thanks you 5</t>
  </si>
  <si>
    <t>(1/2) 9.5 - only issue is the baking sheet for the oven. I like to bake bacon to cook it. There is no lip on the sheet so the baking sheet can be used for that</t>
  </si>
  <si>
    <t>are texting the wrong person here and I am just having fun with you. Lol.But sounds like Ms. Gonzales has got a great service. Let me know if I can be h</t>
  </si>
  <si>
    <t>We are good! Thank you</t>
  </si>
  <si>
    <t>10...we are headed home</t>
  </si>
  <si>
    <t>0 Blessings, Pastor Frank Jones, GWCF</t>
  </si>
  <si>
    <t>(1) Please allow me to ask if the dryer vent has been repaired. My son needs to do laundry. (2) Please provide fresh towels for second bathroom.</t>
  </si>
  <si>
    <t>#10, but we do need clean towels, shower towels, face cloths &amp; kitchen towels. Thank you.</t>
  </si>
  <si>
    <t>(10) Yes Can you please send Mr.Kevin for my Departure tomorrow</t>
  </si>
  <si>
    <t>(1/2) 5 and you would have received a higher score but there was glitter on our pillow cases and your downstairs restaurant needs a lot of help. Personalities (2/2) need to be applied to staff. Thank you.</t>
  </si>
  <si>
    <t>Why am I getting this message when the stay was fraudulent and should have been canceled last night???</t>
  </si>
  <si>
    <t>0. I did not stay here. Please let me know who did that is using my phone number</t>
  </si>
  <si>
    <t>and we were told that there's a balcony but no balcony.</t>
  </si>
  <si>
    <t>no. not our best time here. nye celebration 6pm ends at 9pm pool and play area closes at 10pm. just bc it is covid u could still do bingo or the phone app triva games. bands could be at the pool. we are elite and was told only building 11 would allow sight viewing for fireworks but building 2 or 3 look like the have partial viewing. we got a 500 point credit back but still. disappointed to say the least and we come here every year.</t>
  </si>
  <si>
    <t>! Enjoy your day as well.</t>
  </si>
  <si>
    <t>We got here really late on Sunday and paid an extra night to stay here. Could we please get a late checkout on the 31st. I was hoping for 3:30 pm</t>
  </si>
  <si>
    <t>(1/2) Hello, so far the stay has been ok. Thanks for the Babymoon gift. It was very thoughtful. My wife was a bit disappointed that champagne was included, whi</t>
  </si>
  <si>
    <t>A little confusion at the market/gift shop. When we checked in she told us we could get coffee and fruit in lieu of a breakfast. That was not the case.</t>
  </si>
  <si>
    <t>To be honest our stay has been a 3, we had mixed up reservations at jet ski and little trouble here and there. As a diamond member expect better</t>
  </si>
  <si>
    <t>Great thank you. One thing for sure is this couch in the living room has had it, definitely need replacing. It sinks in so bad in the middle when sitting, it's a back killer. It also has strains on the head part, but besides that all is well.</t>
  </si>
  <si>
    <t>Checked out at 8 am. Stay was wonderful. Thank you</t>
  </si>
  <si>
    <t>9 (except for the cold)</t>
  </si>
  <si>
    <t>(1/3) Afternoon Lessie all is well. We don't need the room clean but (2/3) we can use more towels. And bags for garbage. Maybe some (3/3) complimentary fruit/ water.???</t>
  </si>
  <si>
    <t>I can't find Parc Soleil</t>
  </si>
  <si>
    <t>Going well thank you !</t>
  </si>
  <si>
    <t>(1/3) Everything is fine. Thank you for sending the coffee maker, in fact two were sent to my room. One was delivered while I was in the room, and the second wa (3/3) kers in this room. Please feel free to take one back. I don't need both. Thank you again.</t>
  </si>
  <si>
    <t>He led out this AM - thank you</t>
  </si>
  <si>
    <t>#3 We were very grossed out by the two mounds of dirty towels that were in our bathroom upon arrival. In this time of COVID it doesn't give us confidence that "every surface has been sanitized." Further, the water in the shower was not hot enough. I prefer a hot not warm shower. And my wife was very uncomfortable with the temperature of the water. Third, not enough towels are provided. We had to ask for more because they are so thin. Fourth, you supply coffee but make no provision for tea drinkers. You could easily supply a few tea bags. These are the reason for the low rating.</t>
  </si>
  <si>
    <t>Thank you Martin ! We had a blast</t>
  </si>
  <si>
    <t>(1/2) Unfortunatley yesterday was a little tough. Check in was delayed over an hour. They said it was because I had requested extra towels for our room. Eventua (2/2) lly they had to switch the rooms so they didnt get into the room until around 530. Hoping for better today. Thanks!</t>
  </si>
  <si>
    <t>051816 Pls bring up the car.</t>
  </si>
  <si>
    <t>"10". Stay was excellent thank you so much !!</t>
  </si>
  <si>
    <t>0. I checked out early due to the parking fees. I looked on the Hilton website there is no mention of parking fees. And when you book the room and get the cost of my stay there is still no mention of the parking fees</t>
  </si>
  <si>
    <t>Can you tell me how many points that I have Hh#666407249 Thanks</t>
  </si>
  <si>
    <t>. It's been a beautiful stay here but FYI our bathtub does not stop leaking it runs so you need to send a plumber up here after we leave</t>
  </si>
  <si>
    <t>0 - you guys didn't not let us stay there because it was not essential</t>
  </si>
  <si>
    <t>(1/2) 4.5!! Most comfy beds ever!! Loved the bathroom (especially make up vanity) very friendly staff! ! 1/2 point lost for not a good room view. (But we did u (2/2) se priceline.com) Would be back again. Thanks!</t>
  </si>
  <si>
    <t>Hi this is Miss Lawson trying to get a cab to Justice Center For a marriage license</t>
  </si>
  <si>
    <t>I did not realize we had the hotel to ourselves. Everything is great. 10 Btw did I hear correctly that breakfast is at lavasso? Is that the free breakfast? Maybe I misunderstood.</t>
  </si>
  <si>
    <t>(2/2) ticed there was a minor smell in the hallway this morning...not pleasant. (1/2) 4 So far the only suggestion I would make is to offer free bottled water. I am a huge water drinker, and I don't want to pay for high-end water. Also I no</t>
  </si>
  <si>
    <t>OK and thank you so much</t>
  </si>
  <si>
    <t>(1/2) So far so good.. I would like to recommend an in-house hot full breakfast for your guests. Coming in for a work trip that is time critical. We don't have (2/2) time to look for restaurants or in town..</t>
  </si>
  <si>
    <t>"9" I jus reluctant to give 10s!</t>
  </si>
  <si>
    <t>(1/2) Hi Tisha.Everything so far has been relaxing. Strange thing last night. We came down to celebrate our birthday 's, put our order in, waited for an hour o (2/2) r so, and nothing. The waiter disappeared. He didn't even take the menus he left with us.</t>
  </si>
  <si>
    <t>Inspirational--went up to my burn--1i called the number but it was wrong--</t>
  </si>
  <si>
    <t>(1/3) It was a definate 5. Thanks in the most part to your very custom (2/3) er oriented employee Kelly. She deserves a pat on the back. Good (3/3) job Kelly. ????????????????????</t>
  </si>
  <si>
    <t>(3). Dirty tub filled with hair last night. Door lock does not work.</t>
  </si>
  <si>
    <t>5 is excellent !!! We don't anything for today so far !!!</t>
  </si>
  <si>
    <t>"Steele Cut" oatmeal and some whole wheat toast. Both were cold. The toast was rubbery?? The butter did not melt at all in either. I'm thinking it was sitting Hello Brandi! The room, the service has been excellent! I had breakfast this morning and Isaac was exceptional. Just a comment on the food: I ordered the in a tray or something because it came out fast. No big deal because I was in a rush to get to a meeting. Maybe someone could look into that. Otherwise we plan on staying here next year. Coffee was hot and good. Thank you. Roger Castro</t>
  </si>
  <si>
    <t>0-1 I messaged at 10:57 received an answer at 2:30</t>
  </si>
  <si>
    <t>Aloha, Thank you so much for your hospitality these past two days. I have decide that I would like to extend my stay for one last night. I have noticed that there are four charges pending on my credit card 146.23, 186.47, 199.97, and 396.20</t>
  </si>
  <si>
    <t>Good afternoon.. can I ask to bring my car from valetparking</t>
  </si>
  <si>
    <t>My stay is definitely NOT a 10. I wish I was told the room would be wheelchair accessible. The height of appliances in the kitchen, the appearance of the bathrooms with so little countertop space, this all detracted form the Hilton experience I have been used to. That has been disappointing.</t>
  </si>
  <si>
    <t>(1/3) The stay is very nice, thank you. Just a few suggestions, while talking earlier today both my wife, Dr Arden and Lisa feel a restaurant on the property wo (2/3) uld be nice and the food in the basement made freshly like the salads, pizzas and so would also be appreciated not only by us but I believe by many of you (3/3) r guests.</t>
  </si>
  <si>
    <t>0! An absolute 0. Never again</t>
  </si>
  <si>
    <t>If they could clean the room today it will be wonderful! Housekeep got to late to our room and we were napping</t>
  </si>
  <si>
    <t>(1/2) Its great so far..but we hate the fact that we have 2 small beds instead of just one for me and my wife. Would love to hold my wife at night and its kind (2/2) of ruining the experience</t>
  </si>
  <si>
    <t>Can we please get some more coffee for the keurig. Thanks</t>
  </si>
  <si>
    <t>10! Would you mind having our charcuterie tray delivered around 3:00 today?</t>
  </si>
  <si>
    <t>Buenas tardes. Sorry, just getting up. So loving my room. Muchas Gracias, Enrique.</t>
  </si>
  <si>
    <t>(1/2) So far everything is good but i will like to make a suggestion. . Complimentary Salt and Pepper for each room. A lot of us owner forget salt and pepper. I (2/2) t is a small cost.</t>
  </si>
  <si>
    <t>"5" staff is world class. Facilities and services are among the best we have ever experienced. Thank you for checking in.</t>
  </si>
  <si>
    <t>(1/2) going great.... just chillin ... if you can, notify housekeeping we need no service this morning, however we will need sweet-n-low and creamer please.... (2/2) thank you</t>
  </si>
  <si>
    <t>5 I got called in on a conference call with my job so I had to cancel my tour and you wouldn't reschedule for me.T his includes me being locked out of my room and the police being called to my floor.</t>
  </si>
  <si>
    <t>(( 10 )) Everything was Great Ty</t>
  </si>
  <si>
    <t>"10" thank you Brenda for your dedication</t>
  </si>
  <si>
    <t>10. Is there a way I can have some decorate my room for my wife before we come back from our outting. I have the stuff I want them to use to decorate.</t>
  </si>
  <si>
    <t>(1/2) Everything is great down inside the conference hall. We are sponsor exhibitors and i requested a late checkout today and was told 4pm is cool. Just want t (2/2) o verify as we will need a bit of time to pack up our things.</t>
  </si>
  <si>
    <t>9' so far. Thanks for asking!</t>
  </si>
  <si>
    <t>It's all been good. I would put it as an eight. I'm also waiting for a FedEx. If you could please notify me when it comes in. Thank you for checking in.</t>
  </si>
  <si>
    <t>thank you I'm ? fine.</t>
  </si>
  <si>
    <t>Could i get some more bath products and some tooth paste?</t>
  </si>
  <si>
    <t>(231) 510-2161 Can you text this number it is my dads. I am the one that made the reservation for my parents.</t>
  </si>
  <si>
    <t>"10" also may I request some more coffee for our room?</t>
  </si>
  <si>
    <t>#6. Just wish the room had a bigger refrigerator</t>
  </si>
  <si>
    <t>Hi I modified my stay</t>
  </si>
  <si>
    <t>Would like another 2 boxes water :) Do I get a drink voucher for each night ? Everything ok otherwise</t>
  </si>
  <si>
    <t>Had a tough night because of the loud machine noise.</t>
  </si>
  <si>
    <t>Small issues adding up. 1. At check in waited longer in elite check in then regular check in line. 2. Confirmed amenity for son's birthday- still have not received 3. Bed linens on one bed appeared not to be changed, called housekeeping and changed at 9 ish 4. No dish towel 5. No towels at pool on Friday 6. Usually receive a sheet with activities on property for the week, like owners reception on Tuesday- didn't receive anything.</t>
  </si>
  <si>
    <t>0 because I told you this isn't Ely yet you still text this number</t>
  </si>
  <si>
    <t>#A 10 until last night the room next door had a party and 2 phone calls to security and an hour and a half later around 2:30 am they finally calmed down t</t>
  </si>
  <si>
    <t>###0000 i don want to leave</t>
  </si>
  <si>
    <t>been doing great thank you so much.</t>
  </si>
  <si>
    <t>(1/2) Everything is going well. I give it a 9 . My television has been acting up since I arrived. Once that issue is cleared up I am sure I will be rating you a (2/2) 10. Thanks for the communication Megan.</t>
  </si>
  <si>
    <t>Very good but there is only one server at the pool and she is very over worked</t>
  </si>
  <si>
    <t>"YES" to previous msg</t>
  </si>
  <si>
    <t>(1/2) Good morning Kaci, thank you for checking in. I have a question about the thermostats. Even when I increase the temperature to 80, there is cold air comin (2/2) g out of the fans. I turned everything off last night and used extra blankets.</t>
  </si>
  <si>
    <t>#8. I am disappointed yo see the gift shop closed and the Vending machines also not working. ?</t>
  </si>
  <si>
    <t>9, you guys are awesome except I never got the washclothes I asked for yesterday.</t>
  </si>
  <si>
    <t>#2 fire in room next door ! No breakfast as advertised Selected this hotel specifically because of the breakfast. May look at different accommodation for our next visit.</t>
  </si>
  <si>
    <t>(1/5) 8 I'm able to get a good night sleep. This is hard for me. I (2/5) have chronic back pain and normally sleep eludes me. But here I (3/5) have achieved a good night sleep. Thank you for your concern on (5/5) what's is on the Tele. (5/5) what's is on the Tele.</t>
  </si>
  <si>
    <t>with one phone not working, the bathroom fan not working. the room and bed is comfortable</t>
  </si>
  <si>
    <t>Can I have a late checkout?</t>
  </si>
  <si>
    <t>Towels felt like sand paper, besides that I'd give it an 8</t>
  </si>
  <si>
    <t>5. Thanks Milerne and Merry Christmas!</t>
  </si>
  <si>
    <t>(1/2) I appreciate the perseverance, but we literally checked in around midnight and were out by nine. So, I have nothing to rate yet. I CAN tell you that the</t>
  </si>
  <si>
    <t>i would appreciate a call</t>
  </si>
  <si>
    <t>01380 Leonard Serrano</t>
  </si>
  <si>
    <t>For the most part wonderful did have a few concerns / issues I would like to address</t>
  </si>
  <si>
    <t>#10. Love this hotel</t>
  </si>
  <si>
    <t>0.... I'm pretty sure my girlfriend got bit by bed bugs in room 102!!!!! You should really look into it</t>
  </si>
  <si>
    <t>0. Subpar. 1) Shower tub drain was clogged, had to call 2x to get resolved; 2) There is a constant noise from maybe the elevators that is extremely annoying; 3) A/C is not that cold.</t>
  </si>
  <si>
    <t>(1/2) Hi Isabel...my stay is going great and rate a 10. Just want you to know that I usually do not have my room cleaned unless needed, so my do not disturb s</t>
  </si>
  <si>
    <t>. Not so good. We did move to a much better room but the linens were wet and heavy. We removed the linens and placed them outside of our room. Replacements were sent up 3- sheets and a blanket. Not enough for 2 beds. So I called again and we got more sheets and 2 comforters. Then we made the beds I think the AC is not removing the moisture from the air</t>
  </si>
  <si>
    <t>(1/3) Aloha Michael, Love the room and the views. Being able to open both sliding doors for the ocean breezes is priceless. The bed coverings "3" ; ( Mattress (2/3) "7" No microwave but for a extra charge.... We both are very sensitive to perfumes and cleaning products, the room air was clear, thanks. The position t</t>
  </si>
  <si>
    <t>8 the bathroon is dirty bu the top lid</t>
  </si>
  <si>
    <t>(3) was to hot in room staying near the pool area. Maybe if there was air conditioner in the rooms. But it was ok when we got some fans. Thanks Roseanne</t>
  </si>
  <si>
    <t>.i got charged twice</t>
  </si>
  <si>
    <t>.had a few minor issues so far but probably an 8 service great but maintenance issues</t>
  </si>
  <si>
    <t>(2 rating) Unfortunately, we have been quite disappointed with our stay thus far. We walked into a dirty room that is also quite worn down with much disrepair - which I reported right away. Four hours later it was still not cleaned. Someone did come in once I reached out the second time, however they still left a lot of hair on the bathroom floor which we had to cover with towels just to get cleaned up for dinner. The bed cover is stained and the bed skirts shredded to say the least. I really expected better from the Hilton brand than this. I really do appreciate your efforts to check in with us but at this point, we will not be back. It shouldn't be this much effort to get a clean room in decent repair.</t>
  </si>
  <si>
    <t>Hey Yvette. Hot water isn't really hot but other than that great.</t>
  </si>
  <si>
    <t>Hey max could you have valet get my car ready please? I overslept and am extremely late.</t>
  </si>
  <si>
    <t>A 10. So far. Thanks for the info. Can you save a spot at upper pool for 4 today</t>
  </si>
  <si>
    <t>9 BUT we still need more shampoo.</t>
  </si>
  <si>
    <t>Hi with the rain we had to come back to the room. Could we reschedule for tomorrow</t>
  </si>
  <si>
    <t>"10" Thank you, everything was great</t>
  </si>
  <si>
    <t>0, call me at 360 989 7039, thanks</t>
  </si>
  <si>
    <t>(#5) your staff has been awesome thank you</t>
  </si>
  <si>
    <t>The view, beds and sleep are a 10. Room service Dinner last night was pretty crummy for the price. I'm happy to pay more for room service, but soggy fries and a lukewarm half-cooked burger was kind of sad. Never had a worse cheesecake.</t>
  </si>
  <si>
    <t>#10 great service. Thank you</t>
  </si>
  <si>
    <t>We are having a great time with a 10 being the score. Also we arranged to have a few items delivered this morning instead of cleaning the room. To be delivered about 9 am this morning. The items were papers towels and a f e packages of regular coffee. Could u check on that. Thank you Samantha</t>
  </si>
  <si>
    <t>(1/2) Our stay was a 10. Thank you so much have a great day yoursel (2/2) f ? Shiela</t>
  </si>
  <si>
    <t>Thank you Robert. Under the circumstances for my stay, everything has been great. I need to be at the Kremer funeral home for a 2pm service today. I've been trying to set up and Uber from here but it tells me that I can't set up time I need to use on demand. I just don't want to be late Does this sound right for Uber services around here. Room 3110 Thayer</t>
  </si>
  <si>
    <t>0!! There was NO REPLY!!</t>
  </si>
  <si>
    <t>. It's great here. Thank you</t>
  </si>
  <si>
    <t>.. thank you son much. This is a great service you offer, texting for info</t>
  </si>
  <si>
    <t>0 horrible we left a day earlier for ritz</t>
  </si>
  <si>
    <t>0 it was horrible. We were woken up in the middle of the night and put in handcuffs for no reason. I feel traumatized.</t>
  </si>
  <si>
    <t>. Write 20 minutes we're having an awesome time thank you so much for all the work you're doing</t>
  </si>
  <si>
    <t>to park and no one was greeting me to take over like I had expected. Chaotic and unorganized. The in room dining was ridiculously overpriced and nothing</t>
  </si>
  <si>
    <t>. Very pleased to see all the masks, social distancing and other precautions. Puts us at ease. We're off to High Tea today. Our only complaint is that F</t>
  </si>
  <si>
    <t>#10 wonderful, Thanks</t>
  </si>
  <si>
    <t>Everything went fine checked out early thank you for all your help</t>
  </si>
  <si>
    <t>"10" ... and I'm at my meeting, wearing your tie ?. Thanks again very much for the loan, it was perfect.</t>
  </si>
  <si>
    <t>booking this property because of the water parks. We made sure to call ahead and check with concierge who assured us the parks had reopened for the seas</t>
  </si>
  <si>
    <t>It's great 9/10 thank you</t>
  </si>
  <si>
    <t>First day has been great. Thank you for checking in.</t>
  </si>
  <si>
    <t>It's not bad but very loud with kids running up and down the halls yelling.</t>
  </si>
  <si>
    <t>(10) Always an excellent stay thanks so much</t>
  </si>
  <si>
    <t>Everything is going great. Am wondering if there is suppose to be a washer and dryer (?)</t>
  </si>
  <si>
    <t>(5) I'm good, thank you</t>
  </si>
  <si>
    <t>(10) Excellent, thanks you very much for your service Vikki</t>
  </si>
  <si>
    <t>Our dinner was delivered to our room without any silverware but I went down to get them. Snack tray was finally delivered after 18:00. I hope today we get them around 14:00 as they were on 7/30 and 7/31. We were going to stay here one more night but we decided not to and check out tomorrow.</t>
  </si>
  <si>
    <t>10. Thank you for a great stay</t>
  </si>
  <si>
    <t>10, did notice that the gas on/ off. Knob for the grill had falling off and needs to be repaired.</t>
  </si>
  <si>
    <t>5 all the way .. Thanks</t>
  </si>
  <si>
    <t>9. The ice in the freezer isn't producing enough ice.</t>
  </si>
  <si>
    <t>Hey! So far so good, 10.</t>
  </si>
  <si>
    <t>0 thanks to idiots at Samsung experience!!!!!!!!!!!</t>
  </si>
  <si>
    <t>chicken. She's still getting sick every 2 hours. Maybe have the</t>
  </si>
  <si>
    <t>9 The only thing I have a complaint about is, I needed to make a zoom call and moved a chair so I could take advantage of the wonderful scenery. When I moved the chair, I saw a bloodied q-tip under it. I used a glove and disposed it. I pulled the glove over it (for added protection) as I removed the glove to dispose of it in the trash. I bring this to your attention because Hilton is professing a "Clean Stay" but that should include dust mopping under the furniture,</t>
  </si>
  <si>
    <t>0. ZERO. Your information was incorrect. Not on ground level, on 2nd fl of garage itself.</t>
  </si>
  <si>
    <t>our breakfast) and the plug in the tub is a little wonky. I was able to fix it for now so it functions but the top part of the plug comes off in your h</t>
  </si>
  <si>
    <t>When is the pool bar open</t>
  </si>
  <si>
    <t>good, except for the toilet that wouldn't flush (now is fixed) and the left door of the closet not opening.</t>
  </si>
  <si>
    <t>agree paying for a higher bandwidth for business purposes, I don't agree that a Fairmont hotel would charge for any internet access while a Starbucks, T</t>
  </si>
  <si>
    <t>4 . I had problems checking in. The bedroom is very dusty and has been affecting my allergies.</t>
  </si>
  <si>
    <t>#5 The AC in room do not get cold, very hot at night</t>
  </si>
  <si>
    <t>Can some one pick us up at 281</t>
  </si>
  <si>
    <t>Well Margaret, it was a 10 Until about 40 minutes ago. The pool tenant said we couldn't swim because of lightning in the area. We've heard no thunder or there's no sign of whitening. Additionally the radar shows no rain or lightning strikes in the area so we're confused. Other than that we have had a great time so far what the fuck</t>
  </si>
  <si>
    <t>"6" housekeeping never cane and changed the fridge out! It was broken. Food spoiled. Thank you.</t>
  </si>
  <si>
    <t>2. Parce que les gens ne portaient qu'en faible majorité le masque et ne suivaient pas les flèches pour le sens de la circulation. Je ne me suis pas sentie en sécurité</t>
  </si>
  <si>
    <t>I cancelled..lisa was supposed to check with accounting</t>
  </si>
  <si>
    <t>It's good thank you(9) we had a visit to possibly own on Monday- that was questionable...</t>
  </si>
  <si>
    <t>0 , I did not stay I was informed in the lobby that we are required to wear mask at all times on the property and that orange country was on a wear mask at all times too . that is not no vacation. So I went back home , where it is my choice , I wish someone informed me I would have never drove down there and wasted my vacation time from work</t>
  </si>
  <si>
    <t>0ur stay has been perfect.</t>
  </si>
  <si>
    <t>sure if it is cleaned or not.</t>
  </si>
  <si>
    <t>7 only because the bar is not open. I understand COVID19 is going on but you can still serve drinks and not have without having people sit at the bar and the 6feet rule could still apply. And there is nowhere on site to get food. This is business loss.</t>
  </si>
  <si>
    <t>Other than this respiratory problem diarrhea Coughing and sneezing I seem to be fine. The visit is very nice also and the accommodations are wonderful</t>
  </si>
  <si>
    <t>#5 air not working right</t>
  </si>
  <si>
    <t>(1/2) The stay is going great 5. At some point, looks like the valet may have opened the door into a concrete wall or something. Your valets took pictures for t</t>
  </si>
  <si>
    <t>was up at 5:00 am and checked out. Had to be at the airport by 6:30. Not all that relaxing.</t>
  </si>
  <si>
    <t>0 I checked out Monday</t>
  </si>
  <si>
    <t>. Everything is great except for the weather. Thank you for checking</t>
  </si>
  <si>
    <t>Casey I don't think fully grasped what o wrote earlier;we were seriously misled and had to make decisions that compromised my health. But there is more:I ordered the $17 waffles this a m and was given 4 uncooked miniature "waffles " ,OJ not packed. I will get COVID 19 tested and we will see where we go from there. You opened too soon and people are ill served and in jeoprody A gorgeous spot, mainly polite staff but it's shocking to see no compliance with the most basic rules for a pandemic blissfully ignored Rating:3 FC</t>
  </si>
  <si>
    <t>"Jim Dandy " so far...weather could be better but you're good. "10" ?</t>
  </si>
  <si>
    <t>(1/2) everything is fine. I wanted to ask if house keeping could possibly change comforter and sheets in the bed closest to the window in our room.top comforter</t>
  </si>
  <si>
    <t>Thank you for the later checkout that will help because our flight is delayed</t>
  </si>
  <si>
    <t>Besides the leaking toilet and clogged shower our stay has been great. Thank you for asking.</t>
  </si>
  <si>
    <t>my mobile key is not working</t>
  </si>
  <si>
    <t>0-.... I feel ur white staff is very prejudice and I will be sharing this to you all corporate office as well to my company office. To inform then of how they black staff members r being treated and have them look into another hotel for me!!!</t>
  </si>
  <si>
    <t>price I am Very disappointed, not worth that price for the inconvenience. We drove from DC, I could have stayed in a Ritz or St. Regis in DC for that pr</t>
  </si>
  <si>
    <t>(1/3) If I am being honest, the hotel was a disappointment. Pros: Front desk staff was very polite and professional. All staff members were very courteous and w (2/3) elcoming. Cons: Very dated hotel in desperate need of renovations. Took over an hour to get our vehicle fron valet. Had to call repeatedly to get blanket (3/3) s delivered at night. As a diamond member, I was asked to pay for an upgrade instead of having offered for free.</t>
  </si>
  <si>
    <t>given the circumstances I can't be mad it's a 10 at the moment thank you so much.</t>
  </si>
  <si>
    <t>Very good, thank you.</t>
  </si>
  <si>
    <t>(1/2) Our stay was great . . We will go with a nine rating . . . Would like to see one bigger waste basket in each room for cans bottles cups plates and such . (2/2) Thank you!</t>
  </si>
  <si>
    <t>0. And you didn't read my message.</t>
  </si>
  <si>
    <t>It's going pretty good. I would say about a 7. There was a lot of confusion about breakfast but it's all sorted out now. Thanks!</t>
  </si>
  <si>
    <t>10...yalls staff is amazing</t>
  </si>
  <si>
    <t>8. was hoping for a bigger balcony like to sit on . And the cold water handle in the living area bathroom doesn't work at all. Told front desk about it last night .</t>
  </si>
  <si>
    <t>(1/3) Hi Dee Ann good morning, everything is well.. there's this thing in the shower. I don't know why it wouldn't fall off, I didn't want to touch it lol. I w</t>
  </si>
  <si>
    <t>Thanks for checking in. My stay is going just fine.</t>
  </si>
  <si>
    <t>Is this an automated text??? I just checked out</t>
  </si>
  <si>
    <t>-good thank you !!!! 10 So far</t>
  </si>
  <si>
    <t>You guys were wonderful 10 plus in my book !!!!!</t>
  </si>
  <si>
    <t>Very good! Thank you!</t>
  </si>
  <si>
    <t>Very nice. 10. Thanks!</t>
  </si>
  <si>
    <t>(1/2)Hey it was ok Very hard to get a hold of reception using phone. Had to walk down stairs to communicate Under the bed found water bottles beer caps and</t>
  </si>
  <si>
    <t>(1/4) Since you state you are dog friendly and didn't kick us out with no warning at 1 a.m. because of our pets we will make sure that anyone and everyone know</t>
  </si>
  <si>
    <t>I told front desk that tv was not working</t>
  </si>
  <si>
    <t>"20" you guys all rock. Omer is THE BEST today!!</t>
  </si>
  <si>
    <t>(1/2) The stay is great so far. I definetly give it a 8 but i was supposed to receive a package or two from Amazon. They said it was delivered but the front des</t>
  </si>
  <si>
    <t>4 would have been 5 but room is a bit cold, heating doesn't seem to work very well</t>
  </si>
  <si>
    <t>(1/2) Thanks for asking We had a room hiccup but Stacy in Customer Service took good care of us!!!! Our current meal in KITTY O'Sheas was horrible quality...an (2/2) d a long wait during slow traffic</t>
  </si>
  <si>
    <t>I check out on yesterday! It's sad I stayed there for six nights and NO ONE NEVER SENT ME A TEXT TO INQUIRE ABOUT STAY!!!!!!</t>
  </si>
  <si>
    <t>(1/2) It is wonderfull here...only issue we had was house keeping...we had to call twice to get house keeping and when they came they did minimal cleaning and r</t>
  </si>
  <si>
    <t>7. Small mix up with coffee and tea last night was rectified though. Weather not stellar. ( nothing you can do about that one though.?)</t>
  </si>
  <si>
    <t>(1/2) Thanks for everything. ... # 3 only because my sofa bed was very dirty ( sheets was not change from the previous guest) but other than that was a great t (2/2) ime with my family.</t>
  </si>
  <si>
    <t>"Yes" would like to choose to be green.</t>
  </si>
  <si>
    <t>(1/2) Must stay has been a 100 percent on time for rest well needed for me and my family. So to rate my trip and stay 10. Thanks for everything, we are getting (2/2) ready to check out now.</t>
  </si>
  <si>
    <t>0 The bed is not a King</t>
  </si>
  <si>
    <t>(1/2) Hi Diana, we are well. Thanks for asking. We have a rental and would like to drive over to the presentation. I know we have to be there by 3. You all (2/2) provided us with the address. Kindest regards, Carol</t>
  </si>
  <si>
    <t>because I bought a couple extra nights do we get a room service in our bed freshened up just checking in thank you</t>
  </si>
  <si>
    <t>Staff is wonderful just wish I had a lake view n not looking down on a parking lot for 2 weeks</t>
  </si>
  <si>
    <t>02/02:ordering our lunch today to get our food at the pool side bar.</t>
  </si>
  <si>
    <t>(1/2)mixed - the property is fantastic but a staff member accidentally spilled coffee on me and my bathtub doesn't appear to be draining so that has made for a (2/2)complicated day</t>
  </si>
  <si>
    <t>Hi , I’ve an appointment but I have to reschedule it. Can you please help me ...</t>
  </si>
  <si>
    <t>0 I got kicked out to Blue Lagoon and have been there since. Norma said I'd get 50,000 points for my troubles, have not seen that. Was even charged $10 to get out of the parking lot Sunday night and haven't heard from anyone about that.</t>
  </si>
  <si>
    <t>*24 would not deliver. 3033 is checking out. Thanks (sent with Loud Effect)</t>
  </si>
  <si>
    <t>10! We need towels, soap, body lotion, black pekoe or English tea and please remove old towels. Thank you very much! Mary and Thom</t>
  </si>
  <si>
    <t>(2/2) sible. (1/2) 8.5 so far. Service has been outstanding. Prices for various items for food/drink has been a little excessive and would like access to beach chairs if pos</t>
  </si>
  <si>
    <t>(1/2) So far a 10. One question how do I adjust the temperature in the room it is set at 65 degrees but the temperature in the room was 77. I would like it set (2/2) at 72. After I adjusted it it defaulted back to the previous temperature. I did shut it off when I left the room. Thank you</t>
  </si>
  <si>
    <t>Hi. Not bad. But there is no WiFi signal in the room, this is quite annoying. So probably a 5 out of 10. The room is nice. The view is great.</t>
  </si>
  <si>
    <t>Got here around 7:30 AM on Friday room was ready and I was told my bags would go to room. I had meeting responsibility for our UOP event at this hotel. At break I went to my room around 10:30 to take my medications and bags weren't in room. Called down had to wait 10 minutes for bags. Missed my coffee break was late back to lecture. I tipped the valet 5 .00 when I dropped the car off and also 2.00 to fellow who brought bags. We have stayed at this Fairmont many times and had fabulous rooms booked through University and Danville Mayerials. This room was substandard and very disappointing with the view of a wall 4 feet away from window ZWe would love to return to the Fairmont but have lost confidence Our friend is staying at Stanford for a 100.00 Les's with king bed!! We got a queen and no view!! I ordered water for one of my speakers and it never arrived to the Gold Room. I had to purchase a bottle in the store for her. I am just disappointed</t>
  </si>
  <si>
    <t>#10. Can I please add Gustavo Bruno's name to the room. He will be picking up a key this evening and adding parking for the rest of our stay.</t>
  </si>
  <si>
    <t>I have a charge for 15.25 from yesterday do you know what its for?</t>
  </si>
  <si>
    <t>We would like our room cleaned today. Thank you</t>
  </si>
  <si>
    <t>". .vvvb:bb.b.b.....bbbbbbbbbb.bb..bbbbb. b. B..b . .. .b.. . . . Bb. B . . ... .. .. .. ..b.b .bb ..bbbb;bbbb .b ,bbbbbbbbbbbbb vvvv. Vvdcfcb</t>
  </si>
  <si>
    <t>(1/2) Great, but i didn't get my bottled water when i checked in yeste</t>
  </si>
  <si>
    <t>4 because the tub had a slow drain , the door couldnt latch , parking was terrible took me about 30 mins to park after driving 5 hrs, very inconvenient.....the room took half the night to get warm ..i BASICLY froze , and last but not least , some young girls was running through hotel saying it was haunted ...</t>
  </si>
  <si>
    <t>(1/2) It was good. Please make a note i was transferred to Room 4078. The original room 4082 bathroom smelled of cigarette confirmed by the employee who gave (2/2) the new room key</t>
  </si>
  <si>
    <t>0 for the elevators 10 for everything else The elevators would probably make me choose a different hotel my stay is going to cost me over a 1000 dollars !!! And the wait at the elevators is unacceptable !!</t>
  </si>
  <si>
    <t>(2/2) woken up twice, the second time you sent security. I know you can't control the environment, we appreciate you sending security after the second call.</t>
  </si>
  <si>
    <t>Thank you so much for helping!!</t>
  </si>
  <si>
    <t>What is a great place to eat.</t>
  </si>
  <si>
    <t>"Excellent" thank you Winnie!</t>
  </si>
  <si>
    <t>1. We've been sick the entire time and pretty much confined to our room. Good doctor visit though with Dr. Garvey</t>
  </si>
  <si>
    <t>0. I checked out yesterday and found another hotel to stay at and will not be looking to book at other Hilton Brand hotels in the future</t>
  </si>
  <si>
    <t>#5 Excellent, thank you!</t>
  </si>
  <si>
    <t>0 out of 10. I am not staying at the Hilton hotel</t>
  </si>
  <si>
    <t>"10" Excellent all checked out around 10;00. Thank you!</t>
  </si>
  <si>
    <t>It was good until I didn't have hot water for a shower or shave. ☹</t>
  </si>
  <si>
    <t>#5 Everything has been wonderful. Thank you!</t>
  </si>
  <si>
    <t>Customer Service experience: 1 Beach Front/garden/pool area : 9 when not being told where we can go and not go due to your promotional resort photo shoot. Hotel room looking out onto dumpster: 3</t>
  </si>
  <si>
    <t>10. Having a good time!</t>
  </si>
  <si>
    <t>Hello. How long Is saguaro pool Closed?</t>
  </si>
  <si>
    <t>When does house keeping come during the day?! Our room isn't cleaned still</t>
  </si>
  <si>
    <t>An you tell me password for wi fi?</t>
  </si>
  <si>
    <t>#3. Low rating due to valet parking. Took 30 minutes to get a car.</t>
  </si>
  <si>
    <t>"10"Will; thanks for checking back. Please note I took advantage of your beer selection yesterday when I was checking in; Abe Ale ! ? Tom L.</t>
  </si>
  <si>
    <t>all very good. Will you make sure we are supposed to be charged the resort fee as an Inspirato pass guest.... I didn't think they were supposed to be any additional fees??</t>
  </si>
  <si>
    <t>9. Room is available for housekeeping.</t>
  </si>
  <si>
    <t>(1/2) Hi I would rate it as 6 although I am quite happy with the hotel in terms of cleanliness and service performance, I am little bit dissapointed with my (2/2) room because it does not get any light. Thank you</t>
  </si>
  <si>
    <t>. There are two charges on the card for Hilton hotels and resorts. One on the 12th for $325.73 and another pending today for $495.73. Do you know if that is correct?</t>
  </si>
  <si>
    <t>0 I am in meetings currently if someone would like to talk with me I can let you know when I am back on the property. At this point I have zero confidence you will even follow through with that.</t>
  </si>
  <si>
    <t>(1/3) Doing good. How about an 8. Not enough electrical outlets, n d (2/3) on't like door on toilet. ☺ Wish all had night lights in bathr (3/3) oom</t>
  </si>
  <si>
    <t>Parking is a huge problem around unit 7</t>
  </si>
  <si>
    <t>was fantastic, I checked out the morning. If you have not already please email my receipts to JMfroslie@gmail.com</t>
  </si>
  <si>
    <t>'Twas grand! Thanks!</t>
  </si>
  <si>
    <t>Hi John Me and my husband Been having a great stay fir first time here at Hilton vacation club I will rate 10. I will just need to ask if there ya a room cleaning service or no</t>
  </si>
  <si>
    <t>Does the hotel have a doctor on call?</t>
  </si>
  <si>
    <t>0! Thank you but we have already left! I was not happy with my stay...</t>
  </si>
  <si>
    <t>Need my truck brought up-card # 00419 silver Chevy pick up</t>
  </si>
  <si>
    <t>10! we are having a magnificent trip!!!!</t>
  </si>
  <si>
    <t>We have checked out thank you</t>
  </si>
  <si>
    <t>Good, we do not need this folding bed, you can come pick it up, maybe someone else needs it</t>
  </si>
  <si>
    <t>(1/2) Well I called hotel this morning from the basketball tournament we are at to request again today a refrigerator and microwave. I was hoping my request tod (2/2) ay was granted since i called before those who would be checking out today!!</t>
  </si>
  <si>
    <t>I would rate about a 7.</t>
  </si>
  <si>
    <t>(1/2) 9! Hilton is the best! My only complaint is the thumpy music in the pool area that I can hear and feel. It makes it impossible to relax. I know that is (2/2) The Flamingo and not Hilton, so maybe not in Hilton¿s control.</t>
  </si>
  <si>
    <t>0 your iron had rust in it and ruined one of my shirt s</t>
  </si>
  <si>
    <t>Everything is GREAT 10</t>
  </si>
  <si>
    <t>10 -thanks for checking in, very much appreciated.</t>
  </si>
  <si>
    <t>Could you pick up trash please, thanks</t>
  </si>
  <si>
    <t>Need to ensure that the full amount of my 'make it right' credit for $30.00 is applied to my hotel stay bill From Jean Marc yesterday at check-in.</t>
  </si>
  <si>
    <t>"12" of course enjoyed it very much, 10....</t>
  </si>
  <si>
    <t>(1/2) 9 - the misters are not working at the lower level cabanas today, otherwise, it would have been a ten. Luis is amazing and makes everything special for yo (2/2) u. Hats off to him!!!!!!!</t>
  </si>
  <si>
    <t>(1/2) Everything has been great the staff has been very accommodating. We will be having dinner at the Chophouse this evening...any chance to set a reservation? (2/2) Will it be busy this evening?</t>
  </si>
  <si>
    <t>10 awesome views from the room!</t>
  </si>
  <si>
    <t>0... we checked in and checked out immediately... the place is a dump and should be demolished....thanks for asking</t>
  </si>
  <si>
    <t>I am still waiting to hear that I have a new room when I come back this evening. Can you please let me know? Thanks</t>
  </si>
  <si>
    <t>(1/2) We love our room, but someone either below or next to us keeps smoking on their balcony which causes us to go indoors. We reported it twice last night. A (2/2) lso, I called in that one of the shower faucets doesn't work and we don't have a hair dryer. Thanks for asking.</t>
  </si>
  <si>
    <t>Can you please provide me with an Ethernet cable?</t>
  </si>
  <si>
    <t>#1. Worst night ever. Room was 75 degrees and AC would only run for about 20 seconds... Can you please have someone adjust/repair? I tried standing by the t-stat (motion sensor?) until past midnight... got the room cooled to 73 degrees only and gave up.</t>
  </si>
  <si>
    <t>"" 10" " ??☺ thank you!!</t>
  </si>
  <si>
    <t>"6" only because we were told we had a garden view. Our view is the road and golf course and the sliding door window has a cloudy film inside the panels. So it gives a cloudy look. Otherwise it has been great.</t>
  </si>
  <si>
    <t>2', I am kindly requesting a mini refrigerator and microwave In room 2847 please. Thank you Response Thank you for your request, We will complete your request within the next 15 minutes. -Patty My request was never honored</t>
  </si>
  <si>
    <t>Housekeeping failed to clean rooms this morning. Please respond</t>
  </si>
  <si>
    <t>(2/2) ople are AWESOME!!)</t>
  </si>
  <si>
    <t>Big 10 today is it possible to get a few more towels and washcloths</t>
  </si>
  <si>
    <t>Very good thank you !</t>
  </si>
  <si>
    <t>(1/2) Pretty good. Thank I do have a question about my room though. I'm down at the presentation right now. Is there anyway I can stop by amd ask on my way bac</t>
  </si>
  <si>
    <t>*24 checking out room 310</t>
  </si>
  <si>
    <t>Hello! Would we be able to have a later checkout?</t>
  </si>
  <si>
    <t>(1/2) Stay is great. My wife should be her this morning. Please give her a key to sleep because she spent nite in airport in Chicago. I am preparing for surge</t>
  </si>
  <si>
    <t>(1/2) All has been good. But, I do have a question, I parked on lot 1 yesterday, can I now move onto one of the free lots today, and not be charge for the rema (2/2) inder of the week?</t>
  </si>
  <si>
    <t>Off to a rocky start, lost power to most outlets to our room 2 times, toaster didn't work properly. Had to wait 20 mins for the sales rep. And house of blues cancelled our dinner reservations before we Santana tonight.?</t>
  </si>
  <si>
    <t>It was great... a 5 for sure</t>
  </si>
  <si>
    <t>Hey Alena my stay would be rated a 10, thanks impart to you!</t>
  </si>
  <si>
    <t>Hello. Can someone check the clock in the bedroom. I can't figure out how to set the time and it's not at the correct time. Also the mattress on the bed that is on the left side when you walk into the room seems to be a little slanted down to the right side when you lay on it.</t>
  </si>
  <si>
    <t>9, A few minor issues that were addressed. Thank you.</t>
  </si>
  <si>
    <t>How do we connect to the wifi? Is there somewhere i can get an iphone charger?</t>
  </si>
  <si>
    <t>Very good thanks she was a 5.</t>
  </si>
  <si>
    <t>So far about a 8, Jennifer could we stop by to get a cookie please?</t>
  </si>
  <si>
    <t>Still waiting for the shuttle</t>
  </si>
  <si>
    <t>I'm not there. Only stayed for a night. I give it a ten</t>
  </si>
  <si>
    <t>8. Thank you ! All good</t>
  </si>
  <si>
    <t>(2/3) support on The line into i called back around 9:30 pm. I also let t hem know that my husband abd I were celebrating our anniversary late because he'd be</t>
  </si>
  <si>
    <t>3 We have a few sugar ants and the toilet stopped up last night but</t>
  </si>
  <si>
    <t># 1 you are a 10 Thanks Peace</t>
  </si>
  <si>
    <t>- 50. You have the wrong Honors member. Whoever's at your hotel is lucky but it is not me</t>
  </si>
  <si>
    <t>Actually we had some issues with our room. Lamont took care of it this morning though and he was very accommodating! Thank you for your follow up.</t>
  </si>
  <si>
    <t>-1. Not even a joke. I have a tremendous amount of complaints.</t>
  </si>
  <si>
    <t>0 not staying there ever again</t>
  </si>
  <si>
    <t>I forgot my toothpaste and there is no drinking cup in bathroom so i used coffee cup!</t>
  </si>
  <si>
    <t>Everything is great 10</t>
  </si>
  <si>
    <t>(1/4) Great, our cruise was delayed by 2 hours. I am having trouble wi (2/4) th texting and calling on my cellphone. Do I have to be in wifi (3/4) mode to receive text messages or make cellphone calls? Thanks fo (4/4) r allowing us to check out late☺</t>
  </si>
  <si>
    <t>8. We were told a anniversary gift would be delivered to our room. ?</t>
  </si>
  <si>
    <t>. Happy with the other facilities and service. We were hoping to be in a better room but apart from that it's fine</t>
  </si>
  <si>
    <t>Will arrive at 8 pm. Will need airport shuttle</t>
  </si>
  <si>
    <t>We have been here just 1 night and it is already a 10!</t>
  </si>
  <si>
    <t>10.. ty Is there personal tours of the citys history,</t>
  </si>
  <si>
    <t>pizza at the sports bar was best we have had, I will give you ans 8 because the room had peeling paint in the shower.</t>
  </si>
  <si>
    <t>(8). A little disappointed in Breakfast. Room is great. Concierge service is great.</t>
  </si>
  <si>
    <t>Good! Question. When j checked in they asked if I wanted breakfast or 1000 points. That's for both days right? Not just one</t>
  </si>
  <si>
    <t>Great except for wifi this morning. Do they have an eta on it being fixed</t>
  </si>
  <si>
    <t>Hi Alicia! 10 for sure. Checking out soon. Thank you!</t>
  </si>
  <si>
    <t>8, because one of the outlets next to the king bed is not working (I didnt notice bc the lamp plugged into the same outlet works fine). I attempted to charge my phone, assumed it did, then got to the Disney park with a dead phone....not ideal</t>
  </si>
  <si>
    <t>Hi Alejangra, If we could have some coffee packs restocked in the room we would appreciate it. Thanks Rick Hackley</t>
  </si>
  <si>
    <t>Well now that I gave this upgrade definitely at 9 or 10!</t>
  </si>
  <si>
    <t>10 I'm set thank you</t>
  </si>
  <si>
    <t>the mirrow is too less</t>
  </si>
  <si>
    <t>8.5 Just fine thank you</t>
  </si>
  <si>
    <t>m L K look Omni Imooomomooooooioooooo o</t>
  </si>
  <si>
    <t>0 - no one ever answered my question</t>
  </si>
  <si>
    <t>9 (because nothing is perfect)</t>
  </si>
  <si>
    <t>It's doing OK except for getting up and finding out the water is turned off</t>
  </si>
  <si>
    <t>Hi I'd like to check out now</t>
  </si>
  <si>
    <t>There is some kind of clicking noise in the vent when the air conditioning unit is on. It's a little disturbing at night when everything's quiet except that. Perhaps you could send someone to figure that out at some point thank you. Paul</t>
  </si>
  <si>
    <t>10. Need soap powder for washer</t>
  </si>
  <si>
    <t>Is it possible to order a stripper</t>
  </si>
  <si>
    <t>you may need to improve your room experience and I would be deligh</t>
  </si>
  <si>
    <t>It's been a 10. Thank you! We set a check out for 1:30. No need for a bellman.</t>
  </si>
  <si>
    <t>Dear customer service： My daughter could not find the Huawei</t>
  </si>
  <si>
    <t>Can you guys change all the sheets please ?</t>
  </si>
  <si>
    <t>I Hope you checked on the bathroom sink. Thanks</t>
  </si>
  <si>
    <t>- 1 bed bugs:( got a new room for tonight</t>
  </si>
  <si>
    <t>(1/2) Thank you Leonora, last night I was at tropics, and charge to my room couple cocktails, a daiquiri and a mojito. But I gave my room number as 300 instead (2/2) of 800, so I've called the front desk to let them know that and just wanted to make sure it has been taking care of ? My apologies for my mistake. .</t>
  </si>
  <si>
    <t>apart from the mishap we had regarding not getting our breakfast vouchers this morning . It's going well</t>
  </si>
  <si>
    <t>(1/2) Thank You! The stay was an 9. Very clean and nice room. Issues:the sink drained very slowly and the iron couldn't fully set into the holder due to the</t>
  </si>
  <si>
    <t>0 Rates were not shown anywhere</t>
  </si>
  <si>
    <t>(1/2) All is well so far. Much better than our March visit. The manager promised to adjust some points back to compensate but that didn't happen. Anyway, da (2/2) y #1 and no complaints..2GodB The Glory&gt;....</t>
  </si>
  <si>
    <t>0 I've had my wife's cell phone stolen and my golf clubs</t>
  </si>
  <si>
    <t>***** EXCELLENT!!!*****</t>
  </si>
  <si>
    <t>10+. The snacks at night are disappointing.</t>
  </si>
  <si>
    <t>"Enjoying"? We checked out yesterday. I hope your records show the same thing.</t>
  </si>
  <si>
    <t>#8 the room is very nice. But I don't like that we can hear the train.</t>
  </si>
  <si>
    <t>but my zoom class session today has disconnected a few times due to the WiFi service.</t>
  </si>
  <si>
    <t>(1/2) We had a lovely time. I believe I left some things in the top drawer of the dresser in room 4317. I belt and a few other things. We are in town and wi (2/2) ll stop by shortly. Thanks.</t>
  </si>
  <si>
    <t>Our stay was fine. We need to check out of room. Alison and I will be back in the AM to pick up the car. Thank you</t>
  </si>
  <si>
    <t>(1/2) Boss Lady, all is well. I was hoping to workout but there is a d (2/2) aily few. Thanks for checking on me. 9?</t>
  </si>
  <si>
    <t>I rate it as a 9. Could we get more towels please.</t>
  </si>
  <si>
    <t>do not send me no more message .</t>
  </si>
  <si>
    <t>Thanks - we are enjoying our stay (9/10). Can you remind me - what are the spa hours?</t>
  </si>
  <si>
    <t>0, literally. Had a terrible experience with tour of Holiday inn timeshare. Can you help resolve please?</t>
  </si>
  <si>
    <t>Only think I seen that I thought was kinda messed up and don't really care about it...and soon found ibeasnt the only one...was Breakfast...we road warriors at our level with hilton will get free breakfast if it's not 100% covered or points Well given the breakfast tickets at check in and figuring it would not be any differant than any other hilton brand hotel, which is a 100% free breakfast since I didnt take points. Wasnt case</t>
  </si>
  <si>
    <t>5 I have checked out for they day please e mail me the bill</t>
  </si>
  <si>
    <t>#8 I haven't tried your in house restaurants yet. Looks like Vela is breakfast and brunch only? And the Pool Bar covers evening?</t>
  </si>
  <si>
    <t>Hi, this is Gail Kornfeld room 5319 We would like a late check out tomorrow please. Our flight isnt until 4:30pm</t>
  </si>
  <si>
    <t>Can you have them clean my shower better there is mold growing in the garage see pictures attached</t>
  </si>
  <si>
    <t>0 !! Check your records....I am not there....</t>
  </si>
  <si>
    <t>(1/2) In Oakland for training had free 12 star breakfast, now 12 star lunch. We are done after 3pm then back to the airport watch sweet 16 teen basketball, the (2/2) n plane leaves at 6:40 pm to LA</t>
  </si>
  <si>
    <t>10 Thanks for checking.</t>
  </si>
  <si>
    <t>Can I get more water please?</t>
  </si>
  <si>
    <t>0 wrong person I am not Mr Zandstra</t>
  </si>
  <si>
    <t>(1/3) GM. Stay is going well thus far. I need wireless access to use my laptop and I was not given a code when I checked-in. I was also informed that I could go (2/3) to the lounge on the 24th floor during various times. Can u tell me what times and does my room key give me access. Please let me know. Thanks, Angela An (3/3) glin</t>
  </si>
  <si>
    <t>...it's a 10...thank you...</t>
  </si>
  <si>
    <t>(1/2) Everything is fine but the door to bedroom is awkward for person sleeping near wall because it swings in and has to be pushed forward and then back to com (2/2) e out of the room. Not practical and accumulates dust bunnies from heat fan. Thanks for asking.</t>
  </si>
  <si>
    <t>0 I WILL NEVER LOOK AT A ROOM AT THE HILTON HOTEL IN MY LIFE. ?? FIRST AND LAST TIME</t>
  </si>
  <si>
    <t>9, would have been 10 except for these texts</t>
  </si>
  <si>
    <t>"10". Ismir was an exceptional server at Palo Verde last night. Alexa R. from Housekeeping is very attentive and professional.</t>
  </si>
  <si>
    <t>- 1 Staff was totally incompetent</t>
  </si>
  <si>
    <t>No! Thank you for asking !</t>
  </si>
  <si>
    <t>(1/2) So far we are quite pleased. The furniture in our unit needs replacing because it is somewhat beat up. So we would give the experience an 8.5 right now. (2/2) Everyone has been very nice.</t>
  </si>
  <si>
    <t>0 I don't have a shower my bath tub is broken</t>
  </si>
  <si>
    <t>7 - because the room service food is terrible</t>
  </si>
  <si>
    <t>... We gotta tell you... So far it's been a 10. If there was sunshine today it would be a 20! You and your staff are exceptional. Thank you for everything.</t>
  </si>
  <si>
    <t>(1/3) 8 - up until the weekend my stay has been fabulous, at least a 9. Today got noisy. It threw me off. In fact tonight, just a little while ago someone was</t>
  </si>
  <si>
    <t>#2. The room @20407 is worse than any place I've ever stayed in my adult life.</t>
  </si>
  <si>
    <t>#9. However, my hair dryer in my room broke. Can I get a new one?</t>
  </si>
  <si>
    <t>i have placed our beeakfast tray outside our room.</t>
  </si>
  <si>
    <t>#10, really enjoying my stay thank you so much</t>
  </si>
  <si>
    <t>(7). I hope I have hot water to shower. If so, (10).</t>
  </si>
  <si>
    <t>10 for the service from you, Millie and the guys downstairs. Thankyou!!</t>
  </si>
  <si>
    <t>#10!!! Everything is great!!!?</t>
  </si>
  <si>
    <t>"10" -- We are having a Great time!!</t>
  </si>
  <si>
    <t>It was a 5, thank you!</t>
  </si>
  <si>
    <t>(2/2) We already checked out. ? (1/2) Hey Laura, it was really good! Thank you so much for the towels.</t>
  </si>
  <si>
    <t>you got the wrong number</t>
  </si>
  <si>
    <t>0 won't recommend to anyone won't stay again</t>
  </si>
  <si>
    <t>to cold water- no idea why !!</t>
  </si>
  <si>
    <t>Hi... everything is good. Thanks</t>
  </si>
  <si>
    <t>(1/2) It was a 10, and we're checking out the only negative is that there are some sugar ants around the surfaces so you may want to take care of that otherwise (2/2) it was perfect thank you</t>
  </si>
  <si>
    <t>Can u provide me info on some canal tours for tomorrow, Friday. Thank you</t>
  </si>
  <si>
    <t>"concern"...during the boat ride last night, the music was hard rock,</t>
  </si>
  <si>
    <t>(1/4) I would say it has been 5, i called the front desk this morning (3/4) then 5 minutes. That is what i consider service. ?thank you for (3/4) then 5 minutes. That is what i consider service. ?thank you for (4/4) such warm hospitality</t>
  </si>
  <si>
    <t>My son used the room and said it was musky smelling and air didn't work well otherwise was great</t>
  </si>
  <si>
    <t>5 we had no heat and reported it hotel renovation is nice</t>
  </si>
  <si>
    <t>No air conditioning</t>
  </si>
  <si>
    <t>of customers in the world (Actually I would be interested in knowing what that statistic is. I'm guessing that I spend over 100,000 dollars per year usi</t>
  </si>
  <si>
    <t>(1/2) Good so far! A leaky toilet was promptly fixed by Tim from engineering (thank you, Tim), and we can't get the desk lamp to work, but these are tiny t (2/2) hings compared to the the location and amenities at your hotel. Thank you. (4.5)</t>
  </si>
  <si>
    <t>Allen is my stay is a 10, twice as good as a 5</t>
  </si>
  <si>
    <t>8 - nothing you can do about street noise. ☹️ Everything else is great.</t>
  </si>
  <si>
    <t>(1/2) Thanks Ronald. 4 . Room is lovely but theres some makeup on rug and hair on the floor in bathroom I cleaned up. Would not have complained but thats why i (2/2) ts a 4.</t>
  </si>
  <si>
    <t>"10". Everything &amp; everyone was awesome!??? Thank-you!</t>
  </si>
  <si>
    <t>0...no car this morning and room service never made it to the room. Daughter late to college showcase lacrosse game where 3 coaches came to see her play. Absolute disaster.</t>
  </si>
  <si>
    <t>(1/2) Thanks Kimberly. The Elara concierge system did not accept my gift card purchase for a show. The card work at the restaurants and shops. 9 to Elara. Reall (2/2) y nice resort at a great location.</t>
  </si>
  <si>
    <t>(10) - We enjoyed our stay- big thanks to Kenny for the room upgrade -</t>
  </si>
  <si>
    <t>"5" excellent thank you .</t>
  </si>
  <si>
    <t>#11. This trip has been wonderful. Thank you</t>
  </si>
  <si>
    <t>$100 dollars bills under my pillow</t>
  </si>
  <si>
    <t>Hi, I left my shoes in the room. Any chance you can leave them at the reservations office and I'll pick them up when I come next in a month or so</t>
  </si>
  <si>
    <t>"Excellent. Thank you so much for asking.</t>
  </si>
  <si>
    <t>.....5 my room should be cleaner !!</t>
  </si>
  <si>
    <t>#10. Thank you for your wonderful accommodation</t>
  </si>
  <si>
    <t>0 - just kidding ?. All is good. Room is better than average.</t>
  </si>
  <si>
    <t>, I'm having a wonderful time at your hotel thank you</t>
  </si>
  <si>
    <t>Very well. Thanks for asking!</t>
  </si>
  <si>
    <t>Not there yet,but will be there soon</t>
  </si>
  <si>
    <t>(1/2) 5 René, all of the staff and accomodations were excellent. Thank (2/2) you. Mahalo.</t>
  </si>
  <si>
    <t>Wonderful thank you so much</t>
  </si>
  <si>
    <t>0. lagoon tower was horrible and we experienced a horrible situation with that hotel. We switched back over to the Grand islander late last night..</t>
  </si>
  <si>
    <t>09 thank you. Wonderful time.</t>
  </si>
  <si>
    <t>Sry nice. Thank you</t>
  </si>
  <si>
    <t>Very good stay. "10"</t>
  </si>
  <si>
    <t>(1/3) It has been perfect.. Thank you so much for everything you have (2/3) done by checking in and taking the time to ask me. It will be (3/3) a (10) ?</t>
  </si>
  <si>
    <t>10. Can I request a shower cap</t>
  </si>
  <si>
    <t>(2/4) . Thank you and your boss for making it happen. My husband loves (4/4) een Rating 11</t>
  </si>
  <si>
    <t>#8 very friendly staff, beautiful facilities. Charging $14 for Wi-Fi is obscene.</t>
  </si>
  <si>
    <t>Wrong #; please confirm with your guest. This occurred yesterday; please fix.</t>
  </si>
  <si>
    <t>(8) Everything is perfect. Thank you.</t>
  </si>
  <si>
    <t>#9........I would grade it a 10 if you can make snow....... Just kidding, it's a beautiful hotel . it's a 10.</t>
  </si>
  <si>
    <t>have great day as well.</t>
  </si>
  <si>
    <t>Nice, but the advertised breakfast bacon was not there!</t>
  </si>
  <si>
    <t>(1/2) Everything was excellent from the time I check in until I checked out on yesterday I thank you guys for everything that you've done to make my stay comfor (2/2) table. I'm looking forward to be with you guys in 2 years for my next invention</t>
  </si>
  <si>
    <t>"10" thank you for the late check out as well ?</t>
  </si>
  <si>
    <t>#10 Excellent thank you</t>
  </si>
  <si>
    <t>(1/2) Checked out, stay was fine. I give my stay a 3. I had no working power at the desk in my room (# 8-144). Also, the chair at that desk is terrible -- tr</t>
  </si>
  <si>
    <t>#5. Staying another night</t>
  </si>
  <si>
    <t>Wonderful property and service. Thank you</t>
  </si>
  <si>
    <t>a 10 after I learned how to turn on the shower this morning.!!!</t>
  </si>
  <si>
    <t>10 - Excellent thank you</t>
  </si>
  <si>
    <t>"4" due to huge snow storm. lol...you're funny!</t>
  </si>
  <si>
    <t>freezing air is coming in the room. I also had to put my thermosta</t>
  </si>
  <si>
    <t>About an 8. Should I have receive and email about the time for our presentation tomorrow?</t>
  </si>
  <si>
    <t>10. I don't need my room cleaned up. Thanks.</t>
  </si>
  <si>
    <t>two free passes for one day</t>
  </si>
  <si>
    <t>Very well, definitely a 10</t>
  </si>
  <si>
    <t>0. I never did get a response from my last text last night. I will be speaking to a manger tomorrow morning regarding my total dissatisfaction with our stay.</t>
  </si>
  <si>
    <t>It's a nice hotel. But can we get an extra top sheet for the bed?</t>
  </si>
  <si>
    <t>Everything going well</t>
  </si>
  <si>
    <t>10 10 10 10 Experience is excellent Julius, what is the name of pizza and hot dog again, I picked up the popcorn</t>
  </si>
  <si>
    <t>0 never received no response</t>
  </si>
  <si>
    <t>We would like coffee at 7 am sat other then that 5 thanks</t>
  </si>
  <si>
    <t>Hey Valencia 5 for sure!</t>
  </si>
  <si>
    <t>Everything is great Could we request maid service in our villa &amp; a refresh of coffee for tomorrow morning</t>
  </si>
  <si>
    <t>#10 Enjoying the view!</t>
  </si>
  <si>
    <t>generally we enjoyed our stay and everything was good. There is a leak coming from the ceiling above the sink in the living room. Also the bathroom sink drains slowly and the toilet doesn't seem to flush well. We had a very disappointing experience with the restaurant yesterday.The server and the bartender were excellent but I believe completely overworked because of understaffing. We waited 45 minutes to get our first drink at lunch yesterday. And the food came after a long time. But that is the only complaint that we have.</t>
  </si>
  <si>
    <t>(1/2) Do you know if my bathroom has been checked regarding the plumbing/sewer smell issue as of yet?? It was reported this morning just after 7am....I've been (2/2) in conf sessions since then and have not been back to my room to confirm</t>
  </si>
  <si>
    <t>I have checked out. Stay was good</t>
  </si>
  <si>
    <t>(8) you have a great day as well Micheal T thanx?</t>
  </si>
  <si>
    <t>0. You have a wrong tel #. Second notice.</t>
  </si>
  <si>
    <t>(1/3) 5, at check in was greated awesome and front desk staff answered any questions I had. Only bad was both pancake makers down this morning and men's (2/3) bathroom main floor was being cleaned during breakfast hours. Got to be on point with breakfast and probably a better time to clean that bathroom than</t>
  </si>
  <si>
    <t>(2/2) was hair in the tub. Besides that everything else has been perfect. Thank you for your hospitality.</t>
  </si>
  <si>
    <t>0 because I never got a response to my question</t>
  </si>
  <si>
    <t>"8" - There are a few things that are wrong with the room but these probably cannot be immediately fixed and are not an immediate concern. 1) The three-way light switch in the main bathroom (room 23) is not operating correctly, it is either mis-wired or malfunctioning. 2) Also, the A/B lever for the showerhead does not work correctly so that BOTH the fixed and hand/held shower heads are always on. 3) the ceiling fan in the room 23 bedroom cannot be adjusted using the switches on the wall - it will only operate on "high" which makes it pretty much unusable. Again, these issues do not require immediate remediation during our stay.</t>
  </si>
  <si>
    <t>(1/3) Disappointed to see some of the football games in my room with t</t>
  </si>
  <si>
    <t>(1/2) Hi Brad. I'd say a 7. The internet was out all night and I had Some work to get done that had to wait. Also didn't realize your double tree didn't have a (2/2) hot tub :) staff was friendly.</t>
  </si>
  <si>
    <t>7 stay is nice disappointed that we were first put in a room that was still dirty with unmade bed. It was 12:30 am so it had been a long day. We had to move to a different complex. Did not realize the construction was so extensive. Certainly detracts from the beauty of the facilities Had trouble finding a pool that had a place to sit in the sun do to limited pools. Directional signage could be improved given all the construction The staff here are exceptional</t>
  </si>
  <si>
    <t>Very good so far. Thank you</t>
  </si>
  <si>
    <t>(1/2) The room is perfect as is the people who work here and have helped me. My only hiccup is that though I paid for parking, my room key doesn't work upon en (2/2) tering the parking structure. Thank you very much for being so accommodating.</t>
  </si>
  <si>
    <t>@ No that good . The room is on the first floor and it can be noisy . It said city view which it not on the first floor . Air circulation is horrible . Ha</t>
  </si>
  <si>
    <t>"6" rating because the room is not what I expected for the price but the staff from the valet to the morning chefs to the greeters have been amazing and they get a "10".</t>
  </si>
  <si>
    <t># 10+! Thanks to you Brogan</t>
  </si>
  <si>
    <t>I have a question...46.97 was billed to my card yesterday, what was that for?</t>
  </si>
  <si>
    <t>Thanks. Stay is going fine. I like this room. Housekeeping is 5 star. Breakfast is ok.</t>
  </si>
  <si>
    <t>"10" ....don't know how you arranged the perfect weather ?</t>
  </si>
  <si>
    <t>"7" so far. Parking fee is a big issue, what good is being a Hilton member if you can even get free self parking ?</t>
  </si>
  <si>
    <t>John concert. As elite members we usually don't have issues with early check in. We had to take a room that was available on the first floor tucked in b</t>
  </si>
  <si>
    <t>9....and could you send my wife a text with the email for the internet here? Would really appreciate it I received mine yesterday but must have deleted it after signing on. Thank you</t>
  </si>
  <si>
    <t>0 because my car was broken into and I never made it there. Can I please have a million dollars?</t>
  </si>
  <si>
    <t>8 thank you for asking</t>
  </si>
  <si>
    <t>Very is good so far, thank you</t>
  </si>
  <si>
    <t>My stay had been very nice the bed is incredibly comfortable but the hot water coming into the sink didn't get warm this morning after running it for about 15 minutes that's the only problem the shower does have hot water</t>
  </si>
  <si>
    <t>"10"; it's Grand ! Thanks.</t>
  </si>
  <si>
    <t>8. Only because we ran out of toilet paper. Which was graciously delivered quickly. Wanda H Mary Kay Consultant</t>
  </si>
  <si>
    <t>(1/2) 10, checked out yesterday. The entire stay, front desk, valet, b (2/2) artenders, wait staff were impeccable, very impressed Thank u?</t>
  </si>
  <si>
    <t># 4 so far and your entire team have been great. I wasn't sure about the continental breakfast setup, since I had to sign for a $8 charge yesterday for breakfast, but that could be on me not knowing the buffet setup etc. Thanks for checking. Jim</t>
  </si>
  <si>
    <t>,everything excelent but havent been able to regulate the termosthat. A little cold.</t>
  </si>
  <si>
    <t>-Thank you for your message, we are currently out of the office, and will respond during our normal business hours. A fee may be applied if 24 hour notice is not provided for cancellation.</t>
  </si>
  <si>
    <t>"3" At about three or four AM this morning there was heavy banging going on around my room 418 coming from within the hotel this occurred for about a 30 to 45 minutes or so disrupting my sleep. I called downstairs and I was told that it was "outside ". I didn't appreciate the fact that they would she would not send somebody upstairs to check in on what the commotion was all about. Even when I had insisted that I was within the hotel I was told again it was "outside". I have a sliding patio door to the outside and it was clearly not come in from outside. She had mentioned that the next room had checked out so I could NOT be coming from them. But that was not the point. The point was that there was very loud banging noises from somewhere within the hotel near our room. I would like feedback on your response. If this continues I am checking out.</t>
  </si>
  <si>
    <t>(2/2) yone has been very nice and helpful.</t>
  </si>
  <si>
    <t>the floor at your mall, thus making a disgusting mess, that none of your staff should have to clean up!! I texted you to get the door code to unlock the</t>
  </si>
  <si>
    <t>10. I am ready to check out of 2325. Thank you.</t>
  </si>
  <si>
    <t>$59 each way but we had points so they wrrr free!</t>
  </si>
  <si>
    <t>The staff is excellent!!!</t>
  </si>
  <si>
    <t>"3". Hilton put us in a room that's the farthest from the lobby, so about a 1/2 mile away. And then they told me, when I checked in at night, that it would be easy to find as the path &amp; buildings were all well light. They were not. They also told my roommate that they were upgrading us to 1 of their favorite buildings. Huh? We're a 25 minute walk from just the lobby!!! So no, not happy!!</t>
  </si>
  <si>
    <t>5. bathrooms ceiling had paint falling off, bed was not as comfortable. The sheets smells.</t>
  </si>
  <si>
    <t>I'll give it a 10 at this point</t>
  </si>
  <si>
    <t>(1/2) Enjoying our stay. See how clean the room will be when we retur (2/2) n.....9 so far. ?</t>
  </si>
  <si>
    <t>(1/2) Hi nicolle! We're doing just fine.. rate is 10.. Pls do me a favor .. I will need garbage liners in my unit.. room 43l. Also nicolle.. where can we go for</t>
  </si>
  <si>
    <t>#10. Wonderful room and location.</t>
  </si>
  <si>
    <t>(1/2) Hello I'm having a great time here. I was wondering if by any chance you can send a small microwave to my Room with a small child and all we are waisti (2/2) ng a lot of food.</t>
  </si>
  <si>
    <t>#8 By allowing two chaise lounges in the patio. Free shuttles to the theme Park would be nice also.</t>
  </si>
  <si>
    <t>Room is great we just can’t log onto internet with Gasparro 3046 . You say it doesn’t match your records</t>
  </si>
  <si>
    <t>He led out this morning</t>
  </si>
  <si>
    <t>Thank you, if we can get service before 1 pm that would be fantastic</t>
  </si>
  <si>
    <t>ABSOLUTELY A 10, I would say a 15 instead. Everyone has been terrific and I am grateful ?</t>
  </si>
  <si>
    <t>-10 it was so bad for a 5star we left after 30 min Attached photos</t>
  </si>
  <si>
    <t>I don't check in until tonight...</t>
  </si>
  <si>
    <t>(1/3) 7. I got up around 130am last night to get the extra blanket. I</t>
  </si>
  <si>
    <t>(1/2) Could you please resupply the bathroom towels/washcloths for 10303 and 10304? We also need more toilet tissue and laundry detergent please. All the item (2/2) s can be placed inside 10304 as we have 10303 locked. Thank you.</t>
  </si>
  <si>
    <t>0. Worst experience I have ever had at a Marriott property.</t>
  </si>
  <si>
    <t>"10" I've missed the breakfast at the nick of time. Is there something I get have a quick?</t>
  </si>
  <si>
    <t>(10) Thanks to Felix from engineering dept for repairing the kitchen sink leak, cleaning up afterwards and replacing roll of paper towels. Also, thanks to the young lady in housekeeping for returning to clean our rooms.</t>
  </si>
  <si>
    <t>10, wow make me want to stay and not leave</t>
  </si>
  <si>
    <t>I would rate my stay a 10! Thank you!</t>
  </si>
  <si>
    <t>0 and I'm so serious Mr. Christopher</t>
  </si>
  <si>
    <t>I tried to check out on app. 10</t>
  </si>
  <si>
    <t>asked for points to be added to this stay and it's not showing. Just the 500 points from a listening to a promotional call! I requested a room in 25th with a</t>
  </si>
  <si>
    <t>(1/2) 4. Thank you.. The only way to make it a 5 is to force the people above me to walk softer...lol Just kidding. Had dinner from your restaurant last night.. (2/2) .very good</t>
  </si>
  <si>
    <t>missed housekeeping. I just got back and am going to take a nap. I have to leave again around 515. What is the latest I could have my room done?</t>
  </si>
  <si>
    <t>It's a 10 Most excellent! Mahalo Thomas!</t>
  </si>
  <si>
    <t>(2/2) nk you again. Alfredo Ramirez (1/2) Thank you for checking in with me Sean. It's been a very pleasant experience. Looking forward to another stay here again soon. And I'll give it a 10. Tha</t>
  </si>
  <si>
    <t>My room is hot and a lot of electrical outlets don't work</t>
  </si>
  <si>
    <t>Thank you we enjoyed ourselves!</t>
  </si>
  <si>
    <t>My stay is going great. 10!</t>
  </si>
  <si>
    <t>I'm around an 8 Things are well Thanks</t>
  </si>
  <si>
    <t>-we've already checked out. We had a good stay - thanks!</t>
  </si>
  <si>
    <t>Can I ship something to the office and pickup later that day?</t>
  </si>
  <si>
    <t>of Hilton. It's really lacking and disappointing</t>
  </si>
  <si>
    <t>"9" so far. Shower light flickers a lot</t>
  </si>
  <si>
    <t>(1/2) Thank you! We just left for a bit! ☺ If you would make the bed,</t>
  </si>
  <si>
    <t>I'm appreciate the concern from everyone, they're all friendly and polite. I'm just disappointed with the room situation. My rating would be a 5</t>
  </si>
  <si>
    <t># 10 it's the best!!!</t>
  </si>
  <si>
    <t>"5" Please confirm car service this evening at 5 pm will be SUV that can accomadate 6 adults ? Thank you Finn Wentworth</t>
  </si>
  <si>
    <t>(1/2) Hi, does the pool stage move or rearrange pool chairs early in the morning (ie 1 or 2 am)? Because a loud screeching noise woke me up last night and the</t>
  </si>
  <si>
    <t>The room is clean however it is not comfortable for the size of my family. Upon arrival I requested an upgrade and was told there was none available. Please let me know if there at this time.</t>
  </si>
  <si>
    <t>Hello, I actually checked out this morning. There was an error when they initially booked my room. However my stay was a 9. Loved the room</t>
  </si>
  <si>
    <t>It's good, I'll give it an 8</t>
  </si>
  <si>
    <t>" 9 ". Bathroom is a bit tight but, other than that, everything is excellent.</t>
  </si>
  <si>
    <t>Were y'all able to take the $44 charge off of the first nights stay if the room service we did not receive?</t>
  </si>
  <si>
    <t>#5 ... a very long time to get my car but other than that it is excellent</t>
  </si>
  <si>
    <t>-1!!! Only good thing about this hotel is the view!</t>
  </si>
  <si>
    <t>Already checked out.</t>
  </si>
  <si>
    <t>...a foot rub would be nice....</t>
  </si>
  <si>
    <t>member I am only eligible for Continental breakfast. I stay at</t>
  </si>
  <si>
    <t>. .... .... . . Room is very nice have not been able to turn on projector. but not in room much so not a big concern. could have friendlier slots at Planet Hollywood</t>
  </si>
  <si>
    <t>0 wasn't helpful I missed my flight</t>
  </si>
  <si>
    <t>3. Hot water bring out was a big negative.</t>
  </si>
  <si>
    <t>(1/2) 7 - room is beautiful, waiting to talk to someone on the phone is too long, housekeeping didn't leave the bottled water we wanted and room service just ca (2/2) me up with the wrong size bottles so mixed results so far. Place is very lovely though.</t>
  </si>
  <si>
    <t>you on the next cruise!!! Clyde and Beverlye Jones</t>
  </si>
  <si>
    <t>was the child in the next room screamed half the night - definitely not your fault but if possible, it might be an idea to try not put small children in</t>
  </si>
  <si>
    <t>Just got back from visitand room has .not been serviced k</t>
  </si>
  <si>
    <t>!Sheets were dirty, ordered hot water with my hot cereal and it tasted like coffee so my meal then tasted like coffee, safe was and is still locked...so f !ar we are at a 7 but optimistic that we will get to a 10</t>
  </si>
  <si>
    <t>-2. Loud party of at least 20 people in room next to us from 3 am to 5</t>
  </si>
  <si>
    <t>The hotel stay was a 10. The access driver that took us from the hotel to dinner at sea level was getting off so he couldn't take us to the stadium. I had to beg the hostess at sea level to call the hotel so I could get you to help with a ride to the stadium. The ride that you all scheduled never showed up. 45 minutes later the security guard at the intersection used his phone and got us a ride thru lift. Meanwhile I'm on the sidewalk with my 90 year old mom in a wheelchair. I had to push her 3 blocks to the stadium. we enjoyed watching the us women's soccer team but between the nightmare of public transportation to go 1/2 mile and the total rudeness of stadium workers and spectators, going to Charlotte for any reason is absolutely not going to happen again in my life</t>
  </si>
  <si>
    <t>.Checked out yesterday, overall I would say 8. I will comment on the excellent shuttle service to/from the bungalow, I never had to wait over a couple of . minutes. Please email the receipt.</t>
  </si>
  <si>
    <t>, terrific staff. Thanks for asking.</t>
  </si>
  <si>
    <t>"Yes" I Choose to be Green and decline housekeeping service this stay, for 1,000 Hilton Honors Points.</t>
  </si>
  <si>
    <t>(2/2) actually out of pool zoomba..Not cool. Makes me wonder what other activities are wrongly advertised. Everything else is wonderful.</t>
  </si>
  <si>
    <t>(1/2) Thanks for checking. Just glad I am not working from my hotel room today. I noticed this morning that the chairs and carpet are pretty badly stained. Not</t>
  </si>
  <si>
    <t>*24 did not work for some reason. I called the desk to check out. Will you confirm and send my receipt to me please? We had a wonderful stay.</t>
  </si>
  <si>
    <t>TV Remote in Living Area not working well</t>
  </si>
  <si>
    <t>(1/2) Everything great except for water in shower either cold or hot, when trying to get warm? Also, the bathroom sink, when you turn on the hot water, the col</t>
  </si>
  <si>
    <t>(8) Great overall, but the coffee maker wasn't working this morning.</t>
  </si>
  <si>
    <t># 5 everything is Great!</t>
  </si>
  <si>
    <t>9'. Would have been a '10', but had to deal with a 4 inch cockroach in bed last night. Yuck!!!</t>
  </si>
  <si>
    <t>#8 Thank you Tanya! Good day</t>
  </si>
  <si>
    <t>(1/2) Carrie, thank you. We have a couple coming to join us for lunch at about 2 pm, it you got them to the guest insecurities list. Names are Steve organys in (2/2) Sandra Castro. If you can Kylie have cards waiting for them to join us it's a pool and beach at the main desk it would be. Thank you!</t>
  </si>
  <si>
    <t>(1/4) Morning Andrea, not the worst stay, say an 7 to 8. Tv's had no signal on 2 of 3. Coxial Connectors at back of Tv's needed to be reset suspect a poor groun (2/4) d. You mentioned that maintenance was coming out but instead house keeping came n left 2 bags of towels and bedding at the door. The base sheet on the ki (3/4) ng size bed is a gueen and does not cover the bed at your feet. The tv stand has a hanging handle on the bottom drawer. Just letting you know as most wi (4/4) ll not let you know, but we are having a good time. Thank you</t>
  </si>
  <si>
    <t>0. Horrible experience</t>
  </si>
  <si>
    <t>I checked out and changed the reservation with Johanna Tuesday evening to check out Wednesday due to work schedule changes.</t>
  </si>
  <si>
    <t>(English speaking) very well. I felt bad that some one would treat your staff in that tone and manner. Your staff has always been the VERY BEST. 10. That is why I enjoy coming back and try to stay that this location when possible. Mildred and a young man at the front desk , managed a VERY RUDE</t>
  </si>
  <si>
    <t>I never received my extra 4 feather pillows:(</t>
  </si>
  <si>
    <t>all is good. The one problem I'm having is that my entry door gets stuck. The person at the front desk helped me last night by basically shoving it hard. Would be nice if you could have someone take a look at that</t>
  </si>
  <si>
    <t>0 absolutely terrible</t>
  </si>
  <si>
    <t>I had a wonderful stay. 10</t>
  </si>
  <si>
    <t>* quiet room 5 is highest. Came here to relax and requested quite room, yet Abraham placed is next to a small dog and a child that mimics the dog when the dog barks. That's what I was listening to at 630 in the morning. My wife and I felt like just going back home.</t>
  </si>
  <si>
    <t>0 because parking is awful!!</t>
  </si>
  <si>
    <t>(1/2) 7+ More towels needed and fan in bathroom barley works and sink (2/2) drains slowly. Rest all good?</t>
  </si>
  <si>
    <t>0650, 0652, 0654, 0660, 0684 checked out</t>
  </si>
  <si>
    <t>0. Room is hot and champagne and fruit was not in room</t>
  </si>
  <si>
    <t>10. In Muir Woods hiking. Thanks</t>
  </si>
  <si>
    <t>(2/2) while up here if they do come with me next week. (1/2) 4. Room isn't as nice as last time, but (I think my driver's name is Theresa), but she is great and offered to write me a list of thinhs my family can do</t>
  </si>
  <si>
    <t>... before we realized, the entire beach was cleared leaving my family (two 2yr old and a 10-mo old) stranded. No warning. No offer to help. Just terribly cold, in several ways</t>
  </si>
  <si>
    <t>(2/2) ttle hot for me at night? (1/2) Mmm I didn't like that there was no A/C in the room. It was a li</t>
  </si>
  <si>
    <t>"0" I'd never attempt to stay there again.... Have a Great Day!!!</t>
  </si>
  <si>
    <t>I have checked out and not received a receipt. Otherwise my score would be higher</t>
  </si>
  <si>
    <t>Need thicker windows. The trains kept us up all night</t>
  </si>
  <si>
    <t>(2/3) ey did not work. Went to get new sets and didnt get into room to settle intl 45 minutes later. Very much appreciate all on 4th floor. Breakfast was goo (1/3) 3.50 rating. Would have rated 5.0 but 2 of 3 rooms were not ready. 2nd room available 10 minutes later. Last room not available until 25 minutes, and k (3/3) d and parking valet great.</t>
  </si>
  <si>
    <t>#8. Very nice people and service but need more variety for restaurants</t>
  </si>
  <si>
    <t>0 smells horrible and very musty in my room</t>
  </si>
  <si>
    <t>(1/2)10 but no one refreshed my coffee setup yesterday so I got more coffee and creamers from Housekeeping last night. Also, my trash was still not collected</t>
  </si>
  <si>
    <t>1. Is Paige working today?</t>
  </si>
  <si>
    <t>I give it a 8! Thanks ?</t>
  </si>
  <si>
    <t>6-meeting room very cold although an adjustment has recently been made.</t>
  </si>
  <si>
    <t>...You have the wrong number</t>
  </si>
  <si>
    <t>How about a 25?! You and everyone else we've interacted with have been outstanding! But if you insist that I use your scale, how about a solid 10!</t>
  </si>
  <si>
    <t>0!!!! You put me in a room directly under the fitness center. You should never offer the rooms on the 11th floor directly under the FC, especially when 90% of the 11th floor is vacant!</t>
  </si>
  <si>
    <t>I have a COMPLAINT</t>
  </si>
  <si>
    <t>Very nice. 8. Any chance to get an upgrade? We are here because my Son had a tragic spine injury. Does Hilton provide any type of rates for that at any of the area hotels? Thanks</t>
  </si>
  <si>
    <t>0 I had to cancel Family emergency</t>
  </si>
  <si>
    <t>doing it???? Otherwise, okay!</t>
  </si>
  <si>
    <t>(5) water was the issue when I needed to shower after traveling all day. The rest is fine.</t>
  </si>
  <si>
    <t>An you please confirm this reservation is cancelled given the above cincersatiknv</t>
  </si>
  <si>
    <t>(1/2) Hi Fabian, we called down twice yesterday concerning our T.V. remote not working, someone from desk said they would call me back, but never did. I call ag (2/2) ain, someone was going to swap out remote, but never came. Our T.V. remote is still not working.</t>
  </si>
  <si>
    <t>-1. Room not cleaned and no towels</t>
  </si>
  <si>
    <t>I cannot tell you how disappointing the experience was.</t>
  </si>
  <si>
    <t>0. I actually didnt get a room. Meaning we had urine smell on our room and its was very bad. Without getting us accommodated else where</t>
  </si>
  <si>
    <t>0 our experience was horrible. I will be sharing my experience with your corporate office as well as sharing on all social media platforms and consumer driver sites. I am currently filing a complaint with the Better Business Bureau.</t>
  </si>
  <si>
    <t>You cancelled my stay after I requested it do to the hurricane. Please refund the 341 dollar charges that you texted would be waived. Thank you</t>
  </si>
  <si>
    <t>0 Maira My friends and I were kicked out of the room and I cannot get an explanation why, nor have I been able to talk to management. Your staff was very unprofessional I want a refund.</t>
  </si>
  <si>
    <t>0. Nobody got back to me!</t>
  </si>
  <si>
    <t>4. Just for information purposes on was on floor 4 room 421 which is suppose to be quiet after a certain time. I was awoken at 11 - 1 am from the next room I assume partying.</t>
  </si>
  <si>
    <t>I'm I'll do I really need my sleep. Because of last night we are leaving today. WS going to call front desk at 5 am but they did finally settle down</t>
  </si>
  <si>
    <t># 5. Even with the remodeling going on there. We had a very good stay. Thank you</t>
  </si>
  <si>
    <t>Sasha so far it is a 10 thank you for checking in</t>
  </si>
  <si>
    <t>(1/2) Still having trouble getting a good Wi-Fi signal and very noisy from folks above us dragging chairs or something across the floors?? Any chance of getting (2/2) a different room with a view as we had requested? Thanks much</t>
  </si>
  <si>
    <t>(6) The freezer froze the food we had in their , deli roast beef,deli turkey and a loaf of bread. 3 7ups frozen. If we would've known before hand we would've turned it down. Because the deli meats were expensive</t>
  </si>
  <si>
    <t>"5" All the way! Thanks for everything ?</t>
  </si>
  <si>
    <t>0, we don't check in until Saturday</t>
  </si>
  <si>
    <t>if that family is staying in the room again tonight?</t>
  </si>
  <si>
    <t>(1/2) 9 but not happy with yesturdays 44 dollar breakfast charge for two slices of beacon a crossant a french toast and a coffee to the room and room service (2/2) forgot the beacon</t>
  </si>
  <si>
    <t>have a better view of the city. Other than that, all was good</t>
  </si>
  <si>
    <t>#5 you guys are the BEST</t>
  </si>
  <si>
    <t>Mm . B. N b b .., l</t>
  </si>
  <si>
    <t>10 This was anniversary weekend for us. You all are the BEST. We plan to come back next month.</t>
  </si>
  <si>
    <t>#5 excellent place to be.</t>
  </si>
  <si>
    <t>-1,Just guys had"One Job" ,provide a room I'd love coming back to each day. You failed. The rest of trip is on my Wife and I, and we're handling that well .One job!</t>
  </si>
  <si>
    <t>(9), not as mobile as I would like to be. Injured an already injured knee stepping into the hot tub.</t>
  </si>
  <si>
    <t>(1/2) I checked out early this morning. I had a nice night. The room was very clean. Please tell Shay I put a tip together for him, but couldn't drop it off. C</t>
  </si>
  <si>
    <t>-1. Very disappointing</t>
  </si>
  <si>
    <t>We need more towels please</t>
  </si>
  <si>
    <t>#5 rating for our resent stay at Hilton Wilmington/ Christiana. Our room was excellent. Will come back again soon, thanks. LeVern</t>
  </si>
  <si>
    <t>10. Thank you for checking</t>
  </si>
  <si>
    <t>(1/2) Things are going better. I'm going to be generous and give a 7 rating for a number of reason. I will say that for every bad experience someone comes alo (2/2) ng and makes it better.</t>
  </si>
  <si>
    <t>. Room is great. The TV is pretty small for a room this size, but 9/10 overall!</t>
  </si>
  <si>
    <t>0. Remember I cancelled?</t>
  </si>
  <si>
    <t>(1/2) Asked housekeeping for more coffee supplies and they ran them right up :) Could also use more tp...surprised you stock that cheap 1 ply stuff :(. Hilton h (2/2) otel chains provide the good stuff, why not this pemier HGVC peoperty?</t>
  </si>
  <si>
    <t>(because of our kids) and maybe refill our coffee. Is it too late for housekeeping to pass by later?</t>
  </si>
  <si>
    <t>Get better irons that do not leak when trying to iron clothes.</t>
  </si>
  <si>
    <t>Might be my room tomorrow night also</t>
  </si>
  <si>
    <t>Wry well thank you. Can we get a new plastic bag for the ice bucket please?</t>
  </si>
  <si>
    <t>(1/2) Hello Maura, I've tried to pick up my welcome packet twice today since 10am. No one has been available at the Experiences desk. It would be nice to not (2/2) have to keep trying to pick up something I was told would be available. Not a 10.</t>
  </si>
  <si>
    <t>hi I'll be checking out now a day early</t>
  </si>
  <si>
    <t>Quick question ... if I am a Hilton honor member do we receive complementary water bottle? Regardless my stay is so far a 9</t>
  </si>
  <si>
    <t>"A"for effort, But that's it: rating 4 of 5. Good: liked text checking in on my stay. Front desk helped with bed issue sending someone up to try and fix it. Air cond fixed. Bad: bed issue. Deflating left side / air conditioner was very loud / parking, terrible due to golf club. Front desk should advise you where to park and issues. Appreciate the opportunity to vent and extra points and comp night.</t>
  </si>
  <si>
    <t>0. Still waiting to hear back that room is ready. Otherwise we are enjoying lunch and shops at Mizner Park</t>
  </si>
  <si>
    <t>8 ... only because I thought you meant street construction not renovations .... kinda louder than we expected</t>
  </si>
  <si>
    <t>All is fine thank you for checking in. Found my number; ###0019</t>
  </si>
  <si>
    <t>(1/2) 8. Great location. Only things I saw was no bath mat in the ba (2/2) throom and too early to vacuum in the hallway. ☺</t>
  </si>
  <si>
    <t>$30 for a microwave...really?</t>
  </si>
  <si>
    <t>(1/2) 3 ..its the bathroom it has a bad smell in here like some type water damage an muggy when air not on ..the door looks like it flooded in here......the (2/2) Jacuzzi is not hot its cold..but nice customer service..thank you</t>
  </si>
  <si>
    <t>(1/2) Hi James. I wish i could say this has been a more enjoyable experience. But this morning it took us an hour to receive fresh towels. We are here for a (2/2) wedding and rushing to bath so we are not late.</t>
  </si>
  <si>
    <t>lobby outside our room all night.</t>
  </si>
  <si>
    <t>-10 Thank you so much!</t>
  </si>
  <si>
    <t>(2/2) tly appriciated.... (1/2) 5 the people at the front desk and house keepers are really nice and lounge personel are understanding and nice to my sone with disabilities which is grea</t>
  </si>
  <si>
    <t>10++++!!!!! Thanks</t>
  </si>
  <si>
    <t>(1/2) I stay with your hotel when I come to town and am always very pleased with the services. I only wish room service was available all week as I never know (2/2) whoch nights of the week I will be in town.</t>
  </si>
  <si>
    <t>9! I only wish you had a place to fill water bottles to be more sustainable</t>
  </si>
  <si>
    <t>0. It's been a terrible experience so far with everything fro the room the service and the restaurants.</t>
  </si>
  <si>
    <t>"5" We found what we were looking for with ur help in minutes thanks again!</t>
  </si>
  <si>
    <t>If you can get me a sitter at 7 pm, we'll be jake, fives all round</t>
  </si>
  <si>
    <t>(1/2) 8! Thanks Erica. I am part of the leadership team with Zeta Phi Beta. I am trying to find a clothing rack on wheels that I can use for a few days. I've be (2/2) en placed.on hold by 2 departments. Is there any way you can help?</t>
  </si>
  <si>
    <t>0! Your poster says to text for gift ideas and you ghosted me.</t>
  </si>
  <si>
    <t>I would like a room upgrade with no charge. There were hidden fees that I was not aware of prior to check in and reservation. The room doesn't have a nice view that we were shown online. I would rate my experience right now a 4 unfortunately since I was recommended to come here.</t>
  </si>
  <si>
    <t>#10! Thank you so much!</t>
  </si>
  <si>
    <t>#1-10 hi Luisa! Thank you for checking in with us one thing we could use is a late checkout tomorrow as you will recall we have a 2 babies and a 3 yr old with us, what can you do for us?</t>
  </si>
  <si>
    <t>(1/2) I would ask you to please encourage the drivers of the maintenance golf carts to not text and drive. We were almost run down and he didn't even notice (2/2) when we jumped out of the way. Close call!</t>
  </si>
  <si>
    <t>"9" I like going to the gym, but the gym is always pack, especially in the morning</t>
  </si>
  <si>
    <t>#8 because we did not get our first of 2 rooms until 4:25 we were there waiting since 2:30 I realize no early check in but we were told at 4 no 4:15 no room ready then I called front desk and room was ready</t>
  </si>
  <si>
    <t>0 because I am having to respond to texts about my stay when I haven't even checked in yet (which you should know). Seriously it is good to have a way to text you for help should I need it but...having to spend my time checking my phone for comms I don't need isn't helpful</t>
  </si>
  <si>
    <t>(1/2) 2. I'm not happy with service. I expected better from a Westin. Ice machines are out of service. Fan has not been delivered after being told that hotel ha (2/2) s them. Paper coffee cup in room had been used.</t>
  </si>
  <si>
    <t>-the tall lamp in the living room is broken. -can we get more sets of the shampoo/conditioner, soaps, lotion -need 2 more bath towel sets Thank you!</t>
  </si>
  <si>
    <t>(1/2) The staff of Palmer House is exceptional! Housekeeping on yesterday didn't remove dirty dishes and replace the towels used. I left her a tip prior to cle (2/2) aning the room, because she told she was off today. I still rate you as 5 so far. Thanks for checking on us.</t>
  </si>
  <si>
    <t>0 - We had roaches in our unit. This was so disappointing. My mom just had major surgery and this trip was her first long term outing. The resort said they would give us $100 back but that doesn't equate to what should have offered to us. We have travelled over 13 hours to get here and were disgusted to find this.</t>
  </si>
  <si>
    <t>#9. Everything is very nice thank you.</t>
  </si>
  <si>
    <t>(1/3) My room is nice. I'd rate about a 4. I had to find glasses for beverages, but found them in the closet behind the luggage rack. The toilet paper holder in (2/3) the bathroom is awkward and on the upper left side (assuming the commode is bring uses) instead of beside the toilet on the vanity. Elevators have worked (3/3) quickly and I have found the location to be convenient and either a short walk or taxi ride.</t>
  </si>
  <si>
    <t>#10, I always enjoy my stay.</t>
  </si>
  <si>
    <t>(2/2) the bed would not need made and maybe that is why they did not clean. They never cleaned the room and we had to ask for towels and cloths. (1/2) Our toilet in room 216 was not flushing properly and the off nd on phone service had no dial tone but has been fixed. Also I put my gown on the bed so</t>
  </si>
  <si>
    <t>Waive the microwave fee</t>
  </si>
  <si>
    <t>2 b/c I have been put in half of a normal room size</t>
  </si>
  <si>
    <t>-the check in person was not very nice -when leaving or going in the room the door didn't close - ac had issues. Set at 64 and never got real cold in room -and when I went to leave after waiting a bit they came up and said that my car was blocked in and they were trying to find keys to other car Went back in ac in lobby and after awhile we went back out to group employees standing together. They asked if needed car. We said we were waiting then they all moved and we got our car delayed our departure</t>
  </si>
  <si>
    <t>0. I have been waiting 2 hours for my car. still not here.</t>
  </si>
  <si>
    <t>0 - this was the worst hotel experience I've had as a 7 year gold Marriott rewards member.</t>
  </si>
  <si>
    <t>0 for the check in. My room wasn't ready until 5 pm. 5 since I checked in</t>
  </si>
  <si>
    <t>0. This was a miserable experience</t>
  </si>
  <si>
    <t>0- i only stayed one night and am back in Maryland now</t>
  </si>
  <si>
    <t>#10, what time is checkout?</t>
  </si>
  <si>
    <t>Very fine. Thank you for asking.</t>
  </si>
  <si>
    <t>(4) The room was not cleaned well. Gum was struck on the shower floor. The dishwasher was not clean, the stove was not cleaned. The master bath tub had spots. The kitchen table was clean but you could tell the furniture was worned.</t>
  </si>
  <si>
    <t>(1/2) Thanks for checking in. Is it possible for us to get a spatula (pancake turner), dishwasher soap and toilet paper? Or should I check with housekeeping? (2/2) I was surprised that there was no spatula with the kitchen utensils. Thanks again.</t>
  </si>
  <si>
    <t>0.7586 LMBO... having a great time</t>
  </si>
  <si>
    <t>#9. The only reason I don't give a 10 is because of the unappetizing snacks at cocktail time last night. Otherwise a very nice stay. Thank you for asking.</t>
  </si>
  <si>
    <t>(2), honestly not my best stay. The first room I was given had a bad odor, like sewage. I was with the concierge at that time and he smelled it too. Ordered food last night and when it was brought up to my room they forgot my drink. I ordered a soup and they also forgot to bring a spoon and napkins. I'm out here on business, and while attempting to sleep last night, I woke up sweating because the AC wasn't working. Called the front desk and they sent a maintenance tech up to the room. The vents were blowing out air up to 77 degrees. It eventually got so hot in my room last night that I couldn't sleep at all and a box fan was eventually brought up to my room. I've been a HH member for a while now and I've never had issues like this. I know it's uncommon, but this really wasn't a very pleasant stay.</t>
  </si>
  <si>
    <t>#5 Hot water is barely warm Bathroom exhaust system does not suction The toilet AIR but it works opposite bring air in I was surprise of paying by force $28 a day to park my rental car</t>
  </si>
  <si>
    <t>(1/2) It is going well. I had an issue with the toilet, but the maint man addressed. I asked for hskpg svc while i was out this morning and they accomodated me. (2/2) Very good so far. Started with you.</t>
  </si>
  <si>
    <t>(9) No inconvenience. Everything was fine. Just wanted to bring it to your attention. Thanks.</t>
  </si>
  <si>
    <t>5. Great....thanks for to the follow up</t>
  </si>
  <si>
    <t>Thanks Dean all good?</t>
  </si>
  <si>
    <t>0! We cancelled and went elsewhere!</t>
  </si>
  <si>
    <t>(1/3)Actually I was going to call before we headed out to jade waters. I previously asked for extra towels and a couple extra pillows when I spoke to tray on</t>
  </si>
  <si>
    <t>(1/2) Going good. Thanks for checking. 9. I didnt get a parking pass. So i need to show my room key to the attendant each time i come in. I will come by and get (2/2) my pass later this evening.</t>
  </si>
  <si>
    <t>(1/2) Hello. Thank you for checking. We have an issue with our toilet in our attached room 14-262. The toilet won't stop running. Will you have someone fix this</t>
  </si>
  <si>
    <t>Definitely a 10, particularly after your text.</t>
  </si>
  <si>
    <t>(2/2) end getaway pkg. (1/2) Hi Keith, all good thanks. I'd say an 8. Can u tell me if our rooms are setup for a later checkout for tomorrow? We had requested when we booked the week</t>
  </si>
  <si>
    <t>Kimberly / I hate to be picky - but our room is cleaned yet they left ironing boards out and left over cocktails from last night on the desk. I'll put them in the hall myself. Wiping down surfaces must be a little out dated.</t>
  </si>
  <si>
    <t>(1/2) Thank you. Our king suite is roomie and comfortable. We would rate it an 8. Would have rated 9 if there were a couple water bottles in the fridge. Would h (2/2) ave rated a 10 if the $13 /day self-park fee was waived though.</t>
  </si>
  <si>
    <t>! Tgen next week i stay with my otger son in tge city. Come to see my grandkids too! Hi Karlyn... thanks for askin how stay is here at Fairmont! I alsYs stay here at least one nite til my son picks me up to stay athis house in Spring Lake</t>
  </si>
  <si>
    <t>No..we're good. Thank you</t>
  </si>
  <si>
    <t>(1/2) All good thanks for asking. At conference now. If any rooms open in other tower or suites let me know. Should be done here before 6, so I'll come see you. (2/2) Otherwise text me with some updates.</t>
  </si>
  <si>
    <t>(1/2) I have been trying to get mamagement to contact me. I am very disappointed with our rooms. We always stay at El Condado Hilton, but after this stay we wil (2/2) l b staying elsewhere.</t>
  </si>
  <si>
    <t>Doing good with everything. Thanks</t>
  </si>
  <si>
    <t>Wonderful. No thank you we are going to bring our baggage down and wait for our room to be ready!</t>
  </si>
  <si>
    <t>Good afternoon, is there complimentary beach chairs and towels from the hotel?</t>
  </si>
  <si>
    <t>(1/2) Well I would say 5.....the room had a musky..meldew smell..they came and sprayed air freshener but it strong in the living kitchen area...that was very (2/2) annoying so I'd open the patio door.. maybe the filter needs cleaning or changing for air</t>
  </si>
  <si>
    <t>*how was my stay? It was excellent. Only issue was with the elevators. A lot of them were having issues</t>
  </si>
  <si>
    <t>Could you guys get our car for us please</t>
  </si>
  <si>
    <t>Why should I? You never got back to me to answer my questions!</t>
  </si>
  <si>
    <t>(1/2) We have always loved staying here every time we come to Orlando.Just surprised that some of the past conveniences were not in this room.Desk lamp,lighted (2/2) makeup mirror and coffee table. The design of the rooms may have changed. Otherwise 10 for staff,pool area,Bull and Bear,Aquamarine and Oscars.</t>
  </si>
  <si>
    <t>(1/2) My stay is good so far. An 8. Reason for not being a 10. Plug in outlets around the bed for my phone to charge or me to work on my computer there is none. (2/2) Would be better if there was an extra chair or an 'L' shaped couch in the living area. Remote control in the living room is not working properly.</t>
  </si>
  <si>
    <t>Going well, 9. I am departing on Wednesday and will not need a bellman thank you.</t>
  </si>
  <si>
    <t>"9" thank you for asking!</t>
  </si>
  <si>
    <t>(1/2) So far minus the weather... all good... 3.75 out 5 accommodations are good breakfast was cold in the Buffett.. service was ok... understand that it was pa</t>
  </si>
  <si>
    <t>9. All good. Our uber driver said he could have picked us up at the hotel but hotel sent across street to terminal 2. Other than that all good.</t>
  </si>
  <si>
    <t>"10" thanks for checking in</t>
  </si>
  <si>
    <t>-untidy Kleenex and toilet paper in the room -no hair conditioner in the room -very long line at checkin, including the digital checkin line</t>
  </si>
  <si>
    <t>(1/2) Hi Jeff..things are going well. The only item is the cold water doesn't work in the shower..hot water is perfect and the breaker trips in the bathroom and (2/2) the light won't come on.</t>
  </si>
  <si>
    <t>#8 The sink was clogged up yesterday. I asked to call an engineer this morning. I hope it have already cleared. Thank you.</t>
  </si>
  <si>
    <t>"10" for sure, Alex! Thanks. BTW there's a room service tray in the hallway by #901 that's been there a couple days...can someone take it away?</t>
  </si>
  <si>
    <t># 10 especially bar staff Monday late night.</t>
  </si>
  <si>
    <t>(3) The air conditioning barely works. I was going to address this when I returned from working at the Hospital today. I stay at Hilton properties all over the country and the AC in this hotel is terrible. It shouldn't take 5hrs to cool down the room. The thermostat programmed not to go below 65 is ridiculous. At any rate, please do not send maintenance until I return. Thank you</t>
  </si>
  <si>
    <t>#5! Location behind Hancock. Rental bikes next block. Room perfect. Rooftop bar. Desk and service people wonderful. I'd stay again.</t>
  </si>
  <si>
    <t>-10. For the temperature! Just kidding. 10. Everything is great. The service in the restaurant was accommodating this morning</t>
  </si>
  <si>
    <t>"10"! Thank you for asking :)</t>
  </si>
  <si>
    <t>A 5 for sure, sorry I didn't stop be to pick up the 20 percent vocher . Next time, thanks. Douglas Simison</t>
  </si>
  <si>
    <t>(1/2) Thank you for your help yesterday Sara! I really needed the ice (2/2) for my back last night.? You get a 5+!</t>
  </si>
  <si>
    <t>#5 definitely! Thank you Erich!</t>
  </si>
  <si>
    <t>(1/2) Hi Rosalinda! I would rate our stay a 5 right now. There is a sour-like smell out in the hallway and it is starting to permeate into the room. I just (2/2) spoke with the elite desk about it. Hopefully it can be figured out. Thank you! Rhonda</t>
  </si>
  <si>
    <t>(1/3) I would say a 7 based on noise level above us. Could hear toilet flushing well over 20 times, chairs scraping over the tile floor repeatedly and conversa (2/3) tions starting approximately 5:30 a.m. this morning. Soundproofing is terrible between floors. The staff is wonderful very professional and helpful they (3/3) would get at 10</t>
  </si>
  <si>
    <t>(1/2) Hi Gabrielle everything was going fine until we actually saw a rat next to the beach restaurant bar the manager that took care of her $65 bill but the one (2/2) time I go to a resort during the year I shouldn't have to see something like that</t>
  </si>
  <si>
    <t>Everything was WONDERFUL. No bell man is needed. Thank you</t>
  </si>
  <si>
    <t>(1/3) 10 so far..the bell person was super nice...I didn't see his name... tall black guy, well spoken. He clarified some things for me about the conference. Al (2/3) so, I thought Ezra the valet guy was very nice as well he could've taken my $40 last night &amp; I wouldn't have thought any differently but he explained that (3/3) I would billed &amp; he told me not to give him any money</t>
  </si>
  <si>
    <t>(1/3)4 is my rating given the confusion in service to clean the room, not having a sufficient amount of utensils and dish ware and being harassed by the owner</t>
  </si>
  <si>
    <t>Nuestra experiencia hasta el momento ha sido excelente (10)! Gracias :)</t>
  </si>
  <si>
    <t>(1/3) Probably a 5. The first night was in a room in building 10 next to the elevator machine room. Very disappointing, as we booked the trip in November and (3/3) desk did a great job accommodating us. (3/3) desk did a great job accommodating us.</t>
  </si>
  <si>
    <t>Haydee, i checked out this morning but thanks for the message</t>
  </si>
  <si>
    <t>(4) better parking and water bottles in the frig would have been a nice touch</t>
  </si>
  <si>
    <t>(1/3) It's ok. Only ok because the walls are thin and I can hear the neighbors talking. Secondly, If the deadbolt is turned to the left a little, the electron (2/3) ic key won't work. The occupant needs to turn the deadbolt knob to the right before leaving not just the main handle. I couldn't get in a couple of tim (3/3) es till security told me to keep the deadbolt to the right. It probably needs to be lubed up..</t>
  </si>
  <si>
    <t>Teas good, thank you</t>
  </si>
  <si>
    <t>The service is 10. The lighting isn't very good in the room. Otherwise it is good.</t>
  </si>
  <si>
    <t>(1/2) Sabrina, because of your customer service, I will give a 9. The hotels business center didn't have a printer attached to the computer. Would have been (2/2) nice to print out a document. Thanks for your service.</t>
  </si>
  <si>
    <t>0. leave me alone whore</t>
  </si>
  <si>
    <t>No need to schedule a bellman. Thx</t>
  </si>
  <si>
    <t>(1/2) It's going good. Rating of 7. The flush makes a lot of noise. The temperature does not go down in the bedroom much even if set at 60. More regular cofee w (2/2) ould be nice.</t>
  </si>
  <si>
    <t>#9 room is a bit old with a not appealing view (Closet and Bathroom).</t>
  </si>
  <si>
    <t>Well I love the Hilton however my neighbor at my last visit in room 302 was really loud they were partying all night I couldn't sleep I called the front desk but they didn't send security anyways I'll be coming today I'm trying to maybe book a room</t>
  </si>
  <si>
    <t>#4 cold shower cold shaving Don't take cash at breakfast No simple keto eggs and bacon choice Love room layout, clean as always</t>
  </si>
  <si>
    <t>Jennifer, my stay is going great, a big 10 for your facility.</t>
  </si>
  <si>
    <t>(9). Entry door has a loose or stripped screw and hard to open. Otherwise everything going very well.</t>
  </si>
  <si>
    <t>"9"☺️. Haven't used the resort's amenities just yet. Would be checking on us. interested in receiving your schedule of activities though. Thnx for</t>
  </si>
  <si>
    <t>0 terrible u didnt let me stay</t>
  </si>
  <si>
    <t>I would say a 9 now . It was ruff sailing on are first night , but It was resolved very quickly . Thank you ...</t>
  </si>
  <si>
    <t>and the restaurant is quite good. I would like to see USB charge outlets in the room though and some dish towels so I wouldn't need to use the white</t>
  </si>
  <si>
    <t>#10.......is I possible to get the safe replaced in our room? For some reason it's not working. Thank you</t>
  </si>
  <si>
    <t>( 10 ) Thank you very much, Mariselle Avila:)</t>
  </si>
  <si>
    <t>(2/2) ive notification it was ready til 1917. The score is low. I was hot and miserable (1/2) Terribly upset that i arrived at 10am yesterday reported how exhusted i was, told maybe my room would be ready before check in. It was not. Did not rece</t>
  </si>
  <si>
    <t>"10" Thank you for checking.</t>
  </si>
  <si>
    <t>arrival. A lot of hair in the tub and all over the floor. I cleaned it up but was very taken back not usual standard for the springs</t>
  </si>
  <si>
    <t>0, not even a 1 at this point. Incredibly bad experience.</t>
  </si>
  <si>
    <t>I think I left my universal Studios pass in my room before I checked out anyway I can get it?</t>
  </si>
  <si>
    <t>! We have checked out and I'm now walking into Walt Disney. have a magical day!</t>
  </si>
  <si>
    <t>0 - my accommodation was not suitable for me to stay so I asked for a full refund and checked into a different property</t>
  </si>
  <si>
    <t>0- they canceled my reservation as a gold member because it was an old credit card. Thomas was not helpful at all. Will not be staying there again.</t>
  </si>
  <si>
    <t>(1/2) 10 for service and experience, however I would recommend when the budget allows to upgrade the windows in the room. We could hear motorcycles and the wind (2/2) was blowing through all night. Thanks for the checkup!</t>
  </si>
  <si>
    <t>The trash needs removed on the 6th floor of building 2.</t>
  </si>
  <si>
    <t>"10" !!! Thank You !!</t>
  </si>
  <si>
    <t>0 very disappointing I will be writing a letter when we get home</t>
  </si>
  <si>
    <t>(1/2) 10, quick question. I have an early flight Thursday morning. What's the best way to schedule a taxi to pick me up at 3:55am Thursday morning from the (2/2) arizona biltmore entrance?</t>
  </si>
  <si>
    <t>#5. What a difference a day makes! Have a great day!</t>
  </si>
  <si>
    <t>(1/4) You can speak to the 2 gentlemen who were standing outside of my Room bitching about how a guest left a bag of trash outside of their Room and in their co (2/4) mplaints about this guest and others they said and I "the guests do whatever they want they don't care" it's all over a bag of trash. The trash was from (3/4) the container under the sink which looks like a large of amount and I had to listen to this at 10 o'clock this morning. If you're going to complain abou (4/4) t guests I suggest you do it when you're not standing right across the Hall from a room that is occupied.</t>
  </si>
  <si>
    <t>0 if I could I would get my money bk</t>
  </si>
  <si>
    <t>#7; hot water in the bath is not hot enough- it is Luke warm.</t>
  </si>
  <si>
    <t>0, now my key is not working!</t>
  </si>
  <si>
    <t>#pennyalberry@gmail.com</t>
  </si>
  <si>
    <t>0! Not even a 1. You somehow checked somebody into my room and Walked me, a diamond member! I'm still not registered there and you are sending me text. I am speechless.</t>
  </si>
  <si>
    <t>I don't check in until Friday</t>
  </si>
  <si>
    <t>neck was very sure. I woke up through the night and used a towel instead.</t>
  </si>
  <si>
    <t>5 No thank you I am all good</t>
  </si>
  <si>
    <t>-5 nobody responded for 20hrs, not real helpful</t>
  </si>
  <si>
    <t>(1/2) 10....HGVC.. As far as the Pool @ the Flamingo they're telling us it's $11.00 for guests @HGVC...We told them we were told that it us free entry for HGVC. (2/2) .did we miss something...please let us know..thanks...</t>
  </si>
  <si>
    <t>0! The housekeeping services are the worst. Bed not made, dripping bathtub faucet, running toilets. None of this handled as promised. I can say more!!!!</t>
  </si>
  <si>
    <t>Can you tell me what restaurant has the breakfast buffet!</t>
  </si>
  <si>
    <t>-Brandon just fyi those chocolate strawberries never arrived yesterday...</t>
  </si>
  <si>
    <t>006552. Please bring our car up. Thank you!!!</t>
  </si>
  <si>
    <t>0. We left because there was no response</t>
  </si>
  <si>
    <t>#9 But the gym is lacking actual workout equipment!! Otherwise I would have given a 10</t>
  </si>
  <si>
    <t>10. Love the place. I checked out.</t>
  </si>
  <si>
    <t>(1/2) Stacey Crowne Plaza Ballpark is always 5+ Front desk staff ALWAYS kind and willing to help especially Chelsea; should promote her before someone steals he (2/2) r away.</t>
  </si>
  <si>
    <t>0....everything is wonderful except you keep calling about owners meeting despite our repeated requests not to be bothered again because we are not going to buy more points.</t>
  </si>
  <si>
    <t>"10". Would it be possible to get a later checkout tomorrow? Would 1:00 be OK?</t>
  </si>
  <si>
    <t>$30 again at the parking lot gate when I left hotel? Want to validate if there was an additional $60 automatic charge to my room for two days of parking Is it possible to obtain my receipt via email? Need to validate parking fee as I paid $30 at the parking deck gate when left for dinner Sunday and paid another</t>
  </si>
  <si>
    <t>...having a blast. Thanks, Terrell.</t>
  </si>
  <si>
    <t>"4" I didn't receive my travelers discount</t>
  </si>
  <si>
    <t>So far so good!! My husband forgot to bring a toothbrush. Can we have one brought to our room</t>
  </si>
  <si>
    <t>0 ... very dissatisfied</t>
  </si>
  <si>
    <t>So far so good....last day, seeing the sights</t>
  </si>
  <si>
    <t>(1/4) Room is great except for the smelly feet smell in the bathroom. (4/4) so I know for next time. Overall so far you get a 10? (4/4) so I know for next time. Overall so far you get a 10? (4/4) so I know for next time. Overall so far you get a 10?</t>
  </si>
  <si>
    <t>Hi just came back to our room and the bed hasn't been made etc do you guys do that?</t>
  </si>
  <si>
    <t>(1/2) 3 safety at night at the south tower. No lights also. ALL of your customers should be able to park for FREE. The carpets in the rooms and hallways are fil</t>
  </si>
  <si>
    <t>Hi Edwin, this is how your restaurant serves a carry out salad. Really hard to eat. Especially if they don't give you any tableware. Good grief!</t>
  </si>
  <si>
    <t>(1/2) 10 because it saves the time HOlDING on a phone then they come back and say sorry you have the wrong extension and hangs up?! I had a quick reply and (2/2) information i needed. GREAT SERVICE... Thanks...</t>
  </si>
  <si>
    <t>Good. Can you send housekeeping up to our room to remake one of the beds please?</t>
  </si>
  <si>
    <t>0. I checked out. You need to update your information.</t>
  </si>
  <si>
    <t>(1/2) Just great thanks. You might want to tell people that there is a privacy shade behind the sheer shade. I had no idea until my light was turned off and the (2/2) n i had a full view of half dressed people across from me...not sure they knew you can see everything. Not a good feeling...</t>
  </si>
  <si>
    <t>#2-3. My first room, the bathroom had not been cleaned and the shampoo had not been replaced. The second room was slightly better but the curtains can't close completely and the sheets need to be changed</t>
  </si>
  <si>
    <t>#3 received unexpected $35 fee</t>
  </si>
  <si>
    <t>-20 lol 5 of course lol</t>
  </si>
  <si>
    <t>(7). I will write a complete review after I check out</t>
  </si>
  <si>
    <t>(1/2) 7 we requested building 2 pool side view !!! Room is not to Hilton Premier standards!!!! We were told we would be contacted Monday to move. Of course that (2/2) did not happen!!!!</t>
  </si>
  <si>
    <t>0 because I didn't go there.</t>
  </si>
  <si>
    <t>0. Just kidding. Other than my room key never letting us into the parking garage, all is well. Thank you. 9</t>
  </si>
  <si>
    <t>(1/2) I'd give it an 8. Nice accommodations, but my room had been assigned to another person after me, who opened the door while I was in the room. When I check (1/2) I'd give it an 8. Nice accommodations, but my room had been assigned to another person after me, who opened the door while I was in the room. When I check</t>
  </si>
  <si>
    <t>(2/2) d to make sure valet removed the ticket. The ticket# is 126349. Thank you (1/2) The stay has been wonderful. Some of our party left at 11:30 this morning with one of the cars but didnt tell valet they weren't coming back. Just wante</t>
  </si>
  <si>
    <t>"5" I was disappointed that the cleaning of the bathroom in my room was not completed. There was a used towel on the counter and a cleaning towel hanging over the shower curtain bar. The soap dish in the shower had some kind of soil on it, I rinsed it off before using it. The rest of the room appeared clean, but the bathroom left me a bit uncomfortable.</t>
  </si>
  <si>
    <t>(1/2)Hello Krystal. I'm glad you asked. The facility is beautiful and the ocean is as well. Unfortunately we are disappointed in our view of it or lack there (2/2)of. We had only a few days to go on vacation this spring and were looking forward to spending it here. This is our view....</t>
  </si>
  <si>
    <t>(1/2) Everything is fine. Did have some trouble with the thermostat in the room, spoke with someone at the desk downstairs. Hope to have it resolved when we (2/2) get back this afternoon. Thanks for checking.</t>
  </si>
  <si>
    <t>-1 bathroom is too small. Hard to function Please call the room.</t>
  </si>
  <si>
    <t>(2/2) ee of us up. (1/2) 5. People above us kept stomping around till almost 11:30pm. Called and was told security would take care of it. That was at 10pm. Kept waking all thr</t>
  </si>
  <si>
    <t>0 cause I'm not there</t>
  </si>
  <si>
    <t>(1/2) Would like to have house keeping cleaning service at least once during our 4 nt stay. Would prefer cleaner MBath shower floor tile. Let know if that (2/2) can be addressed w/ out much trouble. Your property is great.</t>
  </si>
  <si>
    <t>One word can say so much---HORRIBLE---</t>
  </si>
  <si>
    <t>Very nice. Lock out tvs don't work need batteries we called yesterday but no one came. All light fixtures are very very dirty. I am in 548 and 547. I am an owner. We are enjoying our stay.</t>
  </si>
  <si>
    <t>the room, beyond the check-in issues, she stepped up and insured us things would be resolved. Frankly, if she had not treated us with respect to solve o</t>
  </si>
  <si>
    <t>-10. No electricity in my room. Only one elevator working. How about some communication about what is going on??????</t>
  </si>
  <si>
    <t>(1/2) Overall great. However, I noticed an empty bottle of water last night behind night stand because phone wasn't charging wanted to verify plug to discover t (2/2) rash, uncleared. Someone needs to make sure they look and clean rooms properly once check out is done.</t>
  </si>
  <si>
    <t>0-5: still deciding, just disappointed- was out all morning 7am till now and came back to a dirty room. Was expecting a nice clean fresh room- also we noticed this am the sheets are stained.</t>
  </si>
  <si>
    <t>"4" -- 6 pieces missing, learned, more than ever, to appreciate my time with you guys! Did you get text about Fay?</t>
  </si>
  <si>
    <t>(1/2) 10. Very nice. Think we stayed here last around 10 yrs ago. Like</t>
  </si>
  <si>
    <t>0 at checkin, 10 since check in</t>
  </si>
  <si>
    <t>The WiFi booster made all the difference! Thank you.</t>
  </si>
  <si>
    <t>(1/2) I did NOT stay at your hotel last night and cancelled late yestetday with you due to the snow storm in Denver.I am working with Neil to get the charges r (2/2) eversed that you indicated would no be charged ay all. Someone also charged $50.20 this morning to my cancelled room?!</t>
  </si>
  <si>
    <t>(1/3) 8 The front door is tricky. The door handle has to be turned a certain way after swiping your card before access is gained. It usually takes me several a (2/3) ttempts. Both rooms (1511 &amp; 1513) are this way. I've never experienced this at this property before. It's a little frustrating because it's so cold outsi (3/3) de. Other than this, all is great as usual.</t>
  </si>
  <si>
    <t>(1)room had a musty smell. I didn't stay at my room last night</t>
  </si>
  <si>
    <t>"10" if only we had a larger balcony ?</t>
  </si>
  <si>
    <t>(1/2) So far, a 10. ☺ I asked for service in our room after 2:30 when (2/2) we leave for the park. Thank you so much!</t>
  </si>
  <si>
    <t>Hi, we left at 12:30. It was great. The app says checkout is unavailable, do you know how I get my final bill?</t>
  </si>
  <si>
    <t>...this reservation was cancelled on 6 March</t>
  </si>
  <si>
    <t>#7. We called yesterday cause we could not order movies. Said it would be fixed. Called when we came back from dinner. Are working on it for whole hotel. It's still not available under Menu to order movies</t>
  </si>
  <si>
    <t>I don't think the heater is working correct in my room. I have the thermostat on 68, but the room gets to 74. I have to completely turn the unit off. I was also surprised I had to pay extra to use the fitness center.</t>
  </si>
  <si>
    <t>dishwasher but the wash cycle itself is not working right! Just d</t>
  </si>
  <si>
    <t>(2/2) restaurants and I hate to throw food away! (1/2) Thank You! What we really need is a microwave (Or access to one) if I need to ask the hotel manager please let me know. The portions are so HUGE in your</t>
  </si>
  <si>
    <t>..... I am glad you care and reach out but I must give a 3. Nothing ruins a stay more than faulty toilets and no hot water to start your days. Thank you</t>
  </si>
  <si>
    <t>We would like to request a late checkout tomorrow since we have meetings till one and fly out late. Thanks</t>
  </si>
  <si>
    <t>.... everything ok 8 for the room 9 for the staff 9 for the breakfast 3 for the firedrill in the morning ? so an 8 overall so far cheers hans-rudolf</t>
  </si>
  <si>
    <t>0- bed bugs! See you in court!</t>
  </si>
  <si>
    <t># 1 My toilet is broken and my bedding was not Changed as I found underwear from the previous person staying in my room in my sheets. Um looking for an upgrade please</t>
  </si>
  <si>
    <t>*24 Check outdoes this work</t>
  </si>
  <si>
    <t>#2. Id like to change rooms - away from fitness center. Got woke up @ 5am by weights banging.</t>
  </si>
  <si>
    <t>0... this is absolutely ridiculous...</t>
  </si>
  <si>
    <t>6 The elevators are so very slow</t>
  </si>
  <si>
    <t>09... Last name is Voohees, not voochees... Although, I do love cheeses ??</t>
  </si>
  <si>
    <t>0 Who ever is above us is like an elephant. They walked around all night. The floors squeak and they dropped something heavy twice on the floor. I am super disappointed as we asked about an upgrade prior to getting to the property and was told none was available. Then at check in was told that we could pay for an upgrade. We hardly slept and if it wasn't for the conference I would check out and leave.</t>
  </si>
  <si>
    <t>#9. Sink slow to drain and I only drink decaf coffee. Please have housekeeping leave only decaf</t>
  </si>
  <si>
    <t>#6 The room was very drafty, the toilet when flushed was very noisy, but the bed was very good.</t>
  </si>
  <si>
    <t>"10" ? all is well. Thanks for checking on us??</t>
  </si>
  <si>
    <t>(6) The toaster and coffee maker didn't work. Borh needed to be replaced. The living room door to the balcony didn't open. it needed maintenance. There is no electricity in the lamps in living room or outlet next to the refrigerator in the kitchen.</t>
  </si>
  <si>
    <t>(1/2) Hi, I'm trying to check out with the app, and I'm getting an error message. I've already left the room, and I'm at the airport. Do you need anything furt (2/2) her from me? Thank you, David DeHay, Room 470.</t>
  </si>
  <si>
    <t>(7) hotel room needs a refresh. Staff was very friendly.</t>
  </si>
  <si>
    <t>(9) I'm heading to lunch tonight now. Could I please have my room cleaned, while I'm out?</t>
  </si>
  <si>
    <t>#10 we're having a grand time. Thank you.</t>
  </si>
  <si>
    <t>0- ants or nats all over the bathroom</t>
  </si>
  <si>
    <t>000. Please remove my number!!!</t>
  </si>
  <si>
    <t>#10. I need a hair dryer</t>
  </si>
  <si>
    <t>"8" I've liked the room, and the hotel and valet staff, but the restaurant left a lot to be desired. Our waitress was rather inattentive, she took our main meal orders, but didn't suggest salad so we assumed it came with the meal, it didn't. We would have ordered it, and no bread came with Italian dinners? I believe that was a first. Also, some of my mussels were bad.</t>
  </si>
  <si>
    <t>"9 (Didn't realize there would be no housekeeping service)</t>
  </si>
  <si>
    <t>0 zero. We checked in and got trapped in the elevator. We promptly checked out.</t>
  </si>
  <si>
    <t>(5)great stay! Will be back late October. See u then. Best Regards</t>
  </si>
  <si>
    <t>(10). Thanks Broderick.</t>
  </si>
  <si>
    <t>#4, Cannot turn the heat off in this room, was up to 76 deg., had to open the window for a while. OK besides that. ?</t>
  </si>
  <si>
    <t>0. There are bugs in my room. I was just about to come to the front desk to complain.</t>
  </si>
  <si>
    <t>0. Will not stay in that hotel again.</t>
  </si>
  <si>
    <t>$50 for the refrigerator was disappointing. Most places have one in the room for free. We depend on it for storing medications. So we had to get it.</t>
  </si>
  <si>
    <t>-1 for management and proceedures , physical property 6</t>
  </si>
  <si>
    <t>(5) We need blankets it was cold last night but I did already ask our housekeeper</t>
  </si>
  <si>
    <t>... I checked out today. Room 669 isn't being charged another night correct?</t>
  </si>
  <si>
    <t>#10 üMichelle Chandler, Realtor</t>
  </si>
  <si>
    <t>(10)- can you tell me if you have room availability for Saturday and Sunday. I would like to extend my stay staying in the room I am in. Do you have availability? I did check the website but did not see availability. Please advise.</t>
  </si>
  <si>
    <t>#5 facility restaurants do not seem equipped to handle the number of people here</t>
  </si>
  <si>
    <t>,this is larrytyesiwanttheroomagan</t>
  </si>
  <si>
    <t>was no continental breakfast included for the price.</t>
  </si>
  <si>
    <t>(2/2) the promo code (1/2) 9...except my Wi-Fi on my laptop keeps connecting to the hhonors limited open wifi so I can't log in or use my internet. It doesn't give me an option for</t>
  </si>
  <si>
    <t>#10 of course! Thanks</t>
  </si>
  <si>
    <t>(1/2) 9. Everyone has been very attenti e, room is very comfortable. Only observation (not complaint) is that the auxiliary plugs on the lamps do not work. Havi (2/2) ng to plug device charger directly into wall plug or strip.</t>
  </si>
  <si>
    <t>..we checked out over 24 hours ago.</t>
  </si>
  <si>
    <t>#5. Stay is comfortable.?</t>
  </si>
  <si>
    <t>Everything is just great 10</t>
  </si>
  <si>
    <t>0... I didn't stay there you got my Hilton membership mixed up with another customer with the same name which cause me to panic and disrupt my work day and day.. I'm was inconvenient having to call and figure this out. This was supposed to be fixed apparently it has not been because of this text that I received. I'm requesting a supervisor call back!</t>
  </si>
  <si>
    <t>Thanks Margarita. I'd say 5 so far</t>
  </si>
  <si>
    <t>0. My watch was stolen last night by the in room dining staff.</t>
  </si>
  <si>
    <t>Please stop texting me. You have the wrong phone number and the wrong person.I am not staying at your hotel in Miami.i would have no idea how you could make my stay better. Maybe a faxed picture of the beach.</t>
  </si>
  <si>
    <t>This was like that when we got to the room yesterday</t>
  </si>
  <si>
    <t>. I need to know how I am to book to see that happens. The discount is a motivator to eat here sometime otherwise you may go elsewhere.</t>
  </si>
  <si>
    <t>(1/2) 8 because the lighting system is nuts...could not get room light (2/2) s on at 5am? Otherwise great?</t>
  </si>
  <si>
    <t>(1/2)Hi Peggy thx. Can you reactivate my digital key for my room? It's due to billing from the conference for the rest of my stay. Talked to Brea about it (2/2)last night. Thx!</t>
  </si>
  <si>
    <t>(1/2) Thanks for asking. I would give it a 6. Staff is very nice. Musty room not so good. Carpet is dirty. The rooms are older. I've stayed here before in</t>
  </si>
  <si>
    <t>but the previous standards that we enjoyed and were used to at this location set an expectation that was not met. Since this is one of the reasons we</t>
  </si>
  <si>
    <t>My tub filled up past my ankles during my shower can that be fixed ?</t>
  </si>
  <si>
    <t>(1/2) So far it's been great. 4 The only thing is someone from your staff was knocking at 8:30am and then opened the door. I was still in bed. He apologized. I' (2/2) m not sure why he came by.</t>
  </si>
  <si>
    <t>-5 !!! My wife just went to room keys didn't work front desk didn't have her name on room and room wasn't cleaned. We are leaving at 5:30 for hockey game I expect it will be handled after that and long before we return.</t>
  </si>
  <si>
    <t>"Totally a 10" is the consensus here. (I did have a minor hiccup this morning--got an email saying we are checking out today! I think it's all squared away for us to stay in same room for tonight, but could you verify that for me?) thanks!</t>
  </si>
  <si>
    <t>*the stay has been great</t>
  </si>
  <si>
    <t>#9, no bellman needed.</t>
  </si>
  <si>
    <t>(5) EXCELLENT THATS WHY I CAME BACK AGAIN</t>
  </si>
  <si>
    <t>*24 on here or on the room phone to check out?</t>
  </si>
  <si>
    <t>(1/2) actually there is something. the safe in my room wouldn't open this a.m. yesterday was fine. today it says error. I'm not in my room right now though (2/2) . can you assist me?</t>
  </si>
  <si>
    <t>"7" The heater is not working correctly, it the fan blows but the room doesn't heat. The internet through HGV I can't log on. With my hotspot it is very slow. This is a handicap room, the dining table is too high. The mirror in the bathroom is too low, the dresser in the bedroom has a sharp corner. A cigarette burn on the bed quilt.</t>
  </si>
  <si>
    <t>(9) no towel racks or vanity in efficiency bathroom.</t>
  </si>
  <si>
    <t>0. You cancelled my reservation.</t>
  </si>
  <si>
    <t>. Thank you for asking! 8-9. Very much enjoying myself. Concierge very helpful yesterday and room very clean. Shower pretty cold this am, but that was only a minor inconvenience</t>
  </si>
  <si>
    <t>"3" it's not going very well. We came to our room and the security was trying to get someone out of the room next-door for about 2 to 3 hours , they stayed in the hallway making all kinds of noise , We able to go to sleep till like 4/5 this morning. And housekeeping kept neglecting to get the items that we asked for. The first time we waited 45 minutes , so we called a second time and waited about 1/2 hour. Tell find me after a fourth call was made and everything we had asked for a cane. It's been a horrible experience</t>
  </si>
  <si>
    <t>0... terrible, we left and went to another hotel</t>
  </si>
  <si>
    <t># 9 -Our stay was good. We checked out this morning period thank you</t>
  </si>
  <si>
    <t>(1/2) Hello, everything is going well. Would have appreciated being on a higher floor over looking the Gulf, instead of the marina a hearing the music from the (2/2) pool. Stay 7-8.</t>
  </si>
  <si>
    <t>0 because you have the wrong number and were supposed to take it off your list.</t>
  </si>
  <si>
    <t>0-had to cancel the trip</t>
  </si>
  <si>
    <t>(1/3) Thank you Brittany everything is going swell thanks to you and I</t>
  </si>
  <si>
    <t>"10 " Thank You ? Is there a New Year's gathering in the Ballroom here tonight ?</t>
  </si>
  <si>
    <t>,about a 5. Service needs improvement for sure. Lost our luggage after checking it in. Had to go to several rooms with staff to find it. And food service not good toom forever and husband food never came for over and hour after everyone elses.</t>
  </si>
  <si>
    <t>Good , thank you for asking</t>
  </si>
  <si>
    <t>#3. I asked for a room up high they give me one on the bottom floor I put in for my rooms several quite a few days ago how was in 502 and there was a noise banging every once in awhile real loud all night long worst day I've ever had there and the pay that much money are you sure that many points was ridiculous there was a tree in front of my window so you couldn't see anything</t>
  </si>
  <si>
    <t>#10 - Hi Justin, the room was great.</t>
  </si>
  <si>
    <t># 5 having a good stay thank u</t>
  </si>
  <si>
    <t>4. Handicap shower leaks water everywhere . Not designed properly. We need more towels every day to mop up the floors</t>
  </si>
  <si>
    <t>0 horrible experience</t>
  </si>
  <si>
    <t>-10 the hotel guests in room 1232 was up all night slamming the door every 2 minutes..couldn't sleep very well at all...so was not a comfortable stay</t>
  </si>
  <si>
    <t>0 as right now I have no air conditioning. 2nd time reported and nothing is fixed</t>
  </si>
  <si>
    <t>0 zero. It was so bad we left and we are in the Westin now.</t>
  </si>
  <si>
    <t>.. ''V#3ŕ deer e cr .</t>
  </si>
  <si>
    <t>(1/2) Rayanda, Early Wednesday evening i was stricken with kidney stones and spent the night in the emergency room. I loved the room when i was there and cant (2/2) wait to try it again.</t>
  </si>
  <si>
    <t>Looks like the shower ceiling needs some work</t>
  </si>
  <si>
    <t>#1 as you have the wrong person</t>
  </si>
  <si>
    <t>0 Already check out last night</t>
  </si>
  <si>
    <t>0 - I haven't checked in yet and don't get there until Monday.</t>
  </si>
  <si>
    <t>#6! It would be a 10 if we were allowed to upgrade our room to a suite. It does not feel like Hawaii without a lanai outside of our room. Our neighbors stayed up till 3:00am and did not allow my wife to sleep</t>
  </si>
  <si>
    <t>0 - As I texted before, you have the wrong number.</t>
  </si>
  <si>
    <t>$1,000,000 will help.</t>
  </si>
  <si>
    <t>Can you recommend a good bar to go watch football nearby?</t>
  </si>
  <si>
    <t>#1. I was disappointed last night. Couldn't sleep. Heard mouse under bed or behind dresser scratching. Finally moved rooms at 4am. Almost crashed driving home from meeting in suburb because of lack of sleep</t>
  </si>
  <si>
    <t>(2/2) e stay and hotel an overall 8.</t>
  </si>
  <si>
    <t>0 - breakfast of just oatmeal took over 1hr and we didn't have time to enjoy it. Housekeeping was supposed to come clean the room at 11am and they never came. We are now resting and will need the room cleaned when we leave at 2:45pm. No bathrobes or slippers in the room. Windows are very dirty. Very disappointed so far.</t>
  </si>
  <si>
    <t>A perfect 10 I strongly doubt ... booked a king city view and was basically forced to take a two doubles ocean view and told this was an "upgrade". At check in I was made to feel a little cheap as it was mentioned twice that I had booked a "discounted" rate when actually I simply took the lowest applicable rate offered on the Hilton app. We finally accepted the "upgrade" (which it's far from) and are now stuck in a room that my wife and I struggle to share a bed in. We book Hilton on trips and have now been down the "upgrade" path a couple times ... not happy and will not be visiting this property again! Period! Never!</t>
  </si>
  <si>
    <t>0 if i could but a 1. I was incredibly disappointed you charged so much $$ for pictures with Santa! Shouldn't we be able to come and take pictures be enough to get us to the mall to spend money there? Now I'm telling everyone I know not to go to your mall because I'm so disappointed in the experience. $40.00 for pictures is insane</t>
  </si>
  <si>
    <t>0 no help to get help with Santa</t>
  </si>
  <si>
    <t>023109 I would like my car brought up thanks</t>
  </si>
  <si>
    <t>(1/2) I think this must be an automatic text? I know you are aware that we are awaiting a text of our room change to a ll larger room with better a/c separate (2/2) bath and shower. Thank you...</t>
  </si>
  <si>
    <t>I would like schedule my room cleaning tomorrow morning . Thanks</t>
  </si>
  <si>
    <t>(9.5 lol) My wife is coming and I want to make sure I have two big towels in the morning. I can’t remember if I left my dnd sign in the room...</t>
  </si>
  <si>
    <t>- 5 Not even a 1 There are roaches in the room Service was too slow</t>
  </si>
  <si>
    <t>Very good. I'll give it a 9</t>
  </si>
  <si>
    <t>(1/2)Hi Rachel. It's a 10. I don't see prices for the minibar can you tell me how much items are? Also as a Hilton member, I have a free bottle of water - is</t>
  </si>
  <si>
    <t>0 Horribly. I am at an event. I will return your call.</t>
  </si>
  <si>
    <t>(1/3) The stay is great... The experience, not so much. We got lost trying to get to the time share presentation and have missed out on several sight seeing (2/3) opportunities because of how tired we've been since we attempted to get here early. We are going to attempt to find some good deals and things tonight (3/3) after the meeting at 1:15</t>
  </si>
  <si>
    <t>0 Are you kidding g with these texts? Have your manager call me ASAP.</t>
  </si>
  <si>
    <t>0 at the popnsweets store it was a crap show and a joke, everywhere else was a 5</t>
  </si>
  <si>
    <t>s in the room?...just like any gym Love staying at your hotel in SF but what bothers me the most is your tvs in the workout room have like 10 channels...can't u have the same setup as what</t>
  </si>
  <si>
    <t>(5) I would like to change rooms when I return this evening. My current room has a LOT of traffic noise. Thanks for asking.</t>
  </si>
  <si>
    <t>01/02:Positive--waitstaff and room staff curious and helpful. The one problem which for us is an issue is our inability to gain access to the 02/02:concierge lounge after checking with Hilton to confirm our ability to do so. We've always had access when we travel with Marriott and Hilton.</t>
  </si>
  <si>
    <t>My room is connected to two rooms and you can hear them thru the doors so disappointed in my room.</t>
  </si>
  <si>
    <t>Good with the exception my wife tried to get out of the parking garage with her card and it didn't work. She is heading to the front desk now. Thank you</t>
  </si>
  <si>
    <t>(1/2) We were extremely disappointed in the food we ordered last night from the deli up to our room. It was pretty much on edible. We ordered a hamburger and a (2/2) hot beef sandwich and we couldn't eat either one. The fries were great though</t>
  </si>
  <si>
    <t>, the room is located near a supply room for the housekeepers so it's been a little noisy. I'd give this stay a 3. I had an American colleague who was</t>
  </si>
  <si>
    <t>"Reserve a pool chair" is a great idea, but it is SOLD OUT all week so still a big issue IMHO</t>
  </si>
  <si>
    <t>(10). Absolutely great hotel and service</t>
  </si>
  <si>
    <t>0ur stay is good. 8. No need for bellman. Thanks</t>
  </si>
  <si>
    <t>(1/2)+17802355193: Has anyone turned the bag in today? Can I get H&amp;M phone number to phone the store directly and see if anyone might have took the bag might (2/2)have tried to return the dresses</t>
  </si>
  <si>
    <t>(1/2) Hi Jessica. We like the room. Unfortunately we were not able to shower and had trouble with the toilet not flushing, but reported it to the front desk. (2/2) Thanks for checking in. Cynthia</t>
  </si>
  <si>
    <t>(1/2) 6, the size of suite is not what i was scheduled for. I was informed that you guys will move me today into a larger suite. Is this not going to happen? I (2/2) was informed that you guys will move me while i am out enjoying N.O.</t>
  </si>
  <si>
    <t>"5". Great vacation!?</t>
  </si>
  <si>
    <t>0 - I havent gotten a response yet. I left a message with guest service and sent a text</t>
  </si>
  <si>
    <t>#3 coffee machine broken</t>
  </si>
  <si>
    <t>#1, have a great day too!</t>
  </si>
  <si>
    <t>"10" Everything has been Great so far!</t>
  </si>
  <si>
    <t>-2. Check in was terrible.</t>
  </si>
  <si>
    <t>"10"! Although my wife just asked me if the towels have been delivered yet, lol. She doesn't like anyone in the room when we're not here. If need be I can come get them. -Marcus</t>
  </si>
  <si>
    <t>"10" of course. As always! You guys are great.</t>
  </si>
  <si>
    <t>0! No one has come to clean up the problems</t>
  </si>
  <si>
    <t>"9". Having a great day!</t>
  </si>
  <si>
    <t>#10 thank you Pauline</t>
  </si>
  <si>
    <t>"10". Jolie at the front desk was awesome!</t>
  </si>
  <si>
    <t>#9 the entry way light is burnt out. There's a do not disturb thing on the door but I'm not in if the light can be fixed please before I get back at 7pm</t>
  </si>
  <si>
    <t>(1/2) I just left. My stay》 10! Great guest service by all staff membe</t>
  </si>
  <si>
    <t>"6" the room could have been cleaner, the executive lounge was disappointed.</t>
  </si>
  <si>
    <t>$60/night for parking with no practical options is a problem.</t>
  </si>
  <si>
    <t>**Out Of Office** I will be away till Nov 14th. If your matter is urgent please contact Peter Pobojewski at 905.568.2121.</t>
  </si>
  <si>
    <t>-10 because I had to change my room due to roaches in my bathroom and bed.</t>
  </si>
  <si>
    <t>would be nice to have some complementary water in the room</t>
  </si>
  <si>
    <t>(1/4) My stay at Embassy Suites Birmingham is not typical of my usual experience with Hilton brand hotels. There were 3 people staying in my suite, however, the (2/4) re was only one complete set of towels in the room. It was 11:00 in the evening while we waited over 30 minutes for towels. We were very tired at this po (3/4) int and simply wanted to retire for the evening. When we received the towels, they were wet. When I went to go to bed, there was a live bug on the sprea (4/4) d. Suffice it to say my stay has not lived up to my expectations.</t>
  </si>
  <si>
    <t>0 room was not clean sheets had a stain</t>
  </si>
  <si>
    <t>0. It was so bad we left yesterday right after checking in and moved to another hotel. The front desk manager said he would credit back my Hilton points. The room was full of mold. I can send you pictures if you'd like</t>
  </si>
  <si>
    <t>0 I got very little sleep last night due to the person throwing up in the hallway and all the noice from staff cleaning the rug Worst night sleep in years Is that party still at the hotel?</t>
  </si>
  <si>
    <t>0. Very, very disrespectful.</t>
  </si>
  <si>
    <t>(5) the room is very nice &amp; clean but the size of a small hotel room. I have never stayed in a efficiency that did not have a couch &amp; balcony.. there isn't a hook to hang a towel or wet bathing suit on. I would not recommend your efficiency condo to anyone!</t>
  </si>
  <si>
    <t>Bathtub seems to have mold which is a little unsettling, light fixture has bulb missing and cover is not even on..? Other then a few maint issues this is a great hotel which I will pass on to our travel guy at work, we do a lot of conventions in San Antonio through the year... Main issue really is the mold though..</t>
  </si>
  <si>
    <t>Refrigerator is noisy" and I ask, when I made my reservation, not to put my by a noisy ice ? machine and I am right across from it couldn't Sleep ?</t>
  </si>
  <si>
    <t>"6". the hotel room is a bit aged and could use some modernizing. Is it possible to have bath robes and slippers in the room?</t>
  </si>
  <si>
    <t>(1/2) It took 3 requests to get a microwave into the room, and there have been ongoing issues using tbe Hilton honors internet connection. These would hold me (2/2) back from a 10 rating.</t>
  </si>
  <si>
    <t>#8 Room needs a furbishing. Carpet is shredded where it meets the tile in the bedroom as you head to the bathroom. The sink drain is clogged. When water is running the sink fills up. Thank you for checking in with me. Cheryl Liebowitz</t>
  </si>
  <si>
    <t>"8" That's only because I have to attend the course and can't go swimming, workout or sightsee ?</t>
  </si>
  <si>
    <t>We haven't arrived yet lol</t>
  </si>
  <si>
    <t>(1/2)Thanks, 8 because of missing things at check in, like requested items and sufficient toilet paper. Also few functional power outlets. The lamps' power (2/2)outlets by bed are too loose and don't power anything.</t>
  </si>
  <si>
    <t>(5) just upset didn't get my wake up call this morning</t>
  </si>
  <si>
    <t>"9" - Can't spoil You!! ?</t>
  </si>
  <si>
    <t>"5"point! Elidia, I check your message now because I am in Epcot. Have a great day~</t>
  </si>
  <si>
    <t>"10". Could you please send housekeeping up the room? Also, please leave bathroom amenities (I had no bath soap upon check in to room). Thanks! Mike</t>
  </si>
  <si>
    <t>#5 I will come again! Thanks!</t>
  </si>
  <si>
    <t>(1/5) Hi...just a few things...the toilet in 1419 requires 2 flushes, (2/5) and the sinks' drains are slow..tried raising the stopper but, i (3/5) t doesn't go up much further. Also have question...is there a (5/5) r checking on us? (4/5) shuttle van for airport? If so, how much per person? Thanks fo</t>
  </si>
  <si>
    <t>(1/3) Omg we are on the beach now its amazing love it. Going with a 9 only because last night there was a group on NJ ppl screaming through the halls drunk. We (2/3) couldnt sl=p but i know thats not the resorts fault. We will be back soon. Ca we have the bellman go up to the room at 2 and store our luggage for us. We (3/3) are all packed up.</t>
  </si>
  <si>
    <t>-Thanks! Things are great! But we forgot to pack shampoo and conditioner for our stay, is there a way that we might be able to get a couple of bottles more of each? I have really thick hair and used up most of what was in the room already. And we would give everything a 10 so far!</t>
  </si>
  <si>
    <t>(1/2) Good morning. I would give your customer service a 10. Everyone has been very nice, but the hotel i do have a few complaints that i have not gotten a ch (2/2) ance to report. First of all my tv is not working. Second of all when we shower the water gathers at the bottom of the tub.</t>
  </si>
  <si>
    <t>(1/2) Check-in was a 10, sales is a -Zero no means no for scheduling an appointment , Cafe Soleil is a 10 and the room is 10 so far. Thank you for The El (2/2) ite gift.</t>
  </si>
  <si>
    <t>(1/2) We are on our way now, we checked in online, but you said it doesn't look like we will be able to stay in that room for all 3 nights. If you change our ro (2/2) om # now, would you be able to change it to the one that's available all 3 nights?</t>
  </si>
  <si>
    <t>(1/2) Good day madam Crystal. To be completely honest, I can answer that question after my 24hr stay. So far has been hiccups, but I am looking towards a BRIGH (2/2) TER stay at your hilton location.</t>
  </si>
  <si>
    <t>#7 no refrigerator and no fan within the restroom. Otherwise great location and service.</t>
  </si>
  <si>
    <t>. ???????????????????? We are enjoying the resort very much and we rate the resort as a 10</t>
  </si>
  <si>
    <t>...I do have a question...the A/C doesn't seem to be working in the room...won't come on, room very warm...any suggestions</t>
  </si>
  <si>
    <t>"10" - thank You Randy!!!</t>
  </si>
  <si>
    <t>Valerie, so far really good except for the bus shuttle from airport, it was a 38 min wait!</t>
  </si>
  <si>
    <t>0 Hello. Do you have me checked in already? Im not arriving until around 18:30/19:00</t>
  </si>
  <si>
    <t>. A little warm 4. Everything was wonderful. ? The only thing was we couldn't get the room to stay at 18.5 during the night. It ended back up at 21.5</t>
  </si>
  <si>
    <t>...air conditioner wasnt working last night and the engineer that came up seriously it down to 60 for us ...hasn't gotten below 72 though.</t>
  </si>
  <si>
    <t>(5) room needs a good cleaning very disappointed in my room I paid for a newly renovated room expected walk in shower like pictures and all ur advertising the Hilton say u have free wifi that is false advertising</t>
  </si>
  <si>
    <t>$10 Diamond eating credit was not applied to the bill I was sent.</t>
  </si>
  <si>
    <t>0 u idiot. No one responded</t>
  </si>
  <si>
    <t>(1/2) 5 noisy. The noise wakes us up in the morning. The noise in the alley, keeps us up at night. Wish we could be on a higher floor, but always get put on the (2/2) 1st floor each time we come here.</t>
  </si>
  <si>
    <t>C.isom@schenckprocess.com for email receipt</t>
  </si>
  <si>
    <t>0 - I have been calling room service for 30 minutes and no one will answer</t>
  </si>
  <si>
    <t>0 I never checked in, I cancelled my reservation, and I was booked to stay on Friday night not last night</t>
  </si>
  <si>
    <t>#8 I wasn't informed when booking room that parking was an additional charge. Lobby restrooms were locked at 07:30 this morning.</t>
  </si>
  <si>
    <t>.0001. Concierge visit was horrible</t>
  </si>
  <si>
    <t>#9. It would have been a 10 but for problems with the television. Otherwise It's been wonderful</t>
  </si>
  <si>
    <t>.387 - the pillows were too hard yet the bed too soft! The wallpaper was horrendous, however the rats in the closet were quite welcoming.</t>
  </si>
  <si>
    <t>!) Maybe 5-6. Noise from neighboring rooms last night was not good, though it stopped about 30 minutes after we called the front desk for assistance (thank you</t>
  </si>
  <si>
    <t>would rate the stay a 9.</t>
  </si>
  <si>
    <t>#10. Thank you for the I pm checkout today.</t>
  </si>
  <si>
    <t>I paid for two nights my check out day is Sunday !?</t>
  </si>
  <si>
    <t>"2"--Comfortable, but my bath tub does not drain properly, and the in-room safe has no power and does not work. Thanks for the prompt. Waltet</t>
  </si>
  <si>
    <t>(1/2)It's nice. Somehow first thing this morning I got a phone call on my hotel room phone from an automated system selling things. Seems like your numbers must (2/2)be on a list somehow.</t>
  </si>
  <si>
    <t>.Our room gets a 10 but the night experience was a nightmare with the people in room 928 running up and down the hall laughing and yelling until 2 am</t>
  </si>
  <si>
    <t>(1/2) Helen, getting there was the worst occasion I have ever had in my 10 years at the Embassy Suites or any Hilton property. They lost our rooms, and charged (2/2) us, then we were overcharged. However the room and the hotel were outstanding, and your staff was excellent. M/R, Ben</t>
  </si>
  <si>
    <t>4. Would be a 5, but the shower does not drain.</t>
  </si>
  <si>
    <t>(1/2)On my way to work this morning, I let the front desk know that my room smelt moldy and there was an outlet by the bed that was broken and had black mold (2/2)looking stuff on it.</t>
  </si>
  <si>
    <t>(1/3) Good morning Caesar. The room is quite lovely. The only problem is there is something in the room that is causing my wife's allergies to flare up. She was (3/3) in this timeshare or others are hotels which we stayed at (3/3) in this timeshare or others are hotels which we stayed at</t>
  </si>
  <si>
    <t>10 thank you! Would you email my receipt?</t>
  </si>
  <si>
    <t>#10! I have very much enjoyed my stay -</t>
  </si>
  <si>
    <t>(1/2) All is going well, the staff has been very welcoming, one note is our room is much smaller in comparison to others based on our travels from Inverness to (2/2) St. Andrews</t>
  </si>
  <si>
    <t>#1 Checked in by 8:00pm Checked out by 10:30pm Service horrible.</t>
  </si>
  <si>
    <t>(10)Martin thank you for everything you guys are doing exellent job thank you!</t>
  </si>
  <si>
    <t>0. The food is cold and tasteless. Not eating it. So noisy from screaming kids. We were charged 75 dollars extra from my bank account for incidentals. Never told this would happen. This is a once in a lifetime trip for two people who live paycheck to paycheck and have every penny accounted for. Can't wait 3 to 5 business days to get the money put back into the bank. Have any idea what a person on disability makes? Very little. Can't say I'd ever come back or recommend this place. Very upset being treated this way.</t>
  </si>
  <si>
    <t>hi Kim things are going well we were surprised how little kitchen equipment was in the one bedroom unit and had to call housekeeping twice as we f</t>
  </si>
  <si>
    <t>0/10, absolutely absurd, please allow me to report a formal complaint, the issues i faced was illegal and unacceptable</t>
  </si>
  <si>
    <t>(1/2) I would say (7) so far, was very disappointed with shuttle pick-up, we waited for over an hour to be picked up. Driver said he came by, but we never saw t (2/2) hat van come by and we where standing at the pick-up desensitization. Josephine</t>
  </si>
  <si>
    <t>....8 so far, but its only our first full day. No worries.</t>
  </si>
  <si>
    <t>0.... Apparently I texted outside the hours that you monitor texting. No one ever responded</t>
  </si>
  <si>
    <t>(2/2) d an update on that.</t>
  </si>
  <si>
    <t>-5- We really enjoy our stay!</t>
  </si>
  <si>
    <t>. Got caught off guard and disappointed in parking fee, as we are here with Federal Government DOT/FAA at Infoshare and thought fee would be waived but $44 a day is extreme burden and we are stuck. My assistant, Mr. Hill in room 1912, got the car not expecting this expense. I would like someone to reconsider and discuss. As for hotel and staff I still give an 8, as everyone has been pleasant. Thanks, Tim</t>
  </si>
  <si>
    <t>#1...just finish report on bedbugs. Thank you to Ms rochelle.</t>
  </si>
  <si>
    <t>(1/2) 10 so far! Thank you. I wanted to know if there was a way to sent an email to someone and have them print out 3 copies of the attachment? I don't have my (2/2) computer on me- the document is only 2 pages long.</t>
  </si>
  <si>
    <t>,kick in it by the pool 10</t>
  </si>
  <si>
    <t>(8)only because the cable stations are not good you can't see the p</t>
  </si>
  <si>
    <t>Can I request a late check out for tomorrow morning...my flight out was delayed...rooms 7104 and 7106</t>
  </si>
  <si>
    <t>Tis. Appreciate the service we check out</t>
  </si>
  <si>
    <t>(1/3) Hello, our closet light doesn't work and there is a large chip (2/3) on the side of the bathroom sink. No worries ? you can repair a (3/3) fter we check out. Thanks, Wanda</t>
  </si>
  <si>
    <t>... 9.87 - only because nothing is a 10... but oh, sooooo close ?</t>
  </si>
  <si>
    <t>(1/4) When initially checking in it seemed as if it were going to be great. Saturday night around 11pm, I went to the front desk inquiring about extending my st (2/4) ay &amp; the associate was so rude, refusing to entertain my request, he kept telling me to look online but wouldn't look into the system to see if there wer (3/4) e rooms available. Also, I was suppose to have a 2 bedroom &amp; they only gave me a one bedroom. I have been an honors member for 13 years &amp; haven't experien (4/4) ced this behavior before.</t>
  </si>
  <si>
    <t>0 I’m not Christophe Gilroy and I’m not staring at any hotel!!!!!</t>
  </si>
  <si>
    <t>"5" THANKS FOR ASKING!!</t>
  </si>
  <si>
    <t>#5. We wish we had been told how far the Ocatilla rooms were from the lobby. Also the Spa was disappointing especially as they refused to do Mrs Nowaks Massage since she had a cold.</t>
  </si>
  <si>
    <t>02/02:elevator. we thought we were going to have to move but elevator usage slowed down around mid-night and we were able to sleep. 01/02:score is 4...not so great. room 2003 is next to elevator and the sound proofing is poor. at first we thought we heard planes hen realized it was the</t>
  </si>
  <si>
    <t>0 I'm not checking in until tomorrow</t>
  </si>
  <si>
    <t>(1/3) I would give a 9 or even a 10 rating however, the food we ordered Monday evening from the Marketplace did not meet our expectations. We were famished and (2/3) didn't complain; however, it's still sitting in the frig. The chicken tenders were hard and the provisions cobb salad had limp/soft onions and the cucum (3/3) bers were soft. Thanks for asking.</t>
  </si>
  <si>
    <t>(1/2) Room is great 5 for tge room. Breakfast coupons for the stay would have been nice. Today we paid 30$ for breakfast it was a matter of convenience for us. (2/2) But 15 a person is high for the options available on the buffet.</t>
  </si>
  <si>
    <t>(1/2) Carmen thanks for checking, we had to leave and go home about two in the morning ee got some bad news my brother passed away. The Casino and motel is bea (2/2) utiful i wish we could of stayed but we will be back this was my first time staying there.</t>
  </si>
  <si>
    <t>"10" I love it here.</t>
  </si>
  <si>
    <t>(2/2) needs to find it.</t>
  </si>
  <si>
    <t>Not very good. Last night very uncomfortable since 24 years old daughter slept on floor with one beds comforter. Room 1581. Total lack of response last night but think someone maybe getting extra blankets for tonight. We had requested rollaway before stay, day of stay, and again at checkin.</t>
  </si>
  <si>
    <t>#8 best retail centre in ca-love bloomingdales</t>
  </si>
  <si>
    <t>0 .....my room is smaller than my closet at home ! Has spoilt my impression of fairmont after all the great other fairmont hotels I have stayed in since arriving in Canada very disappointed !</t>
  </si>
  <si>
    <t>10 now that we have wine due to the construction upstairs. They seem to quit now</t>
  </si>
  <si>
    <t>(10) ?. The crew are accommodating and the best</t>
  </si>
  <si>
    <t>.4; lacking in the sense of humor department</t>
  </si>
  <si>
    <t>0 Unfortunately had to check out early and actually work up in Prescott today and tomorrow. Staff and accommodations were great and will be back soon. An actual 10 Thank you.</t>
  </si>
  <si>
    <t>(1/2) As we discussed yesterday, you mentioned a room with view of the courtyard, my wife and I see view of the roof tops. You offered to move us, however i (2/2) t didn't make sense to us to go from quiet to noisy. The bed is uncomfortable to my wife and we were very surprised at the expense for parking.</t>
  </si>
  <si>
    <t>(1/2) 6 At breakfast right now and the wait for everything, especially coffee, was terrible. Our server ignored us and served every table around us. We had to (2/2) flag her down twice just to get two cups of coffee. She brought us 1 cup at a time</t>
  </si>
  <si>
    <t>#5 your staff is the best</t>
  </si>
  <si>
    <t>0 we were guaranteed a room overlooking the marina that didn't happen. We were told to come back downstairs and change it when we got there we were advised everything was sold out. Fine we came to our room the bathroom was filthy there was pee in the toilet and the tub was dirty. We called for assitance and had to wait over an hour. We called a second time and the lady was so rude and she hung up before i was done talking. Also we were locked out at one point the security who took 30mins to get here even tho we explained that we had a hungry baby with us, he eventually came opened the door but didn't return one of the keys.</t>
  </si>
  <si>
    <t>"10" best service ever ?</t>
  </si>
  <si>
    <t>0 - bed bugs in the room I already told Nick and hour and half ago and no response</t>
  </si>
  <si>
    <t>0 for elevators all else 9.5</t>
  </si>
  <si>
    <t>0,i checked out yesterday</t>
  </si>
  <si>
    <t>Drink coupons ? Honestly I am not super happy that your executive lounge charges for drinks. I know that *some* Hilton's do this but I find the ones that do generally not a "perfect 10". The London , Tokyo and many other Hilton's I have been to in and out of country have an open bar and as this is the first time my girlfriend has been to a Hilton I was hoping to show her a fun time at the executive lounge. Anyway it's not a huge deal but because you asked that would be the truth</t>
  </si>
  <si>
    <t>0. Call me if you want to discuss further.</t>
  </si>
  <si>
    <t>#098613 - to pick up car</t>
  </si>
  <si>
    <t>(1/2) Thank you for asking. I checked out. But would say 7$ for hot items in breakfast is very unusual. Have never seen in other Hilton hotels before. Even the (2/2) fruits were not fresh visibly</t>
  </si>
  <si>
    <t>098647 coming to get car</t>
  </si>
  <si>
    <t>(1/2) 10 I have a second reservation for the same room for three more days starting tomorrow. Is there anyway I could get a complimentary room service tomorrow (2/2) please ?</t>
  </si>
  <si>
    <t>#3 ..... Wait too long for elevators. Mostly going down but long lines going up as well. Dirty floors in back area Overall ambiance ruined☹️</t>
  </si>
  <si>
    <t>(Rate 9) Can you please send up more towels and wash clothes? Thanks</t>
  </si>
  <si>
    <t>-1 I was treated horrible excet by breakfast sever and Wonderful host, decide to check In went to pool, not sure what occurred. Went back to room took two baths, went town for dinner, lovely also had toast and egg and a drink.decided to go to pool again a security I suite told me would not be served.at this point already having dinner, I just want to my room came out door to go walk and two Victor and Michael we're there, I started crying they said you seem totally together at that point I just had my husband come get and didn't spend night Very disappointing. Lori</t>
  </si>
  <si>
    <t>(1/2) Hi Jason, Thank you for checking in. I would give this stay a 3 or 4. While I appreciate the move last night to a quiet room, the shower head in the new r</t>
  </si>
  <si>
    <t>- the bedroom TV didnt work. - the carpet was dirty.</t>
  </si>
  <si>
    <t>(1/2) 8 out of 10. My only issues we're that the valet lied about the price, it took too long to get my blankets and the view from my room kinda sucked because (2/2) of the remodeling getting ready to take place Curry</t>
  </si>
  <si>
    <t>096895. Please have my car ? brought over to front in 10 minutes Thanks.</t>
  </si>
  <si>
    <t>(1/2) It's on the upswing. Yesterday I was disappointed in the customer service. Thanks to Jordan for making me feel welcome, and Jennifer for providing comp (2/2) limentary parking for the inconvenience, I am now becoming a satisfied customer.</t>
  </si>
  <si>
    <t>0.....the room was filthy when we checked in so we checked out!</t>
  </si>
  <si>
    <t>(4) I reported housekeeping left door opened yesterday and was promised a call this morning from loss prevention. The only call I received was from timeshare promo desk. I had to leave out and only hope the door will not be left opened again.</t>
  </si>
  <si>
    <t>. Elizabeth The service at the concierge had been stellar! However, I've had two incidents today that were unsatisfactory . I would be happy to discuss them with you</t>
  </si>
  <si>
    <t>-10 Worst Hotel experience Ever ! Extremely disouraged</t>
  </si>
  <si>
    <t>"1" I will like to speak with a manager</t>
  </si>
  <si>
    <t>(1/2) Tania, I would like to meet with Melissa, the GM today as the same issue with the floor being filthy as when I was here on Aug 6th. General cleaning is n (2/2) ot a the level one wiuld find acceptable. The Director of house keeping may also want/need to be present. Very disappointed!</t>
  </si>
  <si>
    <t>#9 CDeWine RLSotheby's Int'l Realty</t>
  </si>
  <si>
    <t>I was very upset with my last stay thanks. Room change in middle and so much noise</t>
  </si>
  <si>
    <t>#10. A microwave would be nice in the room.</t>
  </si>
  <si>
    <t>0 when we arrived they said they did not have a room available for us even though it was booked 2 months prior to my stay and told me someone called me to tell me when they did not</t>
  </si>
  <si>
    <t>#8 - I would the beds to be a little softer. Thanks</t>
  </si>
  <si>
    <t>chairs you're allowed to have out there but there seems to be a lo</t>
  </si>
  <si>
    <t>0 We left At Pier 66 Very long story So disappointed</t>
  </si>
  <si>
    <t>(1/2) Big tgank you to Erica for her hospitality and shifting a bad experience into a memorable experience. She should be promoted! 10+ to Adrian, Erica, and t (2/2) he manager at Hilton Tuscany</t>
  </si>
  <si>
    <t>-10. I've checked out early because of your poor customer service!</t>
  </si>
  <si>
    <t>#10...Excellent! Thank you?</t>
  </si>
  <si>
    <t>"3" My suitcase is in the room. please move me to a quite room. I will check in with you for a new Room assignment -pick up the new key.</t>
  </si>
  <si>
    <t>(1/2) Hi Agsa, I did end up getting another room. My room as of 6:00 pm was not ready. Things happen! I thank you for checking back with me.. I rate my experien (2/2) ce so far a 10...</t>
  </si>
  <si>
    <t>Checked out. All was good</t>
  </si>
  <si>
    <t>(1/4) Seating around pool limited yesterday. Family &amp; I just finishin (2/4) g breakfast buffet, great. Jow much for a cabana? So, family say (3/4) s, 8. Thanks for asking. Pueblo Cafe staff a bit rude last nit (4/4) e, they were busy but that's no excuse.?</t>
  </si>
  <si>
    <t>10. I just called the number. No answer. I was wondering about the cost to rent a cabana.</t>
  </si>
  <si>
    <t>0 (zero) ....never called me back, Thanks for nothing!!!</t>
  </si>
  <si>
    <t>0. Only received automatic reply. Very disappointed!</t>
  </si>
  <si>
    <t>(1/4) Going great so far, but didn’t know we couldn't buy breakfast. T (3/4) pon purchase of the rooms to get breakfast. Otherwise all going (3/4) pon purchase of the rooms to get breakfast. Otherwise all going (4/4) well.</t>
  </si>
  <si>
    <t>(1/2) This door keeps clicking and I've called about it twice and was told it'll be fixed. My friends door does it as well and some people we met in breakfast</t>
  </si>
  <si>
    <t>#2. Flight was delayed and moved gates 3 times. Sat on the tarmac for 20 minutes.</t>
  </si>
  <si>
    <t>(1/3) Good morning Amberley the issue with the roaches in bed was not resolved also $50 dollars worth of meat went bad in your refrigerator I personally handed (2/3) the bag to Sabrina your supervisor and she throwed it away...Other than that I enjoyed my stay ....so I need about 10,000 extra points for the roaches and (3/3) lost of meat,Thank you.</t>
  </si>
  <si>
    <t>(1/2) Unfortunately, the air conditioners in the conference rooms and main meeting space building do not appear to be working correctly and are extremely hot... (2/2) . Would be great if someone could do something about that.</t>
  </si>
  <si>
    <t>0 - haven't been able to get there yet! (Weather)</t>
  </si>
  <si>
    <t># 5. Wife left yellow hat on lobby yesterday . Has it been turned in ?</t>
  </si>
  <si>
    <t>(1/2) Hi. Everything is going wonderfully! So far its a 10 for my fian</t>
  </si>
  <si>
    <t>10 but we didn't get an opportunity to use food credit from yesterday can it be extended to today?</t>
  </si>
  <si>
    <t>(1/4) Hi, Is this Jonathon? I'm glad you texted because there are 2 things, actually: 1. We had repeated internet problems last night: intermittent internet th (2/4) at cut out, sometimes very few bars, my son was on the phone with the IT help desk we were transferred to for a long time, that didn't help. This morning (3/4) it seemed ok. Anyway, are some rooms better connected/have fewer internet problems than others? 2. The bathroom fan doesn't work. Should we change roo (3/4) it seemed ok. Anyway, are some rooms better connected/have fewer internet problems than others? 2. The bathroom fan doesn't work. Should we change roo</t>
  </si>
  <si>
    <t>( 10 ) we r having a excellent time here in Vegas .</t>
  </si>
  <si>
    <t>0. I'm not staying there</t>
  </si>
  <si>
    <t>01/02:Stay was fine. Meant to mention at checkout but forgot. One of the chairs in rm 812 was missing the seat cushion. Was not a problem just wanted to give 02/02:you a heads up</t>
  </si>
  <si>
    <t>0 it was horrible ... we checked out today. There was a roach in the room we were in first and had bugs and was dirty.. Angela came then we got a room changed at night and the toilet did not work. The girl in the front when I was checking out this morning did not seem to care. Thank You</t>
  </si>
  <si>
    <t>-Bathroom tub area appears unclean. Needs refinish -bad odor coming from closet. Would request baking soda or some freshener for this area. Recognize an older property but not to usual conference or Hilton standards. Appreciate u checking</t>
  </si>
  <si>
    <t>(1/3) Thank you Tony... Perhaps a lounge chair for our balcony (lanai (3/3) � (3/3) �</t>
  </si>
  <si>
    <t>(1/2) 8. There's a lot to love. But. No way to recycle paper, in the Marketplace no salads without chicken, and at catered lunch yesterday the vegetarian entre (2/2) e was -yet again- a plate of hot vegetables.</t>
  </si>
  <si>
    <t>093894 (Gray Ford F-150)</t>
  </si>
  <si>
    <t>(1/2) Aloha Donna! I have been trying to get in touch with someone in yours and activities to purchase a dinner cruise and cannot seem to reach anyone. I'm curr (2/2) ently not at the resort to walk over. Is there any way someone can give me a call?</t>
  </si>
  <si>
    <t>#2, Room is out dated and old and has mold like odor coming from room or A.C. unit. Ever since the room change my wife and I wake up every morning not feeling right and very congested from the amount of mold in this room! Room view is very nice. Staff is awesome! Paying an extra $1000 for this upgrade was not much of an upgrade, the room we had in the garden view in building 2 was much nicer then this upgraded room not to mention the construction noise we did not expect to hear with mold dripping in my drink while looking at our view! Not very happy with this entire trip... It all started back in Oakland with Hawaiian Airlines and has not got any better!!!!!! I feel we need some kind of compensation for this terrible upgrade! Mahalo!</t>
  </si>
  <si>
    <t>I couldn't sleep last night Hallway was too noisy Hilton upgraded us to a Better room</t>
  </si>
  <si>
    <t>..... and who are you??</t>
  </si>
  <si>
    <t>(1/3) Hi Marie..having a few small issues. Tv is on the fritz a bit, shower water doesnt get too warm, and the noise from the loading docs in the allyway is les</t>
  </si>
  <si>
    <t>(1/4) 3 it was old bread under the bed which my dog found ate part of (2/4) it before we could get it from her. The refrigerator does not ge (2/4) it before we could get it from her. The refrigerator does not ge (3/4) t cold. So even though we put our beverages in it I beverages ar (4/4) e still warm. ?</t>
  </si>
  <si>
    <t>(9) Towels are rough. Faucet drips in bathroom.</t>
  </si>
  <si>
    <t>(1/2) We had a pretty noisy night. Crying baby in 2407 and rowdy kids above us...which is why we hoped for the top floor. We are off site on the Pearl Harbor to (2/2) ur til 6pm.</t>
  </si>
  <si>
    <t>(1/2) 5 all the way, my cousin is coming soon and I will be recommendi (2/2) ng she stay here!?</t>
  </si>
  <si>
    <t>093035 white Nissan Murano For Vives room 1071.</t>
  </si>
  <si>
    <t>0 because I was told parking was free and than when I went to check out they told me I was getting charged for parking.</t>
  </si>
  <si>
    <t>(3/3) guess being a Diamond member doesn't matter here. This will be my last stay at this property. Thank you!</t>
  </si>
  <si>
    <t>(1/2) Hello Laura, we would rank the overall experience at a 7. this is based solely on the kids activity center and poolside kids games. There is a large ra (2/2) tio of kids to workers that there isn't an opportunity for much interaction with the activity workers for our children.</t>
  </si>
  <si>
    <t>"5" it has been great so far</t>
  </si>
  <si>
    <t>(1/2)Hi! I had housekeeping come visit my room last night. She stated she had something to drop off to me but I was in the shower at the time. Can u pls let me (2/2)know what it was</t>
  </si>
  <si>
    <t>,10. Having a great time</t>
  </si>
  <si>
    <t>"10" as Always. Great staff</t>
  </si>
  <si>
    <t>#10. Was a great stay.</t>
  </si>
  <si>
    <t>the gym and/or pool and none were sent up. That's wasn't the customer service I was expecting, to be honest. We didn't even have enough towels for the 4</t>
  </si>
  <si>
    <t>Having a great time. I would give our time so far a rating of 10. The Shepherd's.</t>
  </si>
  <si>
    <t>(3/3) 10 for our stay so far. (2/3) r from spilling out on to floor. Heat lamp at the Odysea ran out of propane last night on the patio while we were enjoying our cocktails....brrr! 7 out of (1/3) Yes having a good stay. Wish we had a mini fridge in our room but making due with ice in a garbage can. Shower curtain could be a bit longer to avoid wate</t>
  </si>
  <si>
    <t>0 if you guys keep texting me asking about my stay!</t>
  </si>
  <si>
    <t>*5* we have a great view.</t>
  </si>
  <si>
    <t>0 because my make reservation on from of the pool</t>
  </si>
  <si>
    <t># 2 asked about where the Escape Lounge was , did say American Airlines though and my answer was there was no American Lounge. Wish they would have commented that there was an Escape Lounge. I knew it was by American Airlines terminal E but not associated with AA. The name Escape Lounge should have been a clue to let me know that yes there was an Escape Lounge , but with American Express not American Airlines. Luckily I found it on my own.</t>
  </si>
  <si>
    <t>#10 great service and room</t>
  </si>
  <si>
    <t>#8- no water offered when checked in! Beautiful view</t>
  </si>
  <si>
    <t>(1/2) Going great so far. I still have to learn what all the perks are of being an Hhonor member. I didn't realize I could have reserved transportation to the G (2/2) eorgia Dome 9</t>
  </si>
  <si>
    <t>(1/2) 5 or 6 only because i did not feel welcome when i was checked in. This is the first time at a Hilton property I did not feel that welcoming spirit. The wa (2/2) y i was welomed was not veey positive.</t>
  </si>
  <si>
    <t>0 ZERO! Wrong # please delete my contact info immediately</t>
  </si>
  <si>
    <t>#10 You guys were awesome</t>
  </si>
  <si>
    <t>(1/2) Hi Josh, thanks for asking. Just a few things: the toilets are so loud and run so long after flushing. Is that right? Thought it was weird no bedding in (2/2) room for sofa bed, and was thrown off at check in (my fault), the trash cans in hallway and dirty tub.. Other than that ok. Bed was very comfy.</t>
  </si>
  <si>
    <t>Wry nice . Checking out now please process</t>
  </si>
  <si>
    <t>I am at my convention now. But I don't theing the curtains really close fully...maybe all the rooms are like that.</t>
  </si>
  <si>
    <t>Stay is great. I forgot to pack toothpaste. Is there some available?</t>
  </si>
  <si>
    <t>Checked out today .. my stay was great ..</t>
  </si>
  <si>
    <t>0727,0725,0720,0710,0708,0707,0706,0705,0700 out</t>
  </si>
  <si>
    <t>It's great, Do you have parking for the customer who stays and flys out?</t>
  </si>
  <si>
    <t>(10). Had a Great time, looking forward to coming back.</t>
  </si>
  <si>
    <t># 10 in every way. Great stay at the Hilton Fort Lauderdale Beach Resort. Look forward to our next stay.</t>
  </si>
  <si>
    <t>(1/3) So far my stay has been a 10. Front desk has been great at switc</t>
  </si>
  <si>
    <t>0 I got no food and have to leave now to get to my cardologidt</t>
  </si>
  <si>
    <t>(1/2) I am not at the hotel. I have questions and wish to speak with someone. Migrating at this time woukd be poor because no one has attempted to contact me pw (2/2) r my request.</t>
  </si>
  <si>
    <t>(2/2) . Keep up the great work.</t>
  </si>
  <si>
    <t>###5555!!!!!!!!!!!?????????????. How could anyone not have an excellent time here, Tami? Thank you for asking.</t>
  </si>
  <si>
    <t>My stay was great. Although i think i left my earbuds in my room. They are a wireless pair with a blue bose charge case</t>
  </si>
  <si>
    <t># 4 so far. The room is fine. Last nights dinner was not great</t>
  </si>
  <si>
    <t>(5) it's been great so far</t>
  </si>
  <si>
    <t>. . . wrong number . . .</t>
  </si>
  <si>
    <t>Everything has been great as usual.</t>
  </si>
  <si>
    <t>0. We landed at 11:20 pm luggage didn't start showing up until after midnight. My goal was to try to find someone to check on why it was taking so long.</t>
  </si>
  <si>
    <t>0.... this is the first txt... never received a schedule.</t>
  </si>
  <si>
    <t>.Everything has been great ?</t>
  </si>
  <si>
    <t>(1/2) Our room was comfortable, but it wasn't cleaned very thoroughly. When we checked in, the windows had hand prints all over them, there was something (2/2) spilled down the front of the dresser and the coffee station had an open coffee pod and dirty cup.</t>
  </si>
  <si>
    <t>(2/2) ssing 2 towels, found a previous guest left items behind...</t>
  </si>
  <si>
    <t>...Other than the heat being hotter than my wife's temper, ...today is a 10!!!</t>
  </si>
  <si>
    <t>0 I am ver dissatisfied with my stay this far. I have asked for upper management I have not been contacted. I asked for someone to contact me about pushing the your time up they call me an hr before the tour instead of calling me in the morning. I have also called up with the diamond desk and made a complaint with them as well</t>
  </si>
  <si>
    <t>Thank you fo moving is to the poolside room. Much better and no smoke! 10</t>
  </si>
  <si>
    <t>(1/2) I am surprised as a diamond forever there is a charge to use outside pool and as well having to pay 50% of breakfast charge and in executive lounge no bre (2/2) akfast meat or soda/water for members. First Hilton I have been that charges diamond forever members for breakfast.</t>
  </si>
  <si>
    <t>(1/2) My key card did not work last night . I got a ndrew one, but i noticed today that it said thru today. I had two reservations combined and need this to wo (2/2) rk until 6/13</t>
  </si>
  <si>
    <t>0 horrible service from everyone will look on how to put in my review online</t>
  </si>
  <si>
    <t>0 is what I rank my stay. Unacceptable</t>
  </si>
  <si>
    <t>Very definitely 10! Thank you but I am checked out from all three rooms!!</t>
  </si>
  <si>
    <t>#9, would be a ten if there was a fridge in the room, that is the one disappointment</t>
  </si>
  <si>
    <t>090309 car needed thanks!</t>
  </si>
  <si>
    <t>(5) Our room is disappointingly small.</t>
  </si>
  <si>
    <t>...have requested extended checkout...when is this good to?</t>
  </si>
  <si>
    <t>0 we checked out yesterday</t>
  </si>
  <si>
    <t>(1/2) It's going ok I wish I would have gotten a two bedroom brought my 2 kids could not enjoy the living room area because they had to sleep there wish I could (2/2) upgrade...</t>
  </si>
  <si>
    <t>(1/2) 2 - it took us more than 4 hours to get our room. People who came in after us were given rooms before us. All they kept saying is our rooms were not cle (2/2) aned yet. Very unsatisfied with the service. I use the Embassy Suites all the time I've never had this problem.</t>
  </si>
  <si>
    <t>"8" - So far all is Good!</t>
  </si>
  <si>
    <t>#10, Thanks Delores ?</t>
  </si>
  <si>
    <t>(9 ) I checked out earlier this morning. Thanks</t>
  </si>
  <si>
    <t>(1/2) Hi Lian, The stay has really been excellent, with one exception. Someone keeps trying to call me at approximately 8:30 a.m. As I am here strictly due to (2/2) the fact that my mother is hospitalized, I know that there is no one that I know personally, who would try to contact me on the phone in the hotel.</t>
  </si>
  <si>
    <t>0. We won't arrive until this afternoon.</t>
  </si>
  <si>
    <t>0 because I'm not the right person</t>
  </si>
  <si>
    <t>(1/2) 7, little disappointed being a diamond member, a return guest and on our honeymoon that the front desk didn't welcome us back, thank us for our loyalty o (2/2) r recognize us in anyway.</t>
  </si>
  <si>
    <t>I got very disappointed with Hilton this time. I was waiting in line for a long time to check in and for keys once more. And so the room is outdated with broken stuff. This is not a 4 star hotel. Really crowed with less employees to help.</t>
  </si>
  <si>
    <t>......do you have any pull on massage discounts for us old folks?......after 45 years we could use a massage ?.....and so far our stay has been a 10</t>
  </si>
  <si>
    <t>(1/4) Hi! All good (9), but was having a bit of a problem connecting (3/4) a couple of weeks ago, we just used last name and room #. Is t (3/4) a couple of weeks ago, we just used last name and room #. Is t (4/4) here a way to do that here? I can't remember my HH pword. ☹ Thx!</t>
  </si>
  <si>
    <t>0 for day 1 (y'all lost my car). Incomplete for day 2 (see message above you sent to me indicating your service was down).</t>
  </si>
  <si>
    <t>(1/2) Everything has been great except for the power outage last night (2/2) . We got stuck in an elevator. ☹</t>
  </si>
  <si>
    <t>(4). Need more towel bars, shower caps and the carpets needs to be cleaned. People at front desk warm and friendly.</t>
  </si>
  <si>
    <t>000 i've sp0ken w/ a manager ystrday already i've f0und 0ut that we d0nt c0unt cuz thr0ugh my b0ys m0m 0ur rate was cheaper. n0t w0rth whatever we are paying. cant wait t0 chk 0ut &amp; get t0 nxt place we are staying. i wk at a hist0ric h0tel in c0l0rad0 &amp; have n0thing g00d t0 say ab0ut the fairm0nt 0f SF mngr 0ffered c00kies &amp; milk after wasting my time ystrday w/ my list 0f c0mplaint. quite patr0nizing</t>
  </si>
  <si>
    <t>(1/2) Reminder you guys need to go fix to smoke detector on Robin Torres it was flashing light all night last night hoping you can call me lunch or with the res (2/2) ort fee please let me know</t>
  </si>
  <si>
    <t>#5 - the shower had no hot water this morning. Also unable to connect to WiFi</t>
  </si>
  <si>
    <t>#9 everything is great except the mattress</t>
  </si>
  <si>
    <t>"9" - would have been a "10" but a late night take out meal (lobster roll and Parmesan cheese fries) from the SkyDome lowered the rating. The lobster roll was the problem it looked and tasted like a leftover. And to make it worst, the potion size did not correspond to the price. Aside from the meal, the staff and accommodations have been awesome!</t>
  </si>
  <si>
    <t>(8)our stay was good except our room ceiling in the bathroom needs to be repaired and you could really hear the car noise. Your customer service and cleanliness was a 10</t>
  </si>
  <si>
    <t>(1/2) It's been great except for one thing. An employee unlocked the door and came into our room without knocking as i was getting out of the shower. They reall (2/2) y should knock.</t>
  </si>
  <si>
    <t>.it was ok, price for room to high. Beds were great</t>
  </si>
  <si>
    <t>(2/2) make our stay perfect.</t>
  </si>
  <si>
    <t>(1/2) 9, great checkin, gave us the view we wanted, one engineering issue that was handled quickly, extra towels when requested, all kitchen items that shou (2/2) ld have been there were there (unlike Disney DVC), arrange 1 hour late checkout</t>
  </si>
  <si>
    <t>(1/2) 10 room has been great so far. We had dinner at the cafe, the.buffet actually, the restaurant felt really cold while we were eating, maybe the rain made (2/2) it cold</t>
  </si>
  <si>
    <t>(1/2) 9, thank you. Water in my bathroom was yellow both in the shower and the toilet and there was as funny smell in the building on Tuesday but overall my st</t>
  </si>
  <si>
    <t>(2/2) tions? Thanks (1/2) Things are fine. Having a problem with getting more heat. Pressed the button to increase the temperature but blowing cool air. Do you have any sugges</t>
  </si>
  <si>
    <t>(1/2) Everything is great except their was hair on the wall off the master bedroom shower and the water is going down really slow... kindof floods in the master (2/2) bedroom shower</t>
  </si>
  <si>
    <t>0. Worst experience in a hotel anywhere in the world. Afraid for my life.</t>
  </si>
  <si>
    <t>( 8 )mbr hard to regulate the temperature. Sink in mbr drains slow. Suggest tissues in the mbr sink area.</t>
  </si>
  <si>
    <t>(4) Had one item forgot to address this morning, tub was a little slow to drain. Otherwise, everything is great.</t>
  </si>
  <si>
    <t>(2/2) t was delicious as expected. ?</t>
  </si>
  <si>
    <t># 3 had maintenance up today to fix the mirror that was coming off the wall and our charging station was not working. When we arrived we had to have housekeeping. One to vacuum room. Here is our great view.</t>
  </si>
  <si>
    <t>(1/2) I'm having some issues with the toilet no flushing properly. Really need someone to check it out. Other than that everything is fine. My rating is 3 thus</t>
  </si>
  <si>
    <t>Thank you for asking, Vinnicia. I wonder what it means to be on an HHonora floor as there is no lounge with coffee? I've asked several staff (not the front desk as always a long line) and no one knows. When I checked in, the woman didn't share anything about this floor that is different but other Hilton properties have a breakfast room or something? Thanks again.</t>
  </si>
  <si>
    <t>0 since I texted back yesterday to stop texting me</t>
  </si>
  <si>
    <t>"9" due to weather, other than that it's all good!</t>
  </si>
  <si>
    <t>(1/2) Can you send someone to my room to check the AC? I had turned it off last night and it ran the entire night. I just stopped in my room and the thermostat</t>
  </si>
  <si>
    <t>- 1 bedroom too hot last night conf room temp is not acceptable today either</t>
  </si>
  <si>
    <t>(1/2) Hi Tony, I called earlier because the additional $100 resort credit that Dona was supposed to add does not come up, I am supposed to have a total of $200.</t>
  </si>
  <si>
    <t>(1/2)9...will be back in a few to chk out the pool with my daughter. Only reason I don't give it a 10 is we had some issues with the projector last night. S (2/2)eemed to work fine today though</t>
  </si>
  <si>
    <t>Bonjour, est-ce possible de louer une poussette double. Merci</t>
  </si>
  <si>
    <t>(1/2) That "waterview" from my room was an up charge to look at a broken down muddy wall. My view looked more like an abandoned construction site. Hardly with a (2/2) ny up charge. It was more a view that I would expect from a motel 8. Disappointing at best.</t>
  </si>
  <si>
    <t>On a scale of 1 to 10, I would give this place exactly 12.5. Having a wonderful time.</t>
  </si>
  <si>
    <t>0 my AC was broke in the hotel and resulted in a very bad experience</t>
  </si>
  <si>
    <t>#5 Restaurants good Service good Public areas good. Room substandard Hotel Not recommended based on poor quality of room</t>
  </si>
  <si>
    <t>(2/2) Wasn't cleaned properly before we got the room.</t>
  </si>
  <si>
    <t>Also, can we purchase those chocolates that we received when we checked in?</t>
  </si>
  <si>
    <t>Dddrjdjdidurfnrruerr</t>
  </si>
  <si>
    <t>0- my elevator went out and kinda scared me</t>
  </si>
  <si>
    <t>(1/2) Thank you for checking in there is loud noise above me it's been going on for about 2 hours wondering if I should change rooms kind of driving me crazy</t>
  </si>
  <si>
    <t>(1/2) Honestly it was a five. Not extremely happy with my stay. Its my anniversary and the neighbors we have next door kept us up most of the night. We could h (2/2) ear everything. I felt like we were sharing a room with them</t>
  </si>
  <si>
    <t>(1/2) My day is going very great and before I leave I'm going to book for next year the hotel and the people here have been so amazing Curtis concessional I don (2/2) 't want to say no where else but with you all</t>
  </si>
  <si>
    <t>Any estimate on when our room will be cleaned?</t>
  </si>
  <si>
    <t>!0 out of 10...great.</t>
  </si>
  <si>
    <t>(2/3) o hear if I have to change rooms tomorrow. ? DeeAYoung NEW DAY (1/3) So far, so good ... 4 - that could turn into a 5☆ ... waiting t (3/3) Realty</t>
  </si>
  <si>
    <t>(1/2) 2 -- The walls are thin, we can hear everything. We were kept up all night and into the morning by talking from the side of us and loud thumps. But beside</t>
  </si>
  <si>
    <t>(8) - so far so good.</t>
  </si>
  <si>
    <t>(-5) accommodations were wrong and were not corrected although spoke to management. Will never be staying or recommending stay too anyone. Also am cancelling HGV package purchased at presentation. Thanks,</t>
  </si>
  <si>
    <t>#5 excellent ??,I might checkout today at 4 ( going to Winnipeg ) and coming back on Sunday &amp; I already booked</t>
  </si>
  <si>
    <t>(2) not happy about the rate change and couldn't get out of the reservation. Asked last night after checked in. Also pool doesn't open till 6pm. I am a morning swimmer. And pick up for Uber and shuttle to busses inconvenient requires extra tipping. We will just sleep here. Beds are comfortable. Thank you.</t>
  </si>
  <si>
    <t>"1" definately not worth 500$ a night - rain shower head has not been cleaned in MONTHS - disgusting!</t>
  </si>
  <si>
    <t>(1/2) Enjoying the pool area this afternoon! Noticed when down at the gym area, I went to check out the washing machines only one dryer a d it was marked out o (2/2) f order? Will need to use tomorrow Will it be operational by then?</t>
  </si>
  <si>
    <t>(1/2) Hi I was in Room 1401 and I left and expensive pair of sunglasses they are in a leopard print case. Can you see if they were returned to front desk? Thank</t>
  </si>
  <si>
    <t>"10" , Pauline. Thanks!</t>
  </si>
  <si>
    <t>"10" so far! Hope our room gets cleaned ... saw that the staff had moved off our floor without getting to #661.</t>
  </si>
  <si>
    <t>(1/2) So far, very good! 9... not 10 because we have had to decline going to another resort for the "owner's breakfast" multiple times. Can't pay us enough to</t>
  </si>
  <si>
    <t>(1- cuz it wasn't long enough ;-) ) Twas a beautiful stay, 10!!!</t>
  </si>
  <si>
    <t>.10. We have been so pleased with the level of service, varied options for dining, accommodations. We will be back! My family has been coming here for 50y</t>
  </si>
  <si>
    <t>-25 cuz you guys take a lot of time</t>
  </si>
  <si>
    <t>(2/3) e your airport shuttle driver my information or bothering to let me know I actually had a shuttle. It was satisfactory. If you're actually interested I' (1/3) Other than your desk clerk originally putting us in a room already occupied by somebody else and not even apologizing and another one not bothering to giv</t>
  </si>
  <si>
    <t>"4" need some excitement in my life smh</t>
  </si>
  <si>
    <t>Doing well. Thanks for checking</t>
  </si>
  <si>
    <t>(1/2) Actually, Maggie ... I cancelled my stay for last night with you and the front desk said that there would be no charge! Are you able to confirm that I</t>
  </si>
  <si>
    <t>0 I never received an answer because it was before 8 a.m.</t>
  </si>
  <si>
    <t>(1/2) Truthfully, the staff has been phenomenal. I am a bit concerned about the quality of room (very small and older bathroom) I was given after talking with</t>
  </si>
  <si>
    <t>$40 for a pizza and chicken tenders 4/10</t>
  </si>
  <si>
    <t>(2/2) has no signal ?</t>
  </si>
  <si>
    <t>(3/3) causing a lot of damage to the cabinet as well as the rug. Just letting you know. (2/3) yesterday evening. We are not having the best of luck. Btw....the sink in the bedroom has a leak and is dripping out of the cabinet onto the floor. It is</t>
  </si>
  <si>
    <t>0. Absolutely HORRIBLE</t>
  </si>
  <si>
    <t>(1/2) Ashleigh My stay has ended and I have cheked out. Thank you for your attention to my concerns. See you next time. Thank you. Frank. I do not need any m (2/2) ore texts.</t>
  </si>
  <si>
    <t>#1 as a Diamond member you put me through difficulty getting my confirmed reservation for a King room. Your staff at the front desk was poor quality with customer service.</t>
  </si>
  <si>
    <t>-10 Please bring toilet paper &amp; 2 clean towels</t>
  </si>
  <si>
    <t>0 I checked out two days ago</t>
  </si>
  <si>
    <t>0.....given different room than booked.... again</t>
  </si>
  <si>
    <t>(1/2) We are not very happy with a few things. Our view is staring right at a parking lot, we can hear people talking and yelling loud and clear, our projector (2/2) is not working, and on top of that we were charged twice for the deposit for the room.</t>
  </si>
  <si>
    <t>(1/2) Enjoying my stay, room is beautiful but because many don't read the small print, A sign about how to replace towels &amp; take out trash need to be posted. A</t>
  </si>
  <si>
    <t>(1/2) The room itself is excellent. The only issues we have are the noise from the parking lot and the stairwell door continuously slamming. In addition our vi</t>
  </si>
  <si>
    <t>(1/2) The staff has been very friendly and ready to help. But there seems to be a lack of communication between them. We had a very confusing and drawn out</t>
  </si>
  <si>
    <t>"4" The toilet does not flush consistently. My partner found she had to hold the lever down while flushing. It worked ok for me. A nice stay otherwise.</t>
  </si>
  <si>
    <t>(1/3) 8- so far...the lamps beside our bed don't work or we can't figure out how to turn them on. We would also like to confirm our appointment today. Is it 2 (2/3) o'clock p.m. or 3 o'clock p.m.? Also, we need to let Reception know that we are expecting a package some time today and it may be addressed to Kimberly Sh (3/3) eridan. Thank you~</t>
  </si>
  <si>
    <t>#6 We need an instruction book for the coffee machine. We need a couple bags of decaf coffee. A roll of paper towels And face clothes. Thank you PS can we change our meeting time from 1pm to 11am?</t>
  </si>
  <si>
    <t>(1/2) My stay has been fine, my room service pizza the other night was burned and pretty much inedible....but I'd been up since three am that day and was too ti (2/2) red to deal with it.</t>
  </si>
  <si>
    <t>(1/2) Ok, I had to be moved because of a party next to my original room. My current room, 1406, the electrical plugs on the desk lamp don't work. They also had (2/2) to replace the TV remote...</t>
  </si>
  <si>
    <t>(1/2) We already left. Wi-Fi not great and wished for complimentary breakfast of at least coffee and muffin. Pool and work out facility was nice. Sad there wa</t>
  </si>
  <si>
    <t>0. The sound was not resolved and would like a resolution</t>
  </si>
  <si>
    <t>(2/2) apointmrnt and hassle</t>
  </si>
  <si>
    <t>0. You have a wrong number.</t>
  </si>
  <si>
    <t>(1/2) I haven't spent much time in my room, but my feedback is that the room didn't seem to cool very well and the bed wasn't very comfortable. The overall hote</t>
  </si>
  <si>
    <t>(1/2) For some reason got an email last nite saying I was checked out when I'm not checking out till tomorrow morning. I think the desk straightened it out woul</t>
  </si>
  <si>
    <t>(1/2) 1. You guys charged a ton of money for a place not up to par. We would have gladly paid any amount of money for premium service and a premium property. Th</t>
  </si>
  <si>
    <t>0 put the map back in the mall. Data is not free</t>
  </si>
  <si>
    <t>#1 toujours excellent!</t>
  </si>
  <si>
    <t>#10! Excellent service?</t>
  </si>
  <si>
    <t>(1/2) Things are going good...tried to use my $50 jewelry Certificate...the wanted me to buy something over 100-200...to use it. ...when it states purshase of M</t>
  </si>
  <si>
    <t>... i want ur job! what's the title because that was a fab service. srsly what do they call it when you applied?</t>
  </si>
  <si>
    <t>Thank you for your message. Please find attached photos of the issues which I feel might be improved. I arrived yesterday late evening. I was thinking this would no longer be here after the room was serviced today. But as you were asking.... Also the spring which closes the room door is so thight it takes a lot of strength to open the door. A weak person might not be able to do so. Furthermore I perceive an unpleasant odor in the room. The body lotion in the bathroom was obviously used as it contained merely a third of the original content. It looks as if the room us missing a second chair? Overall I m sorry to say that I am not impressed. Esther Schumann. Room 680</t>
  </si>
  <si>
    <t>(1/3) I would give a 7. I do not understand the hotel design relative to elevators. As I mentioned last night, it's very inconvenient to place the only eleva</t>
  </si>
  <si>
    <t>(1/2) My son says it's a 20. I do like this resort. I was disappointed that the pastry wasn't at leat straightened up when we went on break, but otherwise l (2/2) ovely!</t>
  </si>
  <si>
    <t>(7) it would be a 10 however the room was rather cold and I couldn't get the heater to go on…The alarm clock is not set up for daylight saving time… The plug for the coffee maker doesn't work…also the room was dusty especially on top of that alarm clock :-( however my other stays have been good :-)</t>
  </si>
  <si>
    <t>(1/2) My husband is at the hotel, he came from Magic Kingdom on the shuttle to get our son's medication and needs to get back here asap. Can u help find the qu (2/2) ickest way here</t>
  </si>
  <si>
    <t>(2/2) e are happy! (1/2) 9 - we asked for ice yesterday and received a texted reply that the bellman would bring it, however, we never received additional ice. Other than that, w</t>
  </si>
  <si>
    <t>(1/3) Before we were inconvenienced yesterday afternoon i would say 10. Now im not sure. I was expecting to be compensated a little better.I spent several hours</t>
  </si>
  <si>
    <t>(1/2) Hello Diana thanks for checking in us. My wife said the AC isnt working well. The temp wouldn't go below 76 last night can you have someone check it after (2/2) 12 today? Thanks</t>
  </si>
  <si>
    <t>(1/2) Hello Marsha My wife does have a small complain that early this morning we were woken up to sound of loud motor type noise and some type of scraping from (2/2) either upstairs or next to us Other then that the room is wonderful especially the tub Thank you Duane</t>
  </si>
  <si>
    <t>0 Ema, We are not staying with you. You have the wrong phone number. We are in the 6 inch snowfall weather of Harris, Mn right now and it is beautiful.</t>
  </si>
  <si>
    <t>0. Very disappointed.</t>
  </si>
  <si>
    <t>(8) Expensive/Cold /No View / The City is Beautiful</t>
  </si>
  <si>
    <t>(2/2) Ordered dessert in the restaurant and waited 45 min.. we got up and left there were 2 people in the restaurant .. terrible service..a 3</t>
  </si>
  <si>
    <t>0 because no one has answered my question</t>
  </si>
  <si>
    <t>We really appreciate the room upgrade! I had previously signed up for late checkout (2pm) but when I checked in they didn't have record of it. Here is a screenshot of the confirmation email I got..</t>
  </si>
  <si>
    <t>(2/2) they only used the parking pass for one day. (1/2) It's a 9 so far. I was wondering if late check out for tomorrow was an option? Also, it turned out that my friends only used the car to drive up here. So</t>
  </si>
  <si>
    <t>(2/4) nd is so noisy that we cannot enjoy the room. We cannot open the balcony door and sit to enjoy the view and in order to watch TV the volume has to be extr (1/4) I rate our experience a 3 thus far. While the staff has been accommodating with helping us change rooms, our current room is above the roof construction a (4/4) om to have peace and quiet with clean air. (3/4) emely high. I feel that my room rate should be discounted due to the noise and residual dust from construction. I am forced to spend time in a friend's ro</t>
  </si>
  <si>
    <t>0. I left there last night after a refund due to the nasty "clean" rooms.</t>
  </si>
  <si>
    <t>(1/2) Ill give a 6 because the information you gave me yesterday wasn't of any help.The resort doess in fact offer FREE shuttle services to Universal. At certai</t>
  </si>
  <si>
    <t>(1/3) We are enjoying ourselves so far. Our meals have been delicious and the staff very friendly. However, our room is rather dusty with dust bunnies stuck on (2/3) the walls in spots and where we had to plug in the coffee maker. Also, the coffee cups were dirty from the last guests and only made 1/2 a cup each. I was (3/3) aware the beds were full-sized, but they are little! So far a little disappointed with the room situation on our first visit to the Grand Geneva.</t>
  </si>
  <si>
    <t>you be able to address this for me?</t>
  </si>
  <si>
    <t>0 my stay has been filled with noise, disrespect by every one on staff that I have encountered. Especially the manager Bria. My sister the owner will be filing a complaint with corporate</t>
  </si>
  <si>
    <t>...beautiful building...</t>
  </si>
  <si>
    <t>I would rate it a 5 so far because I asked for a quiet room, but was placed in one with a thin wooden door to an adjoining room or suite with a somewhat noisy family. It often sounds like I am in the room with them. When I was here last time, I had a unit with all walls between other units, and it was very quiet. I have not requested an immediate change because that is inconvenient for me, and sleeping was OK, perhaps because the kids next door go to bed early and sleep late. So I will remain tonight, but will request a change if my neighbors are not quiet after 10:30 or get up really early tomorrow. Bottom line: Do not put people who ask for quiet rooms in units with only thin doors to occupied adjoining units.</t>
  </si>
  <si>
    <t>.not up to Hilton standards... thanks</t>
  </si>
  <si>
    <t>..thx everything is good..rooms and hotel are easily a 10..</t>
  </si>
  <si>
    <t>(1/2) Only prob is the shower head and the ac makes a hissing sound at times. The shower head sprays more of the wall and the shower door than the person undern</t>
  </si>
  <si>
    <t>(1/2) Joe, our stay is going well. No one has come to clean our room today. Do we have to request that service? Please sir, can we get someone to come and take</t>
  </si>
  <si>
    <t>(1/3) 8, thank you very much. Could you please send some extra blanket</t>
  </si>
  <si>
    <t>"5". Beautiful day in the San Fr</t>
  </si>
  <si>
    <t>(2/2) t night for the ball and trying to sleep in a bit.</t>
  </si>
  <si>
    <t>(1/2) Well, I would appreciate it if next time, you don't send me to a room with a guest already in it. That could have ended badly. Fortunately he didn't punch</t>
  </si>
  <si>
    <t>(1/2) We love the facility.... reception last night was very nice, breakfast bar could have been refilled quicker, but we found plenty to eat. And it would h</t>
  </si>
  <si>
    <t>(2/2) usually luggage stands in the rooms?</t>
  </si>
  <si>
    <t>(2/2) or tile in the bathroom. Would it be possible to have a third coffee set up. Many thanks (1/2) Yes a 5. I noticed thatcthe shower door drags on the threshold and does not close all the way, which lets water on the floor. Also noticed a cracked flo</t>
  </si>
  <si>
    <t>(1/2) Hi Robert! I didn't get the robe i requested but Bonnie Swayze did...need kleenex in other bathroom....need REGULAR coffee-no decaf please....and Bonnie's</t>
  </si>
  <si>
    <t>-1 took 3 hours to get a room key and I was scolded by the guy outside that told me to get get my room first then to get my luggage He searched the car without my permission. You have a beautiful hotel n conference center so I really don't understand why it took so long to get my room key.</t>
  </si>
  <si>
    <t>0 Is there anything below one? 0 0 0</t>
  </si>
  <si>
    <t>#5 - our favorite hotel to stay in Minot</t>
  </si>
  <si>
    <t>(1/3) A 10 until about 6 minutes ago. I was standing at the front desk for about 4 or 5 minutes waiting for help. One person was helping someone and 2 others w (2/3) ere on the phone. One got off the phone and then made 2 more calls. We decided to walk away as we did an older Caucasian gentleman walked up and the same (3/3) woman hung up and serviced him immediately. Because of that my rating is now a 5.</t>
  </si>
  <si>
    <t>0 - too many problems to list.</t>
  </si>
  <si>
    <t>Not at this time. Thank You.</t>
  </si>
  <si>
    <t>(1/2) 7. Bathroom floor was not really clean when we got there, and the living room TV is not working, underneath kitchen light not working. Other than that, it (2/2) 's fair so far.</t>
  </si>
  <si>
    <t>(2/2) from Montreal that you think you are communicating with.</t>
  </si>
  <si>
    <t>(1/2) Thanks Andreyna. I feel like something needs to be wrong ;-) A solid 7. I understand that this room is designed for wheelchair access but the bathroom (2/2) sink is awfully tiny, no place to put my personal items.</t>
  </si>
  <si>
    <t>#10 so far...thank you.</t>
  </si>
  <si>
    <t>(1/2) We're grade our experience a 8. Due to the fact there's a $15 charge to workout at the gym. Because we're not a elite silver, diamond, and platinum membe (2/2) r. Thank you for checking on us. Connell</t>
  </si>
  <si>
    <t>(1/2) I'll give you a 5 for sure! However i ran out of hot water this</t>
  </si>
  <si>
    <t>(1/2) Hi Shelima. Thank u for checking! I found out my dad died yesterday and I quickly left. Took the 1st flight back home. I did not check out. What can we do</t>
  </si>
  <si>
    <t>0. We left. It was not up to my standards</t>
  </si>
  <si>
    <t>(1/2) 7 sad that you dont have executive lounge and that I could not just do continental breakfast to room for my honors breakfast. Pain to have to go down to g (2/2) et coffee and crossaint</t>
  </si>
  <si>
    <t>(1/2) Had a injury and can't travel due to doctors restrictions. Hilton wants medical proof. Even with all the business I did last year with them. Disappointing (2/2) to say the least. We will be using the Grand Bohemian due to the unwillingness to help.</t>
  </si>
  <si>
    <t>*very well Going dry well. Still need a date for the wedding I am attending Friday night but other than that it is going well. ?</t>
  </si>
  <si>
    <t>You were fantastic 6 See you again Dr. Santucci</t>
  </si>
  <si>
    <t>(1/3) So it is a 9 but our keys didn't work the first day after we left n came back to resort. Had to get new ones n it took 45 minutes n 2 phone calls to get t (3/3) UT IT IS STILL A 9 (2/3) hem. Then yesterday the DVD card was exspires n had to get a new one from front desk, we all were SURPRISED by these BASIC things that became ISSUES B</t>
  </si>
  <si>
    <t>,We checked out yesterday. It was about a 7. I paid to upgrade room w/ partial view of water. It was very partial. Lol Poor service by the pool and very l ,ong wait at valet despite calling ahead. No big deal.</t>
  </si>
  <si>
    <t>Twas a 10 and I'm checked out already. Thanks</t>
  </si>
  <si>
    <t>"8" Especially helpful was desk agent John. One downside: could not get one bedside lamp to work.</t>
  </si>
  <si>
    <t>(1/2) Going well. I am in room 1137. You may want to have maintenance check the toilet. It is not firmly attached to floor and rocks to left. I could see so (2/2) meone knocking it off base if they push it too hard. Other than that, a ten.</t>
  </si>
  <si>
    <t>My stay isn't until this upcoming Monday</t>
  </si>
  <si>
    <t>0 - the plumbing issue earlier made me miss critical business meetings that I came into town for</t>
  </si>
  <si>
    <t>(1/3) We feel @ this point Parc Solei currently rates score of (6). Once an owner says no to owners review sales team moves on to next guest ! Debating to add (3/3) e would think the problem is based here @ Parc Soleil. Time will show weather you amend business practices @ Orlando properties. Jeffrey &amp; Monica Klein</t>
  </si>
  <si>
    <t>(2/2) s not come close to covering breakfast which is very expensive here. (1/2) Room is great! 10 Other 6 We are disappointed that we dont get breakfast every morning or that there is not an executive lounge. $20 credit per day doe</t>
  </si>
  <si>
    <t>(1/2) Kassy the red pillow roll smelled of pee on my bed, no wake up calls to either rooms and when filled glasses in bathroom foamed up with soap. Needless to (2/2) say im not happy and want a refund. You were great though. Thank you for your help.</t>
  </si>
  <si>
    <t>.5, having a wonderful stay</t>
  </si>
  <si>
    <t>(1/2) Everything is great, a 10. We don't want to talk about our depar</t>
  </si>
  <si>
    <t>(1/2) I rate you guys a 9.. I was pleased with the Check In Process , the rooms and Hotel is amazing, Unfortunately I was unable to use the pool, but will be pl (2/2) anning to stay this location again in the near future</t>
  </si>
  <si>
    <t>(2/5) breakfast times, I was told that I don't have that privilege anymore because I signed up as a Hilton rewards member. But, I only signed up as a suggestio</t>
  </si>
  <si>
    <t>(2/2) ilton room) 5 Room cleanliness 10 Activities (family orientated &amp; I have no family) 1 (1/2) Staff &amp; service 10 great + very helpful ( really like the whole text thing! ) Hotel internet ( guest center) poor 1 Room (rate as a low to mid grade H</t>
  </si>
  <si>
    <t>(1/2) I am having one issue with my master bedroom shower. Do not have full capacity of hot water. Also utensils and coffee maker where not clean. I paid extra (2/2) for an upgrade, this is very disappointing.</t>
  </si>
  <si>
    <t>(1/3) I understand that a main pipe broke. ..but the wait of one hr and 10 minutes was ridiculous. ...u could have rerouter some guests to the other restaurant (2/3) for breakfast with a voucher for the same amount allowed at palmeras.... The main lobby was way to crowded and very hot. ...sorry but u asked so I would r (3/3) ate u bcus the waiter and the chef's at the eggs station were very courteous and sweating too..poor thing...and food was good So a 5 is,my rate...</t>
  </si>
  <si>
    <t>0. Lol. No it's blast 11</t>
  </si>
  <si>
    <t>(1/2) Thanx mate that would be a 1! The room above us had children about 40 lbs constantly running back and forth starting at about 7 in the morning. I think yo</t>
  </si>
  <si>
    <t>0 because you got a wrong number.</t>
  </si>
  <si>
    <t>0 out of 10 so far. My room has not been serviced yet. I was told that all off issues will be taken care of this morning, yet all of above items still remain in my room. No one has called me to follow up either. I insist on speaking with the general manager. I plan on following up with our corporate travel service as well once I get home.</t>
  </si>
  <si>
    <t>(2/4) up. I had to call twice and once the young lady arrived, she gave the impression that the bed was not broke. before we arrived. It took two men to fix t (4/4) ile for someone to address the bed issue</t>
  </si>
  <si>
    <t>(2/2) 4 people (1 adult &amp; 3 youtth) for the activities that are scheduled to start at 2pm on today (Sun-2/18/18)? Continued Blessings to All. Let's BM&amp;BF;.</t>
  </si>
  <si>
    <t>(1/2) All is well, but I am not sure the AC is working correctly. We have it set to 60, but I'm not sure if it keeping up. Other than that, we love it! We're in</t>
  </si>
  <si>
    <t>#45 #44 and can u bring a #47 but take out all the alcohol and just make it a sprite ? Thanks location: R8</t>
  </si>
  <si>
    <t>(2/2) nk. Otherwise it's ok.</t>
  </si>
  <si>
    <t>0. We left early and very disappointed.</t>
  </si>
  <si>
    <t>(1/3) Wonderful so far but wanted to mention there was only 1 coaster (2/3) in the holder...we're being careful but didn't want you to think (3/3) we took them ?</t>
  </si>
  <si>
    <t>the noise level after 10 im not used too ....but all good other than that ..... give it a 9</t>
  </si>
  <si>
    <t>(1/2) It was going really well, 5! But then at lunch due to a mishap at the downstairs cafe I didn't get lunch, I left it on the counter in the cafe. There was</t>
  </si>
  <si>
    <t>(3/4) My next stay I will ask for 2nd floor or higher. I give you a</t>
  </si>
  <si>
    <t>- 10. Other then the housekeepers walking in 3 times even when we told them that we check out at 2. But all good</t>
  </si>
  <si>
    <t>(2/4) bkfst., Yet I feel they should have done more since we took this trip to relax since my wife has indergon a year of cancer treatment I asked for an up</t>
  </si>
  <si>
    <t>(1/2) 9. Would have gotten a 10 but early this morning my husband wanted to pick me up by the door and had to find a way to get out of the parking lot. If we kn (2/2) ew last night, we would have parked in the garage. Thanks for checking.</t>
  </si>
  <si>
    <t>(1/2) Sucks, yesterday's check in was horrible. We pre-paid for two rooms in advanced and your employees seemed to be able to screw it up. One of us was not a (2/2) ble to get in to room, even though his name was on the room.</t>
  </si>
  <si>
    <t>(1/3) You do know that I didn't stay at Embassy? I stayed at the Hilton Garden Inn at the Inner Harbor. Your $150.00 incidentals fee is outrageous and</t>
  </si>
  <si>
    <t>(1/2) when we arrived it was ok but then there was people fighting in the 6 floor in the middle of the night, no towels yesterday and I had to go ask for them a (2/2) nd today the construction noise did not let us sleep late. So we are little disapointed....but continue to be a Hilton honors member. Thanks. L. Falcon.</t>
  </si>
  <si>
    <t>(1) Bathroom sink drains slowly. (2) Shower head drips intermittently all night long. Initially, it's at a fast rate, then slows, and finally stops on its own. Then after a period, the pattern starts up again. (3) Light switch next to suite entrance door is finctional, but is distorted, as if one side of the switch has popped out of its housing. (4) Can't figure out what one of the master bedroom light switches controls.</t>
  </si>
  <si>
    <t>(3/4) e out black. It took so long we could not wait another 25 minute</t>
  </si>
  <si>
    <t>"9" except curtain's going up at 5:30 this morning</t>
  </si>
  <si>
    <t>(1/2) 8 The room unfortunatley has a wet mold or wet dog smell. And the rooms lack of view is a bit deterring. The door needs to be played with in order for it (2/2) to lock once opened. Other than these hiccups it is a nice resort.</t>
  </si>
  <si>
    <t>(2/2) ed. Otherwise it is a very nice stay (1/2) 7 Only because the room is still on the warm side. Jose came up last night and changed the filter but it was still warm over night with 2 people in the b</t>
  </si>
  <si>
    <t>We checked out around noon</t>
  </si>
  <si>
    <t>(1/2) I would say a 3. Our patio furniture was very dirty and old. The walkway to our room did not look updated or feel like the standard the Sheraton upholds. (2/2) Our room was nice and updated. Wish the same attention to detail was applied to the pathway leading to the room.</t>
  </si>
  <si>
    <t>0 - I am not staying there. It is lovely in Memphis TN tho</t>
  </si>
  <si>
    <t>(1/3) 6. The floor plans did not match the website which caused us to spend precious vacation time looking for an air mattress which means someone had to sleep</t>
  </si>
  <si>
    <t>(1/2) Our stay is a 4. The bed is uncomfortable and the noise outside our room has been not enjoyable. I believe they should announce that when booking. I would</t>
  </si>
  <si>
    <t>(2/2) 30th wedding anniversary today. Very much looking forward towards the luau.</t>
  </si>
  <si>
    <t>(1/2) Everything is great but just wanted you to know there is some kind of water leak in front of the bar area because the carpet is wet and feels like it get</t>
  </si>
  <si>
    <t>0 far below expectation</t>
  </si>
  <si>
    <t>(1/2)When I checked in last night I asked about being moved to a new room today. I would like to be moved to a king, non smoking room on a high floor with a (2/2)view of the beach/pool. Can you please advise?</t>
  </si>
  <si>
    <t>(1/3) 7. We have stayed her 3 times and we see changes that we assume are to save money such as the 4 drink limit in the evening, the variety and quality off s (2/3) nacks and in our room this morning we discovered there were no paper cups for the coffee and the faucet control for the shower was loose so we had to hold (3/3) it in place to control the temperature of our water we did report this so that it can be fixed</t>
  </si>
  <si>
    <t>Can we please have more towels and rags at room 3020? Thank you</t>
  </si>
  <si>
    <t>(1/2) Yes, my husband, Howard Collins, will be arriving around 3:30 PM. Can you add his name to my room so that he can obtain a key to our room, 1131, at the fr</t>
  </si>
  <si>
    <t>I had a room rate of 219. Please adjust our rate to meet that. Thank you Sent from my iPhone 717.319.4356</t>
  </si>
  <si>
    <t>"10" as usual when I stay on your properties</t>
  </si>
  <si>
    <t>(1/2) 8. Shower makes a lot of noise and the bathroom has no ductwork so it is very cold in there. But the room was very cheap and I was warned, so my expectati</t>
  </si>
  <si>
    <t>(2/2) n't do it can they please just unplug thank you</t>
  </si>
  <si>
    <t>(1/2) 5. Everything is great, just a little bummed to find out that there is no coffee maker in the room. But there is a Starbucks downstairs and everything els</t>
  </si>
  <si>
    <t>(1/3) Hi Maren. I had a family event come up and I had to leave early. I called the front desk last night to inform them I would be checking out today. Can you</t>
  </si>
  <si>
    <t>(Automatic Reply) I am currently out of the office. Please call 800-879-8000 for immediate assistance.</t>
  </si>
  <si>
    <t>(2/2) of work in a lot of areas including the above</t>
  </si>
  <si>
    <t>0 stop texting me this is the wrong number</t>
  </si>
  <si>
    <t>(1/2) 10. One question for you. I seem to have lost one of my 2 room keys. I think it fell out of my pocket while pulling gloves out of it outside. Is that a se</t>
  </si>
  <si>
    <t>(4/4) a, just wanted to share. Thank you.</t>
  </si>
  <si>
    <t>(1/2) Sheila, we made it in late last night and discover no heat in unit.I adjust stat and couldn't get heat to come on.So I called for service and tech tried a</t>
  </si>
  <si>
    <t>#10 Candy you are so polite!!!! Bk</t>
  </si>
  <si>
    <t>(There are 4 ladies staying together!) and we need an extra key. Can</t>
  </si>
  <si>
    <t>0 not pleased at all with hotel,staff or manager</t>
  </si>
  <si>
    <t>(10) it’s Nice I’m just having a problem getting on WiFi</t>
  </si>
  <si>
    <t>#7...Besides the comforter, the room doesn't have any extra warm blankets. Also, the room doesn't have a fridge.?</t>
  </si>
  <si>
    <t>0 or 1 maximum!! Sorry but I get so desapointed since the beginning that I cannot give more!!</t>
  </si>
  <si>
    <t>(1/2) ..Everything was ok..There was one exception my grand child was playing in the closet and there was an razor-blade and a shoe some had previously left be</t>
  </si>
  <si>
    <t>(1/2) Everything fine. An 8 only because I had to move the coffee pot (2/2) to plug in fridge ☺</t>
  </si>
  <si>
    <t>(1/3) Rating is 7 from me but 4 from my fiance. The bed slopes down at the headboard (we slept at the foot of the bed), water is cold (cold showers are not fun (3/3) be addressed.</t>
  </si>
  <si>
    <t>(1/2) It has been challenging to start.. my self parking pass and my door key stopped working and the hot water in my room was not working, but it is working no (2/2) w and I received a new key and parking pass, so hopefully things are looking up</t>
  </si>
  <si>
    <t>(1/2) 7 I had ants in my room, someone came and sprayed. The ice machine in my building is broke. The alarm clock in my room is an hour ahead and not set corre</t>
  </si>
  <si>
    <t>1 You offered a shuttle service. Last night they paid for a cab. This morning I needed a shuttle. They couldn't take me and "offered " me a cab. When I got to my destination I was given a bill. Inconsistent !</t>
  </si>
  <si>
    <t>0- parking sucks! Who makes customers pay cash $12 for parking for an</t>
  </si>
  <si>
    <t>(2/3) r. It was always full going up and down as we stayed on the 6th floor. Ended up using the stairs and carried all our luggage down the stairs with our 5 an</t>
  </si>
  <si>
    <t>0. I can't seem to get anybody to clean our room for 2 days.</t>
  </si>
  <si>
    <t>-1. That has a minus in front of it on purpose</t>
  </si>
  <si>
    <t>(1/2) Hi. Great. Was calling down to get 3 face towels and 3 regular towels also. No answer. Missed housekeeping because we are up to a late start. Leaving by 1 (2/2) 130am, will we still have our room cleaned?</t>
  </si>
  <si>
    <t>(1/3) Good morning! I think we ok. We will need more toilet paper and</t>
  </si>
  <si>
    <t>(1/3) 8, my room is cold. I turned up the thermostat to 80 in an effor</t>
  </si>
  <si>
    <t>(1/2) 10!! Relaxing...heading to pool soon. Do you guys have a lost and found. I left a pair of sandals here our last stay. It was quite some time ago but (2/2) thought I would check.</t>
  </si>
  <si>
    <t>(1/2) 9. Elevator shortage a problem. Also please have staff NOT drag chairs and tables early in the morning around the pool area!!! Everything else had been e</t>
  </si>
  <si>
    <t>(7) room's very nice.check in was very late for a few of the guest! Over all good times!!</t>
  </si>
  <si>
    <t>0! We had to cancel because of weather. Hope to see you next time.</t>
  </si>
  <si>
    <t>0 Jeff your customer service is horrible</t>
  </si>
  <si>
    <t>(1/2) 5! We checked out yesterday, thanks so much!! We will be returni (2/2) ng shortly for another staycation ?</t>
  </si>
  <si>
    <t>0 talk to the diamond desk I left right after checking in</t>
  </si>
  <si>
    <t>... Sorry but I've stayed all over and didn't expect Embassy suites</t>
  </si>
  <si>
    <t>, I am still not being able to hook my laptop up to the network I tell it to forget Network I close down I come back in and it Automatically connect again</t>
  </si>
  <si>
    <t>$28 for a Resort Fee was ridiculous. One pool working 2 hot tubs shuffle board court &amp; playground doesn't make it a Resort. RIP OFF FEE.</t>
  </si>
  <si>
    <t>paid at check-in. Am I able to get a refund on the room for the difference? Thank you.</t>
  </si>
  <si>
    <t>...because of you and your room recommendation Evelyn, our stay has been nothing short of a 10! ????? Thank you Evelyn</t>
  </si>
  <si>
    <t>(2/2) t cleaning the room. This is unpleasant.</t>
  </si>
  <si>
    <t>02/02:thanks to you all.</t>
  </si>
  <si>
    <t>(2/4) d some someone came and painted the AC vent instead of just cleaning it. As a result, the paint odor was too bad to stay in the room. I personally believe (1/4) Sorry for the delay in responding, but since you asked I will share. When I got back to the hotel yesterday my wife had been moved to a 3rd room. She sai (3/4) moving three times in one stay is unacceptable and we should be given more than a $15 voucher and 5000 points. The value is no where close to the amount (4/4) I am paying for this stay. I hope you see my point. Thanks.</t>
  </si>
  <si>
    <t>(1/2) It was wonderful. My only complaint would be the maid knocking on my door at 8 A.M. asking if I was checking out today. When I responded yes, she aske (2/2) d "well what time are you leaving?" That would have been ok if it was close to the required check out time but not 8.</t>
  </si>
  <si>
    <t>(1/2) Hello. I was a bit disappointed in the mold in the bathroom tile, especially for the price of the room-which wasn't fully addressed or cleaned. There were</t>
  </si>
  <si>
    <t>0 cause I'm not there. This is Dolores Lachapelle. U have the wrong number</t>
  </si>
  <si>
    <t>(1/2) We had a great stay, &amp; are headed back to normal life. So y'all know, the knob that you pull to turn on the shower was broken, but we figured out how to m (2/2) ake it work. It looks like the threading has been stripped.</t>
  </si>
  <si>
    <t>(1/2) Lol. This is cool. Erica there is an issue with standing water in the shower. Also the heater seems to be working hard to blow hot air. So far my stay is</t>
  </si>
  <si>
    <t>*24 doesn't work with Verizon. We have left the room.</t>
  </si>
  <si>
    <t>(1/2) Hi Ciela, thanks for checking in. It's not going well. Had cold water in the shower last night, again this morning, was late to my conference this morning</t>
  </si>
  <si>
    <t>(1/2) Checked out a couple hours ago...your property was very nice and rooms nicely remodeled. I stayed at an ES in Southfield, Michigan a couple of months (2/2) back and the property was terrible. I don't know how Hilton let that property continue to run with the rooms and property so beaten up.</t>
  </si>
  <si>
    <t>(2/5) be genuinely hospitable. All my requests and inquiries have bee (4/5) I am thinking about my next visit. Thank you so much for makin</t>
  </si>
  <si>
    <t>(1/3) This was the second time we stayed at the Hyatt and the third event we attended there. The food and service was excellent. I realize there it's a team</t>
  </si>
  <si>
    <t>0, worst stay I’ve ever had at Hilton Austin and every Hilton I’ve stayed at. I stay in Hilton hotels all over the world, experience shouldn’t suffer because its NY. Not only was I not recognized for being a member, room service wasn’t what we ordered, valet was a joke, riff raft guests. Your the flagship property in downtown Austin and I will never stay at your hotel again. Happy NY</t>
  </si>
  <si>
    <t>0. Kat. I am not staying at the hotel. You still have the wrong number. Please resolve this ASAP.</t>
  </si>
  <si>
    <t>"10"= everything was perfect</t>
  </si>
  <si>
    <t>#5 everyone is happy.</t>
  </si>
  <si>
    <t>0. Until my room gets changed to a king bed as I reserved for this holiday</t>
  </si>
  <si>
    <t>(10) excellent right now we're having lunch at Palm court</t>
  </si>
  <si>
    <t>(2/2) hanks.? (1/2) I just checked out. I had wonderful stay. I will give all 10s. T</t>
  </si>
  <si>
    <t>(1/2) 5...We only had 3 towels for the 4 of us. There was some food left in the fridge from a previous guest. The coffee maker looked really dirty inside the wa (2/2) ter reservoir. The bathroom didn't seem to have been cleaned thoroughly.</t>
  </si>
  <si>
    <t>"10", everything is excellent</t>
  </si>
  <si>
    <t>(1/2) I Really Can't Say At This point... Bc I Paid Over $2, 467 For My Daughter and And Myself To Have A Wonderful And Time... And Then I Come To Your Hotel Wi (2/2) thout Any INFO.... On PAYING $350 UPON ARRIVAL... TO GET TOLD I'M GONNA LOCK ME OUT MY ROOM THAT'S ALREADY PAID FOR.</t>
  </si>
  <si>
    <t>0711,0710,0707,0705,0704,0624,0619,0639,0655,0674,0676,</t>
  </si>
  <si>
    <t>#5. You guys are excellent</t>
  </si>
  <si>
    <t>(1/2) 6 - bathroom had hair in the sink and floor and tub was dirty, bed is not the most comfortable, asked for 1 bedroom at check in but got a studio. Leaving</t>
  </si>
  <si>
    <t>(1/2) Not happy with breakfast. Had to wait for omelets , and then the omelets we receive were not the ones we ordered. I understand we went to breakfast late.</t>
  </si>
  <si>
    <t>(1/2) Well, it was one of our most disappointing stays at any Hilton property. Appreciate the room upgrade but pool was closed and kids were bummed. We had seen</t>
  </si>
  <si>
    <t>We will be at the metroStation in 20 or 30 minutes. Should we call to request transportation or able come by on its own?</t>
  </si>
  <si>
    <t>(1/3) Hi Robby, thanks for checking in.several issues with your Wi-Fi service, could not connect, Wi-Fi in and out. Spent 30 minutes with tech department to fig</t>
  </si>
  <si>
    <t>0. Very horrible and disappointed with Westin</t>
  </si>
  <si>
    <t>0 because our grandson is having an issue with asthma.</t>
  </si>
  <si>
    <t>0 questions weren't properly answered</t>
  </si>
  <si>
    <t>(1/2) Hello Marsha, The stay is fine thus far. We are Mr. &amp; Mrs. Christopher Price. Toulouse was my name when I made the reservations. We are in need of 2 sets</t>
  </si>
  <si>
    <t>(1/2) 9! Can you have house keeping check for a iPhone charger cord? We may have left in the room. If so, we are staying in Kings Landing and can pick up this (2/2) evening. Thank you!</t>
  </si>
  <si>
    <t>(2/2) morning and its still not hot over there in the room I got them.</t>
  </si>
  <si>
    <t>0 I will not ever stay in your hotel again. I will not recommend your hotel to family friends or co-workers either.</t>
  </si>
  <si>
    <t>,10 for sure! But we are already back home.</t>
  </si>
  <si>
    <t>#5 &gt;&gt;&gt;&gt; My key card slot on our room malfunction every time I tried.....??</t>
  </si>
  <si>
    <t>(2/2)and obnoxious, but I think somebody called security on them. The alarm went off not long after. Seemed like too much of a coincidence.</t>
  </si>
  <si>
    <t>0.... lol just kidding everything is great...10</t>
  </si>
  <si>
    <t>0 .....I would be happy to explain</t>
  </si>
  <si>
    <t>This is what shower looks like after my first shower last night</t>
  </si>
  <si>
    <t>(1/3) Pretty well.. but was given incorrect wi-fi password at check-in and had to call guest services. Was told our Visit FL reception was on 2nd floor Lily Roo (2/3) m. Upon arrival, found workers and and a dark mtg room. A little frustrating, thought staff should know what's going on at property. Price of bottled wate (3/3) r in room at $7 is also a little ridiulous. Maybe 6.5 out of 10 so far.. thanks for asking.</t>
  </si>
  <si>
    <t>-1..... jk lol I give it a 4</t>
  </si>
  <si>
    <t>(2/2) getting a much needed break</t>
  </si>
  <si>
    <t>(1/2) We didn't sleep well at all - the heat didn't work in our room! They came and fixed it this morning. And the shower door wouldn't open and he fixed th (2/2) at today too. And there was only one robe but they brought another one. So there have been problems but they have been addressed</t>
  </si>
  <si>
    <t>(1/3) This facility needs more handicapped parking spaces per building. There is no direct access to the building from the rest of the lot especially the 2nd a (2/3) nd 3rd row of parking. When it is raining and you're in a wheelchair, electric especially because it can't get wet, it makes it difficult to get to your r (3/3) oom. I realize many people these days have placards or use others but those that need it appreciate the stalls.</t>
  </si>
  <si>
    <t>(1/3) 7, a lot of points for a studio smaller than a regular Hilton hotel, not what i expected. Bathroom looks dated shower stains. No real place to sit. Refr (2/3) igerator too small, expected something bigger a mini is bigger thr one in my basement is twice the size. Will not select a studio again, just not right f (3/3) or me at cost point.</t>
  </si>
  <si>
    <t>0- I have not received a response to my question ^</t>
  </si>
  <si>
    <t>0 I told you I’m not kocher and not staying at any hotel. Please STOP texting me I work grave shift!</t>
  </si>
  <si>
    <t>(1/2) Still no internet making life difficult to respond to business downloads. Exterior fan excessively noisy all night long. No phone. Recommendation pro (2/2) vide 4or5 free drink coupons for bar. Rm 401</t>
  </si>
  <si>
    <t>,must smelling room bothers me</t>
  </si>
  <si>
    <t>0 i ended up leaving because lack of water pressure in my room...</t>
  </si>
  <si>
    <t>#everything's fine. Thanks</t>
  </si>
  <si>
    <t>0. I’m very very upset</t>
  </si>
  <si>
    <t>"7"Room in need of a real good dusting and bathroom has a unpleasant smell.</t>
  </si>
  <si>
    <t>0 for the breakfast and 8 for the room upgrade</t>
  </si>
  <si>
    <t>(1/2) 8 the shower in the bathroom clocks up and water comes up to about ankle high while taking a shower. And if we can get room service with new towels and e (2/2) verything that would be wonderful</t>
  </si>
  <si>
    <t>0- I am still waiting for an answer from a question I emailed about yesterday.</t>
  </si>
  <si>
    <t>$60 for parking, c'mon, the hotel was great, but parking is rediculous</t>
  </si>
  <si>
    <t>(1/2) I never stayed the night. I checked-in around 4pm then went to work. Worked my shift til 2:35 am and checked out at 2:50 am. But your staff was really nic (2/2) e and helpful too.</t>
  </si>
  <si>
    <t>(1/2) Fine, except our shower won't seem to turn off all the way. I left it dripping this morning. My wife is likely still in the room if you'd like to cal</t>
  </si>
  <si>
    <t>(2/2) ch or late lunch at one of the wineries any recommendations would be appreciated I believe we're going to stop at the Fairmont Sonoma as well. Kristi</t>
  </si>
  <si>
    <t>0 - I need to change my room because it has an awful smell</t>
  </si>
  <si>
    <t>-5! honestly from check in, to not being able to order a movie last night to me ordering room service over and hour ago, just hot water, tea bags, lemons and honey and never having received it YET! I am not impressed and this is by far one of the worst Hilton properties I have ever stayed in, in fact I am debating checking out and staying elsewhere for the remainder of my time here in New Orleans.</t>
  </si>
  <si>
    <t>Join Facebook or confirm your mobile number https://fb.com/l/1OIrhi8EplethKN</t>
  </si>
  <si>
    <t>(1/2) 7. Room is fine, minus mildew on shower tile grout (bleach?). Main problem is out of hotel control -- rude people on street yelling at the top of their (2/2) lungs, blaring horns for no reason in the middle of the night, esp. Sat. Night into Sunday morning.</t>
  </si>
  <si>
    <t>(1/2) These bugs- shore flies have been terrible, got two kids and my wide with me I'm having a hard time trying to enjoy the pool and the beach which we came d (2/2) own here for</t>
  </si>
  <si>
    <t>(1/2) It was great other than the valet parking experience. I don't mind paying for parking, but I parked it myself in front of the hotel because the guy told m</t>
  </si>
  <si>
    <t>(1/3) 6 I thought as an owners in this location we will get a better viewing rooms specially when we have a family guests. Also we ended up separated into two (3/3) cation.</t>
  </si>
  <si>
    <t>! This is not mine, or my wife's! Now I say, where is the 110% guarantee?</t>
  </si>
  <si>
    <t>own in NYC. Unsure if we will return here. Kids are loving the pool here though. Just being transparent.</t>
  </si>
  <si>
    <t>(1/3) Fabulous! Just spoke with your concierge and found a bar to wat (2/3) ch the Seahawks game, and made reservations for our 40 yr weddin (3/3) g anniversary dinner?</t>
  </si>
  <si>
    <t>. Very well We came to Hana for an overnight. Be back later today!</t>
  </si>
  <si>
    <t>*has not Hi, unfortunately it was not been a perfect 10 but my wife has communicated some issues we have to the front desk and I️ believe we are being moved to a different room. I’ll let you know if we need anything addressed after the move. Thanks.</t>
  </si>
  <si>
    <t>(1/2) I would give this hotel a 5 thanks for the hospitality and great service! Rooms do need a little repairing how ever, the bathroom floor has a loose tile a (2/2) nd the towel hanger was loose</t>
  </si>
  <si>
    <t>(1/2) Megan, thanks for checking. Having a very good time. Couple of minor issues, the hot tub at the pool isn't working and we requested wine glasses hours ago (2/2) and still not here. Thanks, Dan</t>
  </si>
  <si>
    <t>"10" So Far...Very impressed!</t>
  </si>
  <si>
    <t>(1/2) Last night It was a little cold. The vents were blowing cool air. I turned the heat up but it did not help. This morning was ok, if it's cool again tonig</t>
  </si>
  <si>
    <t>(1/2) 10 except the bathtub/shower drain is very slow. We stand in 2-3 " of water then shut off the water to allow the water to drain. Then we have to turn it o</t>
  </si>
  <si>
    <t>###1010!!!!!!! Thank you a lot:)</t>
  </si>
  <si>
    <t>(2/2) will stay much longer. More power to all the staff!!!! Thank you again...</t>
  </si>
  <si>
    <t>(1/2) 3, I understand the building is historic, but I had to wait 30 min this morning to take a shower because there was no water pressure. I missed breakfast s (2/2) o I was not late to work as a result today.</t>
  </si>
  <si>
    <t>(Jenn has been day dreaming at work all day)</t>
  </si>
  <si>
    <t>(1/3) So far our room was not ready at the designated time. Shower in room 716 had someone's hair on the floor of the shower; living room chairs are not designe (2/3) d for comfortable sitting. Something appears to be wrong with the remote controls, i.e. it takes several times to change channels or volume. The beds are (3/3) softer than we need - good for some not for others. Nice, roomy rooms otherwise. Please leave more coffee, cream and sugar. Thanks for asking.</t>
  </si>
  <si>
    <t>I learner what cherophobia meant. Weird world we live in.</t>
  </si>
  <si>
    <t>(2/2) Your team has worked hard to get us set for tonight but when we get in from the parks we will be changing rooms. Thanks</t>
  </si>
  <si>
    <t>0 I'm still staying at my house What hotel is this</t>
  </si>
  <si>
    <t>5 but my alarm didn't go off</t>
  </si>
  <si>
    <t>(2/2) coffe didnt tadte like a fresh cup. Everthing else is goid. (1/2) Things are good, the jets in the tub are amazing...the coffee and creamer seemed to be old. The creamer wouldn't stay blended, it separated in the cup,</t>
  </si>
  <si>
    <t>-2......just kidding, an 8</t>
  </si>
  <si>
    <t>I can use a tissue roll for the bathroom. Thanks, 10.</t>
  </si>
  <si>
    <t>Hi Kriztine! Yes let's go ahead and do the late 6pm check-out.</t>
  </si>
  <si>
    <t>"5" for us and our sons family! Thank you.</t>
  </si>
  <si>
    <t>(1/3) Hello Jennifer, so far, so good. I do have some pending charge on my card for $24.95 I have know idea why? Also I have the $100 pending charge still the (2/3) re that was suppose to be released on yesterday. I gave my banking information for the bank and was assured that would be released but as of now it hasn' (3/3) t? Plead inform me about the pending charge and the status of the $100 deposit being released.</t>
  </si>
  <si>
    <t>(1/2)It would be a 5 if the gym wasn't 75 degrees every morning. Every morning ..Please don't blame the AC, because even an open window would have cooled (2/2)better than what you are doing!</t>
  </si>
  <si>
    <t>"Hi Brit" What could we say About our stay? We've enjoyed the hotel Both night and day. Your wifi's rough Other stuff, just enough. A solid 3.5's your score today.</t>
  </si>
  <si>
    <t>(1/2) My stay is a 9. The only problem is difficulty with WIFI. I'm on the Hilton Internet but You Tube doesn't play. I plan to call Customer Service. I think (2/2) the problem is that HH awards is connected to my home email instead of the email associated with my tablet. Cheryl</t>
  </si>
  <si>
    <t>(1/3) 5 customer service was not good. They didn't stress the fact that breakfast end at 10 but 9am on weekdays. So when i showed up for breakfast at 930 it was (2/3) over. Never received my water or other perk for being an honors member. While checking out one guess had to ask for his water. For these reasons i did no (3/3) t complete my stay and checked out a day early.</t>
  </si>
  <si>
    <t>&lt;30 min wait to get your car in the morning. :)</t>
  </si>
  <si>
    <t>(1/2) Not good. Could not connect to internet. Carpet was apparently not vacuumed after last person because there were peanuts and crumbs. Servers in the breakf</t>
  </si>
  <si>
    <t>(1/2) Not good at all. The room service has been unavailable for dinner the last few days, which has inconvenienced me horribly. I chose to stay here again prim (2/2) arily for the room service availablilty. Second, the small fridge in my room freezes everything instead of keeping it cold.</t>
  </si>
  <si>
    <t>(1/2) Thanks, Camille our rooms are 10. Question - why did lounge clos (2/2) e last night 11pm? Bartender not very pleasant ?</t>
  </si>
  <si>
    <t>(1/2) 10. Thank you for asking (it'd be an 11 if pancakes were on the (2/2) menu). ?</t>
  </si>
  <si>
    <t>(1/4) Hey Cynthia, yesterday I came down after we checked into the room and let the desk know that there was tissue under the sink in the bathroom and dirty pil (3/4) dirt in the corners and the shower has mildew in the tiles that can be cleaned with bleach. You have a nice property but my room gets 4 rating at this ti (4/4) me.</t>
  </si>
  <si>
    <t>0 very disappointing. If you really care call me.</t>
  </si>
  <si>
    <t>(5) Was text the wrong internet password with multipl text with know help, had to ask person traveling with me the correct password.</t>
  </si>
  <si>
    <t>(1/2) I'm going to have to say 3 because you said breakfast started at 7, extremely disappointed to walk out of the room to see people eating. Breakfast before</t>
  </si>
  <si>
    <t>0, does not apply Hilton folks, you still have the wrong person.</t>
  </si>
  <si>
    <t>(1/2) One area of concern is the wifi connection. While in the room the wifi keeps cutting in and out. This forces you be in the common areas to have full acces (2/2) s. Besides this area everything is is great. V/R Charlie</t>
  </si>
  <si>
    <t>00480065006C006C006F002000560061006C006500720069006500210020002000540068006500200072006F006F006D0020006900730020006700720065006100740020002D002000310030002E00200020004F0076006500720061006C006C00200076006900730069007400200074006F0020004400430020006900730020007000720065 00740074007900200067006F006F006400200061007400200061006E002000380020006200750074002000670065007400740069006E0067002000620065007400740065007200200028006F00750074007300690064006500200063006F006600660065006500200062007200650061006B0020006D00610064006500200061002020180036 201900200067006F002000750070002000740077006F00200070006F0069006E0074007300210029</t>
  </si>
  <si>
    <t>(1/2) The women's public restroom on 2nd floor has a handicapped stall but is impossible for a person in a wheelchair to open the outside door to get into the r (2/2) estroom.</t>
  </si>
  <si>
    <t>(1/2) 6 with a minus for my name being misspelled creating issues and my view being a parking lot under construction. Otherwise everything seems exemplary. I ha (2/2) ve only been to my room and the restaurant thus far.</t>
  </si>
  <si>
    <t>(2/2) yesterday, is still on the floor today.</t>
  </si>
  <si>
    <t>Well thank you, however, you should have maintenance look at the door lock for room 8001 after I check out today. The digital key does not work for that room.</t>
  </si>
  <si>
    <t>(1/2) 4 - credit card was charged twice for $100 each time. No other hotel does this. Do they not trust us with the towels or what? Those charges had better</t>
  </si>
  <si>
    <t>( 5 ). room was above elevators and was very noisy. Changed rooms around 11:00pm</t>
  </si>
  <si>
    <t>(1/2) Honestly, 5. The hotel has a tired feel to it. I found the cable tv system very frustrating. Time to get into the 21st century. Same with wifi. Very tough</t>
  </si>
  <si>
    <t>0 because who in their right mind would give you their banking pass</t>
  </si>
  <si>
    <t>8, would be a 10 if the spas were open in the pool area. Are they closed permanently?</t>
  </si>
  <si>
    <t>(1/5) Its been a struggle to relax due to room. Staff been lovely. Major plumbing issue in bathroom over multiple days resulted in a move, taking hours away fro (5/5) ce is burning out quick. (3/5) l over lap as Styrofoam plate and plastic plate broke at pool. They didn't use the regular square reinforced plate but replaced the salad. Black cloud fol (4/5) lows us... in Miami we had a night comped to use cause stepped on glass in pool and reception didn't want us to report it. I believe in Hilton but my fian</t>
  </si>
  <si>
    <t>(1/2) 8, very nice room. Only minor issues: - A wash cloth on the towel rack had quite a few strands of long black hair left on it. - Refrigerator does not see</t>
  </si>
  <si>
    <t>0. Complained to Hilton already. Nick vesterfelt have fun</t>
  </si>
  <si>
    <t>We are still very comfortable and you are still at 10 on our list.</t>
  </si>
  <si>
    <t>02/02:attention to detail and functionality are the only ways to improve your ratings</t>
  </si>
  <si>
    <t>(2/2) side by telephone. (1/2) 4 for the room, although I must give personnel a glorious-5, wonderful room, spacious, beautiful view. only complaint is bed is somewhat broken down on</t>
  </si>
  <si>
    <t>(1/2) Actually, last night at 11:30 p.m., I left my breakfast order on the outside door handle, but no one took it. So, I had no fritatta breakfast. Very disa (2/2) ppointing.</t>
  </si>
  <si>
    <t>#9...my toilet does not alway flush w/o intervention ??</t>
  </si>
  <si>
    <t>(1/2) 5! Somehow, water got all over the floor when I took a shower the other day... not a problem for me, but I felt bad...i had closed the inner and outer</t>
  </si>
  <si>
    <t>0. We were told there would be a room for us this evening also, and then we were asked to leave, they sold our room. Terrible experience with the Fairmont.</t>
  </si>
  <si>
    <t>(1/2) Hello Linda. I've had some difficulties checking in, both times. But other than that, it's been good. The same gentleman who's checked me in both times wa</t>
  </si>
  <si>
    <t>(([(25 +100) / [4-(-1)]] + 1) / 2) - 3</t>
  </si>
  <si>
    <t>(1/2) We enjoyed the room, restaurant, and pool veranda. Drawbacks: Waiting over an hour outside for the airport shuttle, pool was dirty, waited over 5 mins (2/2) to pay for bottled water. So my rate is 3.5/4.</t>
  </si>
  <si>
    <t>"5" Did you get me signed up?</t>
  </si>
  <si>
    <t>0. I have called and will be moved to a different room.</t>
  </si>
  <si>
    <t>(1/2) Going well. I'll give you an 9. Only complaints are that it gets pretty warm at night even though I set the AC to 65 (lowest setting) and we get a fair (2/2) amount of traffic noise, especially sirens. Seems like there must be a hospital or fire station nearby.</t>
  </si>
  <si>
    <t>9 Rating ....barely. Need fitted sheets for king bed! We had to remake the bed this evening. 😟</t>
  </si>
  <si>
    <t>(1/4) Have a question actually. I paid for the shuttle this morning to take me to Epcot so I could then get to Magic Kingdom. However, he said there were some (2/4) issues going on with Epcot that made him have to take us to Hollywood Studios and I was able to get to Magic Kingdom from there. Problem is to get the s (3/4) huttle back to Tuscany Village do I go back to Hollywood Studios to the same place where the shuttle dropped us off? Or do I take the Disney transportatio (4/4) n or the monorail to Epcot like it says to do on the receipt?</t>
  </si>
  <si>
    <t>(1/2) 8. I was disappointed to hear the housekeeping staff talking loudly in the hallways with their carts before 8 a.m. this morning. I was up and out the do (2/2) or at the elevator anyway but if I'd been trying to sleep it would be hard to.</t>
  </si>
  <si>
    <t>(1/2)Overall, 7.5. It would be a 10 but my neighbors downstairs verbally sparred with each other until about 3am. Hopefully they've settled it. :0) (2/2)Thanks for checking on me.</t>
  </si>
  <si>
    <t>(1/2) Well...so far a 3. Reason being, we can not watch ABC, Pillows to...soft, smell a little mildew but the building is old and that's it's charm. I found my (2/2) government ID and will bring it down.</t>
  </si>
  <si>
    <t>. .. rr ddd d d ßdC Pbm-A R</t>
  </si>
  <si>
    <t>(1/2) The small double beds are too small...the curtain is broken it appears .the first room was perfect ...I just could not take the noise of the elevator...th (2/2) is is a work related stay so I need to rest at night...there is some mold on the shower curtain...and the light in the hall area does not work</t>
  </si>
  <si>
    <t>(1/2) Its about a 7...the noise in the room is rough. I talked to the front desk &amp; they were going to send maintenance to ck on the AC unit. Thanks for checking (2/2) on me!</t>
  </si>
  <si>
    <t>(1/3) 10! Please ask housekeeping to drop off body wash please (702). (2/3) I received two hair wash bottles instead! I don't have a lot of (3/3) hair on my head anyway ?</t>
  </si>
  <si>
    <t>(1/2) I have to give this a 10. You guys are always wonderful. There is one thing i want to mention. There is some sort of film on my overhead in the bedroom. W (2/2) ill you handle this for me please.</t>
  </si>
  <si>
    <t>(1/2) 591094621 is my honors number was it applied to account? Also there has been a tray of food in front of room a few doors down since check in yesterday. Wo (2/2) uld hate for that to create pest issues.</t>
  </si>
  <si>
    <t>(1/2) Overall the room is good. I can't give you a 10 because in the bathroom on the inside lip of the shower right below the step there's a line of mold in the (2/2) crease. You have to be in the shower to see it. My nose is very sensitive to mold. I'm still congested from taking a shower in there. I would give it a 7</t>
  </si>
  <si>
    <t>0 I sent you a text that this is the wrong number. I am not staying at your facility and you stated you would remove my phone number from the list</t>
  </si>
  <si>
    <t>(1/2) Hi Raquel. The room next to me had someone who didn't hold their alcohol and was throwing up most of the night. Something YOU have no control over. I alw (2/2) ays enjoy staying at this property. I'll rate an 8 for this stay. Thank you. Jeff Wingood</t>
  </si>
  <si>
    <t>"5" Maholo for the Sparkling wine ?and chocolate</t>
  </si>
  <si>
    <t>(1/2) about a 6 - we are too far from tram station for a 64 yr old person with bad knees im afraid of staying here again unless you provide shuttle servic (2/2) es to at least spot where we can then transfer to another transportation service</t>
  </si>
  <si>
    <t>(1/2) 4 - I had difficulty logging on to the internet w/ my HHonors information and was disappointed that the hotel doed not offer complimentary shoe shine. Oth (2/2) erwise, OK.</t>
  </si>
  <si>
    <t>(1/3) So far about a 5. There's a small dog in 3337 that's been left alone in room and has been,barking incessantly; yesterday afternoon from about 3 until arou (3/3) re 40+ and the music is certainly not geared to that age group. (3/3) re 40+ and the music is certainly not geared to that age group.</t>
  </si>
  <si>
    <t>Bonnie Kavanaugh Valle's number is 269 720 9652</t>
  </si>
  <si>
    <t>(1/2) 5. Can you stop the track meet of the kids in the room above us. They hit the floor running at around 6:30 and were still going when we left at 9 am. A (2/2) lso there were people on their porch/lanai talking really loud until I called to complain at around 1:45 this morning. Not really happy with this.</t>
  </si>
  <si>
    <t>"I am unable to respond to your message at this time."</t>
  </si>
  <si>
    <t>(1/2) I want to say 10 but there were a few hiccups. everyone else in our party was upgraded but us. I was also given the incorrect time for the health club to (2/2) be open which kind of bugged me. I do know that they got lucky by getting comped still feels bad to be the only ones left out.</t>
  </si>
  <si>
    <t>Can I request a late check out for tomorrow?</t>
  </si>
  <si>
    <t>&amp; the line wouldn't work. Our key stopped working on three different occasions - we did not have it by anything to de-magnetize it. The facility gets a 3 The people were great. They get a a 5! Our shower/tub wouldn't drain &amp; when we tried to pull the line out to hang our clothes on it - the knob came off .</t>
  </si>
  <si>
    <t>"9". Jessica .... many thanks!!</t>
  </si>
  <si>
    <t>0 there was someone smoking on my floor last night</t>
  </si>
  <si>
    <t>(1/2) Hi Ayn: Great so far. Did they keep my rate for the second room the same for today $119? I'm currently walking downtown I will stop by on my way back in! (2/2) Think we will head to the new shops on the Riverwalk!</t>
  </si>
  <si>
    <t>(1/2) Except for being woken at 5 a.m. with what sounded likes pipes howling for over an hour from our bathroom an d major TV networks not working. We called (2/2) re: pipes at 5 a.m. and again after 8 a.m. I believe also reported TV after 8 a.m</t>
  </si>
  <si>
    <t>Everything is good so far! TU!</t>
  </si>
  <si>
    <t>0. I found stained sheets on my bed.</t>
  </si>
  <si>
    <t>(1/2) I forgot to text you this morning. Can you have them look at the A/C please? I froze last night. I had it on 83 or 84. I believe that's the highest it cou (2/2) ld go but it never warmed up.</t>
  </si>
  <si>
    <t>Mountain biking in the desert....</t>
  </si>
  <si>
    <t>#10. Thanks so much!! Bonnie Britt</t>
  </si>
  <si>
    <t>(1/2) Hugeeee opportunity in valet service. Both days I had to wait about 20 minutes even though I called from the room. Very disappointing for what we paid f (2/2) or the service.</t>
  </si>
  <si>
    <t>"10" thanks for asking !!</t>
  </si>
  <si>
    <t>frustrating and time consuming to keep channel surfing to find something of interest to watch.</t>
  </si>
  <si>
    <t>(1/3) Good Morning I fell in the bathroom last night after I showered the bathroom floor was very slippery I put towels on the floor and because of that I hurt (2/3) my back a little and miss out on the orientation from the hotel to get seaword ticket after I already paid $20 deposit another than that everything is gre (3/3) at.</t>
  </si>
  <si>
    <t>(1/2) Do you have a sewing kit/safety pins? There seems to be a puddle of water under the sink. Not sure if this is residual from housekeeping mopping or sink (2/2) leaking??</t>
  </si>
  <si>
    <t>(1/2) 9! No refrigerator in the room?. Besides that, great! #first (2/2) worldproblems</t>
  </si>
  <si>
    <t>(1/2) Still having issue the water filling up in the sink and draining slow. Not sure how to adjust the stopper in the sink. Lever behind it does nothing when I (2/2) try to adjust it.</t>
  </si>
  <si>
    <t>(10) is the number so far. Thanks</t>
  </si>
  <si>
    <t>(1/2) I would have to rate a 6. We had some problems during the night. The toilet rocks when used. It also has a leak that causes it to run every 30-45 mins (2/2) . So all night it woke us up running. The light in the fridge flickers constantly when the door is opened.</t>
  </si>
  <si>
    <t>-15, I am completely unhappy with my stay and the front desk staff</t>
  </si>
  <si>
    <t>(2/2) s the only issue. (1/2) Elizabeth, I need to see about different pillows, there are four on the King Bed and provide no support, typically I use the memory foam. Right now that i</t>
  </si>
  <si>
    <t>10! And thanks Sarah</t>
  </si>
  <si>
    <t>0 my coworker had her room broken into and it is very upsetting to our team that a Hilton vacation resort had this happen. The blood in the elevator also displays a lack of safety. I am a diamond member and expect better from your properties</t>
  </si>
  <si>
    <t>(1/2) 10! You were so accommodate to us evacuees i cant even thank you all enough for your hospitality, the low rate and letting pets stay and the volunteers wh (2/2) o worked!!! without you guys we would have stayed in south tampa where the eye was slated to cross. Thanks for saving us</t>
  </si>
  <si>
    <t>I have never received my bottle opener.</t>
  </si>
  <si>
    <t>(1/3) Cornelius, i night stay was nice. However my experience has been below average. The service of the front desk has been above average; all other experience (2/3) have not met expectation. For example my room was not vacuumed completely as food and trash was found between the couch. Carpet does not look clean. And (3/3) again this morning i had another bad experience at the ema - they are the worse.</t>
  </si>
  <si>
    <t>(1/2) 7, we weren't aware that there weren't any generators which was the purpose of us coming here during the hurricane to ensure power for my sister who's in (2/2) a wheelchair</t>
  </si>
  <si>
    <t>(1/4) Stay is fabulous. Had a bit of a challenge with bartender at your restaurant late last night. We waited patiently for server at table for drinks for 30 m (2/4) inutes. It was packed so we understood. However, when I went to bar to order 3 drinks, bartender was a bit rude and would not take my drink order and to (3/4) ld me to wait for my server. Others came and sat down at bar and were served immediately. It was a bit confusing. Otherwise, everything is fabulous. Tha (4/4) nk you for your concern. April.</t>
  </si>
  <si>
    <t>0, Shari! I was supposed to get a room change today, but was told I had to go out my current room so it could be made. Well, I had just woke up and that was a big inconvenience. You say you want to please the customers but at the same time, it's almost as if we were going to be put out in the streets to get a room ready. My husband and I flew here, so we have no transportation and was told we could store our items. This is just not right!</t>
  </si>
  <si>
    <t>(1/2) Not so great . I called the front desk twice and reported that the a/c isnt working and the hot water isn't getting hot in the room and no one has be</t>
  </si>
  <si>
    <t>Any chance you could get my truck pulled up?</t>
  </si>
  <si>
    <t>(1/3) This is Abby McDougall from room 544. We requested a late check out of 1:00. We had an appointment and we have been referred to another appointment. I can (2/3) not make 1:00. We may be staying an additional night but not sure yet. Can that be arranged if needed? And what is the latest we could check out without b (3/3) eing charged?</t>
  </si>
  <si>
    <t>(1/2) Need 4 towels in room instead of 3 please? Stay is going well t (2/2) hough.. Thsnk you</t>
  </si>
  <si>
    <t>(1/2) We're calling this a 5 because of the pool we knew nothing about in spite of having called the resort with several unrelated questions. That's a little sh (2/2) eisty.</t>
  </si>
  <si>
    <t>(1/2) Yes didnt like that i couldnt do the timeshare tour because my husband is not with me. That is a rediculous rule for the times. I purchased my Hyatt tim (2/2) eshare on my own...no husband...i have my own money.</t>
  </si>
  <si>
    <t>Hi can I get a bellman please</t>
  </si>
  <si>
    <t>(1/2) Well the mouse situation, having to move rooms really ruined our morning. I couldn't sleep all night so I didn't get up to do sightseeing this morning. We (2/2) paid money to upgrade and even with the $100 credit it still doesn't seem like this has been a good stay.</t>
  </si>
  <si>
    <t>**The Feldman Group** Web Design: Research/Design Rating: 0.00 --- We are helping the Red Cross, and you can too. Find out how TEXT #share</t>
  </si>
  <si>
    <t>(9) the Embassy Suites does not have as many luggage carrying carts as you used too!</t>
  </si>
  <si>
    <t>"5" so far, but if we need another towel, roll of toilet paper or tissue can front desk supply?? ( I just read sign 'no light touch housekeeping on wknds'. )</t>
  </si>
  <si>
    <t>(2/2) the amount you spend regardless of any rewards program or subscribtion required</t>
  </si>
  <si>
    <t>(1/2) Our daughters arrived early because we were out of the country for my father-in-law funeral, and got in late last night and was well taken care of so it's (2/2) a 10 so far</t>
  </si>
  <si>
    <t>(1/3) 6 we asked for the first available room. There was a disable room available at that time. We agreed to take it based on the description given to us. Howev (2/3) er, we were not advised about the total description such as small kitchen sink without a garbage disposal, the missing bathtup ceiling feature and the vie (3/3) w which is the parking wall. After spending a week at the Marriott Cypress Harbor I would say the the Marriott room was superior to thi one.</t>
  </si>
  <si>
    <t>(1/6) I already checked out early this morning. To be honest I was not really impressed. My room had some issues: 1. WiFi - kept dropping signal on multiple de (2/6) vices I had. 2. Tv/cable - kept losing signal last night, one tv in one bedroom wouldn't work, other tv in other bedroom would randomly change channel (3/6) and then go back to my channel I was watching a few seconds later. 3. Shower - shower head not screwed on tight and water spraying onto drywall above he (4/6) ad, causing it to drop wet drywall drops on my head while showering. 4. A.C.- the air conditioning wouldn't get cold like I enjoy it. I tried to set it</t>
  </si>
  <si>
    <t>(1/2) Fabulous. Quick question, I had 3 rooms reserved and the per night parking price quoted was $32 for some rooms and $20 for others. Is that due to multipl (2/2) e rooms?</t>
  </si>
  <si>
    <t>(1/2) 6- The bathtub seems dirty, but my partner feels it appears that way because the rub is dated? Other than the tub, which I am uncomfortable with, all else (2/2) is fine.</t>
  </si>
  <si>
    <t>(1/2) Its was ok ...the AC was not working properly as it got very humid and muggy in middle of night as AC wasnt cooling properly but overall everything else (2/2) was ok</t>
  </si>
  <si>
    <t>(1/2) Hi Rowel. we are trying make it work. thank you for asking. This morning we couldn't get on the elevator. we had to wait about 20 min because we had to (2/2) wAit in a line for other people that was Waiting for the elevator b4 we got there.</t>
  </si>
  <si>
    <t>(5) for sure. Little noisy in the room being this side of the building though. My wife cut her toe open pretty good on the bottom edge of the room door last night but I think she'll live. May want to check the bottom of that door however just so it doesn't happen to someone else in the future.</t>
  </si>
  <si>
    <t>(1/3) Rough night, 1-2. Very little consideration for people with disabilities. I think there only a few ADA accommodations and i didn't truly feel safe if ther (2/3) e was an emergency and just plain difficult to get around the faculty in a wheelchair, doors, floors, light switches. Accessibility wasnt kind to me for t (3/3) his to be a Hilton or any top rated hotel. room was a bit untidy in the bathroom as well. Thanks though, enjoy your day as well!</t>
  </si>
  <si>
    <t>(2/2) or laptop to wifi at all (1/2) Is there a different Wi-Fi code for the 12th floor? I have no Wi-Fi in my room and wonder if it's because of the router range?? I can't connect my tablet</t>
  </si>
  <si>
    <t>(1/2) 9 We wanted bowls that we can eat noodles or cereal. What you brought us were kind of too big for each person... There are not many restaurants inside. (2/2) Overall, it's very nice staying here!</t>
  </si>
  <si>
    <t>(1/2) Hi Dolores, a couple small issues with our room. I found someones old sandals under my bed, and out tv flickers badly making it very difficult to watch. A (2/2) re we able to get the tv changed out?</t>
  </si>
  <si>
    <t>0-Unfortunately we had a terrible experience here last night and we are checking out today.</t>
  </si>
  <si>
    <t>#10. No complaints. All is well</t>
  </si>
  <si>
    <t>(1/3)Honestly I'd have to say a 5 at best. I can deal with a small room, but the bed is hard as a rock. The bathroom isn't much bigger than a cruise ship with (2/3)a small odd sink. The toilet paper holder hits you in the knee and there were really long hairs (at least 10 inches long) on the hand towels. The towels</t>
  </si>
  <si>
    <t>(1/2) Well considering our first room had a wet urine saturayed bed that had a horrible oder it didn't start off very well. We had to switch rooms and bathe our (2/2) kids at 11pm at night after a 4 hour drive to get here.</t>
  </si>
  <si>
    <t>(1/2) 8 only because food should be served later on Fridays at your property restaurants/bars. Only pizza recommendations from front desk. Mom disappointed and (2/2) to bed hungry at 11p.</t>
  </si>
  <si>
    <t>Going with an "8" only because the carpet in the room was dirty (there were pieces of goldfish crackers, and some other small food items on the carpet) and the crib wasn't ready. We've been staying at the Hilton numerous times and we will continue to do so. Ambience is always??. ? Thank you. We loved all the Christmas decorations from driveway - lobby!</t>
  </si>
  <si>
    <t>(1/2) Hello Ryan. It was going until I lost my wallet. ? Looking for (2/2) it now.</t>
  </si>
  <si>
    <t>$11.00 for a can of soda and a bag of M&amp;Ms; seemed excessive</t>
  </si>
  <si>
    <t>10! Hey, wanted to get a breakfast recommendation. We are getting adjusted to the time difference from California and totally missed breakfast this morning. Any places nearby that you like?</t>
  </si>
  <si>
    <t>#1 très efficace et courtois. Merci</t>
  </si>
  <si>
    <t>(1/2) So far the painters are outside of my room for over an hour they (2/2) were right on my balcony with a machine?</t>
  </si>
  <si>
    <t>0??? I checked out because Parc Soleil was so bad.</t>
  </si>
  <si>
    <t>(1/3) With the exception of the ladies attitude yesterday about my key being left in pool. My service has been great. But she seriously offended me &amp; made me</t>
  </si>
  <si>
    <t>"10" and can you tell the housekeeper come to my room after 11:30? :)</t>
  </si>
  <si>
    <t>(1/3) Wonderful so far. You can help me out with signing my kids up for today's lei making class at 1:30...saw it is included in resort fee, but when I tried</t>
  </si>
  <si>
    <t>$19 a person for subpar continental breakfast is ridiculous. Not to mention the sandpaper bathrobes ???</t>
  </si>
  <si>
    <t>9- FYI the toilet in my room would run randomly</t>
  </si>
  <si>
    <t>0 room super moldy wish I could have checked out but had to stay for work</t>
  </si>
  <si>
    <t>(1/2) Hi Scott, I am a little sensitive to the particular fragrances in the soaps in the bathroom. Are there any alternatives? They don't need to be fragranc (2/2) e free.</t>
  </si>
  <si>
    <t>(7) there was a terrible sewage smell in the room last night into the morning couldn't sleep ?. Finally, maintains came an poured something in the drains but it slightly kicked back up a little this morning. I'm really tired and sleepy right now. Thanks for asking rest was disturbed ?</t>
  </si>
  <si>
    <t>(1/2) It was great. Didn't understand why someone came by and said I had his room, tried to call about it but got no answer. Will give rate it a 9 because of th (2/2) at, otherwise definitely a 10</t>
  </si>
  <si>
    <t>(2/4) me to relocate to so I will check that one out this evening upon my return. Needless to say I did not sleep well worrying about whether there would be mo (3/4) re roaches and if they might crawl into my luggage. Never had that experience at a hotel. If there are additional sightings in the new room then I will ha (4/4) ve to switch hotels. I cannot risk taking pests home. Thanks (1/4) I have killed a couple of roaches in the room. I do not have pests at home and do not wish to take them home with me. Destiny has blocked another room for</t>
  </si>
  <si>
    <t>0. You're high pressured sales office will not leave us alone.</t>
  </si>
  <si>
    <t>-10.....will be recommending people to not go there. Felt hustled the whole time. Nicked and dimed. Bed was comfortable though. Rhett Yingling</t>
  </si>
  <si>
    <t>(1/2) 7. There are some people every morning above my room with heavy equipment, working. The water does not get hot on the left side of the sink in the bath (2/2) room. The bathroom toilet light is out.</t>
  </si>
  <si>
    <t>(1/2) Stay was fine. Have already checked out. Room was a 9/10. Bathrooms could have used a wipedown in the shower. Will be back on the road home around 3. Will (2/2) definetly be staying here again. Thank you</t>
  </si>
  <si>
    <t>(4). No hot water in my room.</t>
  </si>
  <si>
    <t>( 8 ) Thank you all was fine.</t>
  </si>
  <si>
    <t>0. Could not sleep by the elevators people screaming at 2:00 am plan to complain when I get back hotel. Backboard to bed is filthy. No hot water. Bed is too soft</t>
  </si>
  <si>
    <t>Can you please extend my stay to check out on Thursday morning?</t>
  </si>
  <si>
    <t>(1/2) 1. Not happy at all. This room is not a fair representation of what we expected in consideration of your website depiction and for an anniversary stay. No (2/2) t even two chairs to sit on and very noisy location,in including tv above room from executive lounge.</t>
  </si>
  <si>
    <t>(1/2) 3/5. The room had smoky bad smell to it. I had to air it out with the window open the whole day and night. Don't know if it's gone now or I am use to it. (2/2) I'll see when I go back. Otherwise love the view, layout, and the location.</t>
  </si>
  <si>
    <t>(1/3) 6 - our second floor toliet wont work, and the first floor bathroom is flooding due to the second floor toliet. Also the scrern door on the balcony has be (2/3) en broken since we got here. Im very disappointed for how much money it is to rent this villa ...But we thought the club last night very fun and our bar s</t>
  </si>
  <si>
    <t>(3) j'ai reçu 2 heures plus tard ma réponse</t>
  </si>
  <si>
    <t>0 wrong number. Please delete from your system.</t>
  </si>
  <si>
    <t>(1/2) Destiny, if you find some men's dress shirts and a couple sets of Air Force uniforms with the name 'Uribe' on them, can they be shipped to us? To Jeremy (2/2) Uribe, 7749 Jewelweed Ct, West Springfield, VA 22152? We are currently</t>
  </si>
  <si>
    <t>"7" with cleanliness of grounds a "5" . Check out the grounds on the first floor in the St. George house near the ice machine room/elevator -luggage cart storage area. The grounds are filled with paper, plastic, cigarette butts, and more litter. The ice machine there is dirty and needs to be washed. The ventilation grate in our room is filthy and needs to be vacuumed and washed. The full kitchens should have rinse aid and several kitchen towels and dish cloths. There should also be a drying mat or rack for the dishes. Additional wash cloths for larger rooms are also needed. Security was also a big concern. We walked in from a walk last night and were able to walk right past security and into the pool area without being stopped at all.</t>
  </si>
  <si>
    <t>(1/2) If we could use extra bath towels. Teenager girls you know?Than (2/2) ks much</t>
  </si>
  <si>
    <t>(1/3) Hi Cristina. Thanks for checking in with us. I would have rated a 10 except that the stove exhaust vent apparently doesn't suck cooking fumes out of the r (2/3) oom. Yesterday morning while cooking in the room our smoke alarm went off because of this. I could literally see the cooking fumes being blown back into t (3/3) he room out the vent above the microwave. This caused quite the inconvenience for us and no doubt disturbed our neighbors as well. Dave</t>
  </si>
  <si>
    <t>(1/2) I did have some issues with the Room but it was taken care of the Room had a lot of issues the food at our banquet was terrible but other than that the st (2/2) ay itself is fine</t>
  </si>
  <si>
    <t>(1/3) 6..have had too many things in our room broken! But good part is that after calling operator, repairman came up very quickly and fixed all the problems.. (2/3) 1..shower would not drain. 2. Shower door would not close and made terrible sound. 3. Kitchen outlet not working. All fixed now. 4. Refrigerator /f (3/3) reezer door not working properly. .but haven't called on this issue yet. Yet, we love our room and view!</t>
  </si>
  <si>
    <t>-4 parking was not good Overall stay 10</t>
  </si>
  <si>
    <t>0. Still waiting for the room change that was promised yesterday.</t>
  </si>
  <si>
    <t>0 cause this is the wrong number</t>
  </si>
  <si>
    <t>(1/2) Good day Michael thanks for touching base unfortunately not so well we are 3hrs behind due to some damage to the ballroom I've been on standby since 8am (2/2) awaiting when it will be fixed and cool enough for us to set up and updates you could find out would be helpful I have notified Jennifer aswell</t>
  </si>
  <si>
    <t>(1/2) I'll give you several scores: Follow up on my earlier coffee request: 1 (didn't happen). Follow up on keys: 4 (happened ok) Status of exercise bikes in gy (2/2) m: 2 (4 of the 5 need service to be 100%)</t>
  </si>
  <si>
    <t>(1/2) Maybe a 5. Staff was great. Hotel sucked. First and last time at a Hilton hotel for me. Cleaning crew shows up when we were in our room at 4. The day we c (2/2) hecked out they show up at 9 when we r trying to get out. Trip adviser here I come!!!!!</t>
  </si>
  <si>
    <t>(1/3) Thank you! I have never met a sales person that comes up to Matt's knees in service!! We have been to 7 different hotels in the last 6 years and no one (2/3) compares to the customer service Matt provides!!! He calls me the week of the Retreat, he follows up, he returns phone calls promptly and most of all, he (3/3) Always does what he says he is going to do!!!</t>
  </si>
  <si>
    <t>(1/2) 10...planning on coming back ? with my kids soon. As long as i (2/2) can get a good rate again?</t>
  </si>
  <si>
    <t>(auto reply) Sorry, I'm out of the office and will return on Tuesday, August 8th. If your message requires a reply, I will respond when I return. Thanks, Ransford</t>
  </si>
  <si>
    <t>(1/2) Will the shuttle service be working this afternoon? My son is having surgery right now, but I anticipate that I will need transportation around 2:30. I (2/2) had to pay ten dollars for a cab this morning. Thanks for your response.</t>
  </si>
  <si>
    <t>(1/2) Doing better. Yesterday's staff took care of getting us to our proper room and made up for the reservation mistake with a nice dinner at Blue. I can't (2/2) give a 10 but think an 8 is right at this point of our stay.</t>
  </si>
  <si>
    <t>... wanted to rate it high but I seem to have lost a bag in the meeting rooms.</t>
  </si>
  <si>
    <t>0 stop texting me now</t>
  </si>
  <si>
    <t>(1/3) I am not inbthe Embassy Hotel l had cancelled my reservation on 12 28 2015 there was an error of communication and the Embassy charged me a $738 for the r (2/3) eservation but they are trying to correct it as of yesterday. I booked it through Booking.com l guess booking.com never sent them the cancellation confirm (3/3) ation.</t>
  </si>
  <si>
    <t>(1/2) Our rating is a 9...would of been a 10 BUT we ordered room service... 2 egg sandwiches a coffee and OJ and $35 dollars later...lol Thank you for checkin (2/2) g in on us</t>
  </si>
  <si>
    <t>(Room 0203) My wife &amp; I had issue sleeping, as bedroom warm and ac did not work; living room was fine Wife noticed dishes especially silverware was not washed properly... We will leave room approx 30min; to go swimming; in case maint able to fix ac! {support@vbsweb.net}</t>
  </si>
  <si>
    <t>(1/2) 9-had a glitch with tv. Said it had no signal. But tried it again hour later &amp; it was fine. Hubby should be in tonight - hopefully not too late. Thanks fo (2/2) r checking on me. -Sandy</t>
  </si>
  <si>
    <t>(1/3) Excellent...I dont like the parking situation...self parking. Im from SA &amp; moved to DFW and came down for short trip for work, so I know how to handle (2/3) ppl from that area, but tourist can look like a target in an unfamiliar city. Hilton should revise or modify self parking situation. Shuttle guests or (3/3) something.</t>
  </si>
  <si>
    <t>(7)- breakfast was not that great. We are in an adjoining room and can sometimes hear the people talking in the next room. They are not talking loud it's just not enough sound isolation. Makes the room not as private.</t>
  </si>
  <si>
    <t>(8) thanks for asking</t>
  </si>
  <si>
    <t>#10 WODERFULL THANK YOU</t>
  </si>
  <si>
    <t>It is a 9. I just wanted to let you know there are some small issues with the room. I guess there is a water leak and It is not leaking now but a part of the plaster is off the ceiling, not sure if you knew.</t>
  </si>
  <si>
    <t>#10. Thanks for checking</t>
  </si>
  <si>
    <t>(1/3) Hello, sorry for the delayed response. We've been resting on and (2/3) off because we have a small child. We've enjoyed it so far. Tha (3/3) nk you! We give you guys a 10!?</t>
  </si>
  <si>
    <t>Hi There Our stay has been good. As owners a few thing have changed for sure. No complaints about hgvc but the walkways need to have some of the stone</t>
  </si>
  <si>
    <t>(2/2) refer any of my people here. (1/2) Bart, I'm very disappointed in how Wyndham has handled this stay. I was NEVER informed that there was a parking fee. I wouldn't ever stay here, let alone</t>
  </si>
  <si>
    <t>(1/2) 5, we had to switch rooms due to a broken bed and though we were comp for a night we had no sleep and are tired, but still have paid functions to attend s (2/2) o we are unable to recop.</t>
  </si>
  <si>
    <t>(1/4) I would say about a 7 because the water will be off tonight. At 8pm we are going tho Drip which is a live art event and will be covered in paint, sand and (2/4) water etc... by the time we return the water will be off... it is not desirable to have to shower downstairs while we are on vacation... we are only here (3/4) for 3 nights and the water happens to be off on the most important night... not that I want it to be off any nights. I intended to use the tub everyday.. (4/4) .</t>
  </si>
  <si>
    <t>,9. 10 if I had an ocean view!</t>
  </si>
  <si>
    <t>(1/2) Hi! It's great! I am having a hard time with the wifi- we received the password but when I went to connect it didn't ask me for that but it said that it w (2/2) as connected. I went to use it &amp; it says I'm off-line</t>
  </si>
  <si>
    <t>(1/3) I would rate the stay a 7. Overall the amenities are good but find that the property is in need of renovations. Also I did call on Monday night asking for (2/3) someone to reprogram voicemail button as I am unable to check any messages, fix the dripping in the shower and the running toilet and noone has come as y</t>
  </si>
  <si>
    <t>(6) so far. The shower was clogged in the handicap bathroom and flooded the floor in the room during me taking s short shower</t>
  </si>
  <si>
    <t>0, my wife has to use the toilet next door and we're on our anniversary trip</t>
  </si>
  <si>
    <t>(1/2) Not very well as the pool is not available and we specifically came here for that exact reason. Very disappointed and frustrated right now! Please call me (2/2) as i have questions about or reservation and the pricing. Thank you</t>
  </si>
  <si>
    <t>0 so far! We were supposed to have adjoining rooms. I called on Saturday to confirm. We checked in last night around 11 pm and didnt have adjoining rooms. Now we have to check out and check back in this afternoon so we can switch to adjoining rooms. A bit of an inconvenience.</t>
  </si>
  <si>
    <t>(1/2) Service has been great. But lack of space at the pool has been a (2/2) challenge. And 4 pillows for 2 people seems inadequate ?</t>
  </si>
  <si>
    <t>(1/2) Today has been a dissapointing day. Sevice was very slow at breakfast, we rented a cabana at the lagoon and service has been slow. We havent been able to (2/2) enjoy the lagoon due to a shark today.</t>
  </si>
  <si>
    <t>#7 - the bed has a dip in the middle and I found a spider in the bathroom this morning.</t>
  </si>
  <si>
    <t>#4 having a great time. Only thing of issue cleaning people turn off all air when they clean so when we come back in in the evening it's terribly hot</t>
  </si>
  <si>
    <t>(1/2) Fine - 7. Room was very hot last night and thermostat change didn't help. Also, heard a lot of late night noise which I wasn't expecting. Otherwise, goin (2/2) g okay.</t>
  </si>
  <si>
    <t>0 We didn't stay. The rooms were dirty, dingy and plumbing issues. Had to find another hotel. Awful experience.</t>
  </si>
  <si>
    <t>(1/2) I'm sorry to say overall 4-5, the highlight has been the text svc and Jeremy at from desk...the room check in was a disaster, constantly saying working on (2/2) room and ready in minutes. Lost all confidence in hgvc.. thx</t>
  </si>
  <si>
    <t>-10 .... power tools outside my windows from 8-11am ... rest of day nonstop hammering &amp; crews shouting/laughing ... other colleagues on level 27 &amp; 32 report same experience today #hilton-no-rest</t>
  </si>
  <si>
    <t>(1/2) Hi. Actually not good since room change. Checked in and sink was leaking underneath. Somebody camr to fix late last night. Woke up this morning and sink l (2/2) eaking again. Dishwasher smells like mold</t>
  </si>
  <si>
    <t>(1/2) Hi Stephanie, going well...10! 2 Things: Can housekeeping remove all items from mini bar? Also, having trouble accesing certain items thru WiFi service i (2/2) .e. email and Conference App.</t>
  </si>
  <si>
    <t>0. Moved out after one night. Mold issues in our room. Ugh.</t>
  </si>
  <si>
    <t>(1/2) I'd give it a 5. the room is very nice and the bed is comfortable. but the wifi is too slow to be usable, the train too loud, and I nearly doubled over wh (2/2) en I returned to my room today the smell of cleaning products was so overwhelming. I can't spend anytime in the room.</t>
  </si>
  <si>
    <t>Where can I rent the cabana? For the Makai side</t>
  </si>
  <si>
    <t># 10 Tks for asking. We ate at chop house last &amp; it was extremely good.</t>
  </si>
  <si>
    <t>...a little disappointed. I tried (4) times to reach someone at the concierge desk to help me arrange a spa appointment...no returned call...and never able to speak with a "live" person.</t>
  </si>
  <si>
    <t>(1/2) A/C was broken, we coughed all night because the A/C wouldn't stop. We had to shut the A/C off and after that it would not start again. We went downstairs (2/2) to get a fan. Room felt humid.</t>
  </si>
  <si>
    <t>0 CF fairview better mall</t>
  </si>
  <si>
    <t>(1/3) Hi. Sandra. The rating is 1. My girlfriend dusted the furniture which was really dirty and showed the front desk staff. The bath room was unlean The tube (2/3) was dirty and around the tub was dirty.. The refrigerator is dirty with foul odor. I was tired when I arrived and just wanted to relax, wait for my friend (3/3) s so we could enjoy our stay. That didn't happen.</t>
  </si>
  <si>
    <t>0. I checked out this AM. Thx</t>
  </si>
  <si>
    <t>...7-8.....through air conditioner very loud. Woke me up several times.</t>
  </si>
  <si>
    <t>(1/2) Remember I checked out this morning Anastassia. You're just send (2/2) ing blanket texts huh? Lol. But my stay was a 10.???</t>
  </si>
  <si>
    <t>(1/2) Hi.. I'd like to see if I can change my room to the south tower to be closer to the starbucks... additionally my "city view" in my room (640) .. views a s (2/2) hade to cover the parking lot...</t>
  </si>
  <si>
    <t>(10) Thanks for checking, Brittany!</t>
  </si>
  <si>
    <t>-1 we relocated to another hotel</t>
  </si>
  <si>
    <t>#9. I screwed up. Thought I booked north side of hotel. Will have zero view of fireworks. Southern most barge is north, off south embarcadero. Bummer. ?</t>
  </si>
  <si>
    <t>(1/2) Hello and sorry for the delay. The text messages to check in are a good feature. However we have shortened our stay (checked out on day two) and are no l (2/2) onger at the Embassy. Have a great day.</t>
  </si>
  <si>
    <t>0.. We checked right back out after check in as everything was wrong. Pool of order, there were no towels, when I called no one apologized. Decided to go to beach and was told the bridge would be closed at 6. When we went to checkout to say this was not what we thought he said "ok you have been checked out with no penalty", no apology, no nothing! Called back because I saw the charge on my card when I told the person the story still no apology! Worst service ever</t>
  </si>
  <si>
    <t>7 - two main reasons it's not a 10. The bed is uncomfortable and needs more pillows and when we went to leave with our car our ticket wasn't validated and we had to pay on our way out. Not sure what happened, but I was under the impression it was going to be applied to the room?</t>
  </si>
  <si>
    <t>(5) maybe (4) little less classy than I guess we are used too. Signs say no swim suits in lobby yet I was standing behind a girl with tattoos all over her a few minutes ago. We have seen quite a few girls who are just hanging around that just don't fit the kind of places we stay at normally. I'm sure they have to work also but we normally don't stay in hotels that they work in.</t>
  </si>
  <si>
    <t>0 you still have the wrong number...</t>
  </si>
  <si>
    <t>(1/2) Parking is bad! Waited over 45 mins 2 get my car. Lady walked up &amp; within 10 mins she had her car....I'm still waiting. Manager of valet was 2 remove a da (2/2) y of parking.</t>
  </si>
  <si>
    <t>(1/2) Thank u for the follow up. Been a pretty ul and down experience. Saving grace has been your staff. Cindy and Marlene were great thjs am afyer a speed b (2/2) ump with our 1st server. Was going to say longer but we will probably cut our losses and check out thos afternoon.</t>
  </si>
  <si>
    <t>#10. Need towels. Thanks.</t>
  </si>
  <si>
    <t>"8" the walls are thin. Can hear customers next door too easily.</t>
  </si>
  <si>
    <t>(1/3) 7. It would be a 10 but we had to move room after we had settled in due to a bathtub water leak causing the bedroom floor being wet. We dealt with it for (2/3) a couple of nigjts. It was a bit inconvenient. Hopefully the rest of our stay will be fine and be compensated for our trouble. We've been owners for a whi (3/3) le and stay in this hotel a lot. This is our longest stay for 11 nights. Thank you.</t>
  </si>
  <si>
    <t>(2/2) It has not been the best trip. (1/2) The TV keeps dropping the satellite station, I can't even work by the pool, I can't swim on a beautiful summer day, and the kids were noisy last night.</t>
  </si>
  <si>
    <t>0. I lost all of my seafood last night</t>
  </si>
  <si>
    <t>0 The Front Desk receives a zero. Your area is a 5.</t>
  </si>
  <si>
    <t>Great stay so far. Only thing is there is a large yellow jacket honeycomb in the palm tree right outside our balcony. So far non-intrusive but may want to put in an order to have addressed before it gets worse</t>
  </si>
  <si>
    <t>(5)- We have 4 people and our room sleeps 3? Too much work to switch rooms. Thanks for checking though!</t>
  </si>
  <si>
    <t>(1/2) Currently a 6. Check in was at 4 and our room was not ready till 6. No comp was offered for the inconvenience. Does Hilton have any deals with universa (2/2) l such as discounts to their parks?</t>
  </si>
  <si>
    <t>0 we are in the marketing session.lol</t>
  </si>
  <si>
    <t>(1/2) We are the studio owners and responsible for the Starz Dance Company room block. I put a credit authorization on file for our 3 staff rooms, but restauran (2/2) t told us we had no card on file.</t>
  </si>
  <si>
    <t>"10" thanks for your consideration.</t>
  </si>
  <si>
    <t>#1. I am here on a conference and the internet keeps dropping</t>
  </si>
  <si>
    <t>(1/2) I'm afraid not good. I had some of the chicken Mediterranean pizza from downstairs and I've been throwing it up all night. Thank you for checking in. The (2/2) room is very nice. ~Steph~</t>
  </si>
  <si>
    <t>(1/3) Rob, Normally my visits I can give a 10. Right now I will give my stay a 6. As an new Elite member, Ive been a little disappointed with the service and mi (2/3) sinformation given to me. I appreciate your responsiveness but this is the first time Ive had these many issues. I had better service as a regular owner (3/3) and a little concerned with my investment and what Ive recieved as an Elite member.</t>
  </si>
  <si>
    <t>(1/2) Thank you. I meant to call housekeeping before we left for the day. We knocked a tray over breaking a glass and mug. I believe we cleaned it up.. but (2/2) wanted to let them know</t>
  </si>
  <si>
    <t>(1/2) I must say so far its been a pleasure to be here at the Hilton. The staff that i have had any contact with has been nothing but curious, accommodating an (2/2) d very professional. Im out and about right now but i would like to express my experience with management in person.</t>
  </si>
  <si>
    <t>0. It was awful. My room smelled. The shower leaked. There was construction that was never told to me. I would like a refund</t>
  </si>
  <si>
    <t>(1/3) 6. Have to wait for hot water. Still waiting for reply about gift card you were supposed to respond on Monday. My husband has a fractured foot and we have (2/3) complained numerous times about getting back and forth from building the problem was finally resolve but we feel it took to long to resolve. Maybe a (3/3) wheel chair on site for people with walking problems. Thank you for asking</t>
  </si>
  <si>
    <t>(1/2) 10. L9ve the shower, bed, and pillows, and view. Did yoga and meditation looking at the sunrise today. Food in the bistro on ground level was aeesome. Had (2/2) the salmon.</t>
  </si>
  <si>
    <t>0- my experience was terrible. Front desk staff was rude, property was dirty and there was a deplorable smell in the restaurant. Can't believe this is a Hilton property. Would never stay again or recommend this property to anyone</t>
  </si>
  <si>
    <t>(1/2) 6 to be honest. Just because of the water quality, when I went to take a shower this morning, the water was rusty &amp; wouldn't get hot. I don't complain a l (2/2) ot but I figured I would pass the information along to you &amp; your team.</t>
  </si>
  <si>
    <t>(I’m not receiving notifications. If this is urgent, reply “urgent” to send a notification through with your original message.) AUTOMATIC RESPONSE: I’m currently driving. I’ll see and respond to your message as soon as I am able to. ? ~ Lindsey</t>
  </si>
  <si>
    <t>(1/3) Thank you for checking in, we've had some issues so far. Checking in, my wife had to wait till almost five before the room was ready. We tried to upgrade (2/3) because we did not realize that the balcony was going to be so small in our room but were told that there was nothing available. In our room, the light in (3/3) the second bathroom doesn't work well and our coffee maker is broken.</t>
  </si>
  <si>
    <t>(1/2) 4, the accommodations are fine but the location of the room requires that my curtains are drawn all day bc those walking by can see into the room. So I w (2/2) hen I leave in the morning I've tried not to return until the evening, which makes for a very long day.</t>
  </si>
  <si>
    <t>I found a dead roach and it appears many of my cabinets don't close</t>
  </si>
  <si>
    <t>0- Didn't have what I was looking for!</t>
  </si>
  <si>
    <t>(1/2) I can only give it a 3.5 due to the elevator situation. It makes it difficult to arrive to conference sessions on time. Other than that everything else (2/2) is fine</t>
  </si>
  <si>
    <t>0 as in zero, like the response I was given. I received no reply then was surveyed to ask how my experience was.</t>
  </si>
  <si>
    <t>(3) ... It would be a (1), however warm welcome &amp; early check-in after cross-country red-eye sincerely appreciated. Low-rating attributed to: (1) Valet s ituation untenable; (2) I returned to my room this afternoon to find it unlocked &amp; unattended; door handle had been lifted in such a way to prevent door closing. I worked in room for 1/2 hr before seeking out housekeeper in neighboring room. She apologized but seems clueless. I will decline housekeeping services for remainder of stay.</t>
  </si>
  <si>
    <t>(1/2) 7. Not having the pre order correct was annoying because it misses it's point by not bro g there. Lots of lamps were unplugged which is weird. I didn't (2/2) get my two bottles of water at check in</t>
  </si>
  <si>
    <t>(1/2) I am on the 5th floor. Immediately upon exiting the elevator there is a burning smell. I have been up there twice during the day ansvrhe burning smell n (2/2) ear the elevator and hallways near it is still very evident.</t>
  </si>
  <si>
    <t>#8 Electrical outlet very loose on lamp which caused phone not too charge over night. No USB ports in room ?. Room style feels a touch outdated. Other than that, everything is great!</t>
  </si>
  <si>
    <t>"4"...So far it's been pretty awesome...only complaints would be that apart from the Acai bowl at the coffee shop there are not many healthy, super fresh affordable options for food when you are just lounging by the pool. And also there are birds (like 40) that live in a tree outside our room (3319) and start chirping every morning between 3:30-4am...but I guess that's okay since we are still on California time...not sure how I'll feel about it after 11 nights here.</t>
  </si>
  <si>
    <t>(1) Had to change rooms last night Had some plumbing issues with new roo</t>
  </si>
  <si>
    <t>-10, it was very nice</t>
  </si>
  <si>
    <t>(1/2) 4 only because thought the beach yesterday and getting the umbrellas at 8:30 am could have been more efficient with the chairs out already not having 10 (2/2) people in a line...</t>
  </si>
  <si>
    <t>(1/2) Its great...the only thing was when I booked my reservation I was informed that a DVD player could be brought up and connected to bedrm tv. Other than th (2/2) at staff is very nice. 9+</t>
  </si>
  <si>
    <t>(1/3) The room was cold, but having the water fixed so quick made up f</t>
  </si>
  <si>
    <t>. Looking forward to our arrival. Thank you!! : )</t>
  </si>
  <si>
    <t>(1/2) The stay has been great..thank you! I just noticed that i did not get my coffee replenished and wondered if I could get some more before the morning plea (2/2) se. Thank you!</t>
  </si>
  <si>
    <t>"1" considering I did not get a room with two double beds like I initially agreed to. I also was never sent an email to set up an account. I was not told that I had to go to a completely different property for the meeting. there is somebody else's hair all over my room. it wasn't the proper size bedding for the pull out couch so my kids got to bed an hour late. I'm not happy at all</t>
  </si>
  <si>
    <t>(2/2) ld water is turned on. Not too big of a deal, but I thought you should know (1/2) 9....there appears to be a pipe issue in our bathroom where a loud squealing sound is made when we turn on the hot water although it goes away when the co</t>
  </si>
  <si>
    <t>0 am? My son will be visiting tomorrow. Right now we will be out of the room by 2. Thank you!! Thank you for asking. All is a 10. But we have a request. It's one o'clock and room is not made up. For Wednesday and Thursday could this be earlier by 1</t>
  </si>
  <si>
    <t>0 I had such a bad experience regarding everything</t>
  </si>
  <si>
    <t>...everything aces...just the shower fault as we discussed this morning...I love NOLA...!!</t>
  </si>
  <si>
    <t>My stay is going well so far. My biggest concern is the smell in the lobby. Its quite pungent and rather off putting. Aside from that and my ac in my room not working my first night i'd give my stay a 6.5 - 10</t>
  </si>
  <si>
    <t>(1/2) 10. Thinking about the time share. Just dont have time forthe mettings with us being here for only two days. Is there a way someone can leave a packet in (2/2) our room for us to review.</t>
  </si>
  <si>
    <t>(1/2) 10 plus!!!Mom really knows how to spoil me&amp;:Mom and I are at Brio (2/2) s if you're close by join us.</t>
  </si>
  <si>
    <t>(2/2) the WiFi. Thank you (1/2) (5) We didn't have WiFi and phones didn't work. Was nice hotel and good food. Parking was expensive. We will probably stay else where next time because of</t>
  </si>
  <si>
    <t>.Brianna you have a wrong number. Perhaps u should check with Mr Daniels for the correct cell number.</t>
  </si>
  <si>
    <t>0...thank goodness im gone</t>
  </si>
  <si>
    <t>(1/2) We discovered a bloody comforter and mattress pad last evening...called down to desk to report...a/c didn't really cool off the room...and screaming kids (2/2) at breakfest..(??..haha) aside from all that...ok. Thank you Jim Robinson</t>
  </si>
  <si>
    <t>0. First room smelled like motel 6 We were moved to a second room that had a king bed as supposed to a double queen Pool was closed for Maintance Car Valet can't find my truck and I'm behind schedule because I had to wait on it</t>
  </si>
  <si>
    <t>10 W San Francisco - (415) 777-5300 *Std rates apply - reply 'OptOut' to stp recvng msgs</t>
  </si>
  <si>
    <t>(1/2) Toilet stopped up. Shower head did not work properly in shower stall. Also nothing was given at check in for diamond. We asked upon check out for our wa (2/2) ter. Otherwise we enjoyed our stay.</t>
  </si>
  <si>
    <t>"4"only because the doors in the room are dirty and the bathroom has an unpleasant odor. It just doesn't seem like a clean room. On the other hand, the staff is very friendly professional.</t>
  </si>
  <si>
    <t>...only thing the water drainage not working properly,after taking shower.Water leaks to the hallway,we needed to use a lot of towels.</t>
  </si>
  <si>
    <t>(1/3) 9 - question: is the shower not supposed to have a shower glass (2/3) door on purpose? Water was splashing around alot on the floor. (3/3) Just asking...?</t>
  </si>
  <si>
    <t>(1/4) Austin as u r probably aware im a diamond member so hilton is my home away from home. Upon arrival i wasnt offered my complimentary water. The executive l (2/4) ounge was one of the worst i have experienced...no utensils, no water, the little food they did have was cold, the attendant was far from friendly and las (3/4) tly i called down and requested my car from valet and long story short i had to ask 3 times before they got it and when it showed up there was a chip in t (4/4) he passenger side. Sincerely, Todd.</t>
  </si>
  <si>
    <t>"10", however, my key does not work on the 29th floor.</t>
  </si>
  <si>
    <t>(1/2)Room and facilities are quite nice. Internet access is embarrassingly slow. Speed test shows that the Hyatt in Dallas where I just came from was over 100 (2/2)times faster. Time to upgrade.</t>
  </si>
  <si>
    <t>(1/3) Would it be possible to spray insect repellent over out entire (3/3) be back until tonight. Really appreciate it. ? -Wendy</t>
  </si>
  <si>
    <t>(1/2) Most things are fine but you need to bring in a technician to service many of your machines in the fitness center I have been unable to achieve a proper w (2/2) orkout because the touch screens on your elliptical trainers on not properly responsive this is very disappointing</t>
  </si>
  <si>
    <t>(1/2)1 - someone was able to get into my room at 3am Tues morning. Security was responsive, but I'm distirbed that it happened in the first place. And there was (2/2)no follow up about it being resolved</t>
  </si>
  <si>
    <t>(1/2) Stacy, thank you. Very good so far, but two issues for consideration. The AC in the room ran non stop and the wall control was not working. I have a requ (2/2) est for foam pillows on my profile, but none in the room and none available when I called the service desk</t>
  </si>
  <si>
    <t>(1/2) 7 ... it's a nice property bit there's only 3 shuttles to Epcot per day and if you want to see the fireworks anywhere but Epcot you would miss the last sh (2/2) uttle back. Also, your arrangement with Platinum Trans advertised $32 to the Animal kingdom but. The driver charged me $45 on Tuesday.</t>
  </si>
  <si>
    <t>"9". I'm a tough grader</t>
  </si>
  <si>
    <t>-1 for waiting 1 hour to get into my room; -1 pick up breakfast Wednesday which included a fruit cup, took the top off the fruit cup to enjoy, but it had mold on it, something that should be checked every morning before opening. Overall 3.5, still 3 nights to go.</t>
  </si>
  <si>
    <t>So far an 8. Very nice hotel. However, very disappointing that I cannot use my F&amp;B discount at any of your restaurants.</t>
  </si>
  <si>
    <t>(4)...The accommodations were very nice, however, my husband was a little disappointed there was neither a refrigerator or microwave in the room...</t>
  </si>
  <si>
    <t>0- I cancelled my stay due to my room not being available at 4:30pm when I arrived.</t>
  </si>
  <si>
    <t>#3 there aren't free water bottles in the room?</t>
  </si>
  <si>
    <t>0ur stay was a 10! Thank you</t>
  </si>
  <si>
    <t>(1/2) I wouldn't score the hotel any less than a 9, I'm an Area Director with a Franchise Hospitality company and will leave some comments before I leave on con (2/2) dition of room.</t>
  </si>
  <si>
    <t>(1/4) 8. Electrical outlets are difficult to find and oddly placed. None are near beds. The thermostat is inconsistent and even with blinds down, can't regulat (2/4) e. Had difficult time reserving a cabana. Was told to see concierge. Concierge said to see front desk. Went back to front desk later in day, was told I ne (4/4) and next morning a kind gentlemen called and confirmed my request. (4/4) and next morning a kind gentlemen called and confirmed my request.</t>
  </si>
  <si>
    <t>(1/2) Hello, our coffee machine isn't working properly. I followed the directions on the machine, but when I try to brew one cup, it will always brew for two (2/2) . is there a way to have it replaced please?</t>
  </si>
  <si>
    <t>(3) wish they had at least a small continental breakfast. I'm always on the go..</t>
  </si>
  <si>
    <t>FARRELL SHO I may have left my dental guard on the table at breakfast. Did anyone turn it in</t>
  </si>
  <si>
    <t>. There are 20-30 little fruit flies that are coming out of the drain and overflow hole. They are swarming around the bathroom. I just left the door cl</t>
  </si>
  <si>
    <t>"7" because I was not expecting the car service driver to charge me $35 to go to 8100 block of S Tryon St.(Walmart) when I asked your service rep about going to that area@ $8 fee. Not being from this area I assumed this was downtown. This cost me more than the trip from the airport! After showing shock to the driver he gave me a $5 discount? He also never said anything to me until I arrived there. Very</t>
  </si>
  <si>
    <t>"5". It's been ok. Lines at registration are long. No fridge in room. Wifi is sketchy. Room great, but next door guest was loud until 2am last night. Don't have access to exec lounge, had it at one time. Not sure what happened, do points expire?</t>
  </si>
  <si>
    <t>(2/2) issues. (1/2) Things are good. Thanks for checking in again.i have been working, so haven't had time to check out all the amenities, but will let you know if I have</t>
  </si>
  <si>
    <t>(1/2) Very unhappy just received notice that there will be no WATER on Monday 5/15/17 hopefully there will be some credit towards this stay very bad customer s (2/2) ervice</t>
  </si>
  <si>
    <t>(1/2) Bernita Everything is good My husband and I are at Disney today. My daughter Amanda Webb and grandchild sre coming to stay with us her name is at the fr (2/2) ont desk will she be able to get a key?</t>
  </si>
  <si>
    <t>0 since we have not arrived yet</t>
  </si>
  <si>
    <t>..getting better.. 7...</t>
  </si>
  <si>
    <t>0 absolutely terrible a drunk guy tried to come in my room and he got in my friends room and stole some expensive jewelry and your hotel security just let him go</t>
  </si>
  <si>
    <t>#9 so far .. all is good</t>
  </si>
  <si>
    <t>(2/3) minutes to get into the room it actually took an hour and a half then it took another 45 minutes for us to get our luggage. So overall it took 3 hours ju (3/3) st to get me settled. Not acceptable! (1/3) 5 because we had to wait for 1.5 hrs for our room to be ready. There were no tables poolside. Arrived at 7:45pm and although she told me it would take 20</t>
  </si>
  <si>
    <t>..About a 6.. didn't get waters at check in and no turkey/chicken sausage or bacon at breakfast..All meat options were pork..</t>
  </si>
  <si>
    <t>*24, however, I left a light work out jacket in the bed under the sheets. Can you please see if it's still there and I can pick it up when I'm in town again or you can send it to me?</t>
  </si>
  <si>
    <t>0. Who eats in the bathroom? It is extremely disappointing that the bathroom is the only place in your gigantic mall to nurse a baby.</t>
  </si>
  <si>
    <t>#10 Rooms are a bit expensive</t>
  </si>
  <si>
    <t>from years of use and even my toilet needed to be repaired several times. I was surprised there aren't any complementary bottles of water or even a cof</t>
  </si>
  <si>
    <t>(1/4) Hi Alex, actually i was going to stop and see you. We were not happy with the room at all. The view of the parking garage and lack of balcony as was des (2/4) cribed by the person I spoke with before I made the reservation online is very disapointing. To prepay $1000 for a 7 night stay, expecting a beautiful ro (4/4) aroind the property it appears almost every room has a balcony except our floor? (4/4) aroind the property it appears almost every room has a balcony except our floor?</t>
  </si>
  <si>
    <t>(1/2) Om thank you. Its not going very well so far. Not very happy with the hotel. Her shower this morning did not have any hot water. So far hotel is getting (2/2) a 3 out of 10</t>
  </si>
  <si>
    <t>(2/2) Texting is nice.</t>
  </si>
  <si>
    <t>...10!!! How late can we check out???</t>
  </si>
  <si>
    <t>(1/3) 2 Sink drain in bathroom (which too small) needs adjustment. Lighting is awful..hard to read. TV using dish antena system is we eather prown..we missed an (3/3) how my ooints r being used and charges. Last night was free....I believe (3/3) how my ooints r being used and charges. Last night was free....I believe</t>
  </si>
  <si>
    <t>(1/2) So far,ok. I had hot water issues last night and had to wait a long while for an engineer to come up. I also was not aware that breakfast did not include (2/2) hot food items.</t>
  </si>
  <si>
    <t>(2/2) ged items and wires as they are.. thanks again</t>
  </si>
  <si>
    <t>Need dishwasher pods in room 238. Thanks</t>
  </si>
  <si>
    <t>(1/2) 4 the bed isnt big enough and we still havent had our room cleaned or waters replenished as we left the care there for free replacements we should ha (2/2) ve gotten a king bed but have no where for our 4 year old to sleep then</t>
  </si>
  <si>
    <t>"10" thanks again Medical Center</t>
  </si>
  <si>
    <t>-9 ? (sent with Gentle Effect)</t>
  </si>
  <si>
    <t>0 and I definitely need to talk with someone but at airport</t>
  </si>
  <si>
    <t>"6" because we are late sleepers and the maintenance crew woke us up with what sounded like a jackhammer above us. Everything else is a 10.</t>
  </si>
  <si>
    <t>042560 checking out Thanks</t>
  </si>
  <si>
    <t>0. Terrible service at the restaurants. Terrible night management team.</t>
  </si>
  <si>
    <t>1 Showed up to Media for our 11:00 reservation and they didn't have a clue we were coming. Y'all are on a roll this weekend. Thanks for</t>
  </si>
  <si>
    <t>Thanks for checking in and asking. Roger 1168.</t>
  </si>
  <si>
    <t>0. We didn't stay there bevause the system was down. Then given a room with someone else having sex in it. Manager refused to speak to us. Then i was charged for a room we never got to stay in. I am reporting the incident to corporate along with the front desk staff who issued us a master key.</t>
  </si>
  <si>
    <t>"8". I would give a "10" except for our view was not the best. (A wall). The staff and service was EXCELLENT!</t>
  </si>
  <si>
    <t>(1/3) Current Rate = 2. A room is a room no matter where you go. However, I've run into snags. 1) wanted hot choc to which you have none. Was sent to another ho (3/3) n but that's 3 strikes. (3/3) n but that's 3 strikes.</t>
  </si>
  <si>
    <t>-5. We have no power since early this morning! Help. We are now trying to walk down stairs. Do no know where we are going or what is available. You tell me</t>
  </si>
  <si>
    <t>Thanks for checking in. We love the resort and will give a 9. Would be a 10, but no turndown service in the evening?</t>
  </si>
  <si>
    <t>(1/2) 4.5 ? needed water in the lobby at 630, coming from the beach. (2/2) Thank you.</t>
  </si>
  <si>
    <t>###5555!!!!!!!Thank you!!!!!!555555555</t>
  </si>
  <si>
    <t>-1 Alex Focil 512-626-1808</t>
  </si>
  <si>
    <t>Please don't forget tonite turndown service. My stay has not been as good as my previous stays it has been unsatisfactory</t>
  </si>
  <si>
    <t>*10. Thank you Linda!</t>
  </si>
  <si>
    <t>0- i had to take a cold shower before an important meeting i have here in Portland. I have no time to figure another option out</t>
  </si>
  <si>
    <t>(1/2) Hi again Mike, it's been decent, just the heater was broken last night and this morning and there was some leftover food in the sink when I arrived. I did (2/2) speak to Brittany, the events manager for our event and the front desk previously about it so hopefully it's being remedied</t>
  </si>
  <si>
    <t>(1/2) As always...it's a 10! We'll be back in October. Also, we have a "storage closet" in our unit...was it meant to have a rack like all the other 1 bedroom (2/2) s we've stayed in?</t>
  </si>
  <si>
    <t>" 10 " Thank you Emily.</t>
  </si>
  <si>
    <t>(1/2) 3 while sitting at the pool we were informed that the property is losing power from 12 to 6pm and there is no food service or pool. This does not work we (2/2) ll when traveling with 5 kids that are hungry and wanting to swim. Wish they had told us when we were checking in.</t>
  </si>
  <si>
    <t>(1/2) Im sick of this place. Yesterday issues checking in now the room key wont swipe to get in to park we have comp parking. Thid trip has been worse and is my (2/2) honeymoon</t>
  </si>
  <si>
    <t>, hi Stephen it is 2 o'clock and my room is not made up yet thank you</t>
  </si>
  <si>
    <t>(1/3) Disappointed actually, the bathroom floor was very dirty when I checked in, nor was it cleaned when the room was done today. At check in I wasn't given th (2/3) e room that I reserved, I was told instead I would be given an executive level room with a Parkview, I got a view of a parking lot... and a power station. (3/3) The room itself is nice and the staff, helpful and polite with the exception of these issues</t>
  </si>
  <si>
    <t>(1/2) Hi The shower head leaks and sprays on the wall, and the tub drain is clogged. Room 1115. I'll be returning to room in the evening if someone can address (2/2) it by then. Thanks</t>
  </si>
  <si>
    <t>. I also arranged for 14 families to be here for the tournament. Our last of the season but because we are so spread out the girls are wandering the ha lls trying to find each other and spend time together. They are 7 and 8 year olds. Hard to stop them when the hotel part is the best part for them. Unfortunately not so well. We slept poorly because of the window creaking. We could not find a parking spot so are parked illegally - even tried off site</t>
  </si>
  <si>
    <t>(1/2) It took how many hours for my message to answered? Set up FAQ on your text system. So, answers come when ask not the next day. I never had my question ans (2/2) wered. Good idea just up grade it.</t>
  </si>
  <si>
    <t>"0" m'a rappeler 3 hr p'us tard</t>
  </si>
  <si>
    <t>"10" with a note that considering the quality everywhere else, the Hilton could have sprung for a second paper cup for the in room coffee/tea station. Otherwise all good.</t>
  </si>
  <si>
    <t>(1/2) Im a little confused. We went to breakfast this morning with vouchers given to us. Waitress tells us that it will be 40 extra for buffet. We had a credit (2/2) given to us and i gave email, and was told there would be no cost to us for breakfast.</t>
  </si>
  <si>
    <t>microwave in the main kitchen is broken 2 The iron was cracked, s</t>
  </si>
  <si>
    <t>(1/2) Good Morning...I would rate our stay as an 8 right now. We were told over the phone that the resort &amp; valet fees were $30/night. Its also a little inconv</t>
  </si>
  <si>
    <t>I am trying to get out of gate.</t>
  </si>
  <si>
    <t>(2/2) in the TV is still off (1/2) Good afternoon I left the room 2 hours ago the power suddenly shut off meaning that the TV and the outlets. just got back in and the power of the outlets</t>
  </si>
  <si>
    <t>,did not stay there are you sure you have the right person?</t>
  </si>
  <si>
    <t>(1/2) Thx..but I'm having several room issues. Safe not working correctly... AC constantly runs and will not shut off..diamond head elevator makes me nauseated</t>
  </si>
  <si>
    <t>(1/2) Having an issue with the toilet. It is making a loud humming sound. Stops when flushed but then starts up again. Called a couple hours ago but I don't (2/2) think anyone has come by to look at it as it is still humming.</t>
  </si>
  <si>
    <t>(1/2) You guys,need to figure out whether yhe complimentary breakfast is included or not.. My name is not in the list at the restaurant and it is embarassing fo (2/2) r me to make them check the front desk..pl talk to colleen weinke and let know..</t>
  </si>
  <si>
    <t>(1/2) Hi Ali! Yesterday, I had the front desk schedule a massage for 11:00am this morning, however, when I arrived I was advised that my appointment was for 9:</t>
  </si>
  <si>
    <t>this morning. The main door to master is extremely creaky. Could you get someone over to fix? Room 7104. Thanks</t>
  </si>
  <si>
    <t>(1/2) RATING it at a (2). The room was unsanitary with that blood on the Pillow CASE...but we're still gold members and its the only hotel we use...some stays (2/2) better than others...this one was half that...thank you for your concern.</t>
  </si>
  <si>
    <t>#5 It was good, didn't get our water tho...</t>
  </si>
  <si>
    <t>(1/3) Upon checking in was a disaster. Used the "digital key" access..got an email stating was not ready, then got notification was ready. Got to the room was n (2/3) ot the room I wantes. Called to the front desk got transferred to another floor. Got there waited wp-content minutes before security came to give me an ac (3/3) tual key. The front desk lines for check-in are super long.</t>
  </si>
  <si>
    <t>(1/2) Everything is fine with room. The valet did ding the door of the rental car. They took pics etc. Not sure if rental company will do anything about it if (2/2) they dont we are good.</t>
  </si>
  <si>
    <t>(1/2) Mom we are still on tje boat and now heading to Margaritas for lunch. You and daddy should eat lunch because we will not be back until well after 2. We'll (2/2) have dinner with you</t>
  </si>
  <si>
    <t>(2/2) e elevator machine room, which was really loud ? (1/2) Hi there. I actually checked out already. My room was next to th</t>
  </si>
  <si>
    <t>0 this place sucks... will never stay again. Will speak to my attorney</t>
  </si>
  <si>
    <t>(1/2) I would say so far a 7. Our fridge still is not as of this morning really cold and the pillows are too soft for me. Can i get a differnt pillow sent to (2/2) the room for later?</t>
  </si>
  <si>
    <t>(1/3) Hi Christian. I had an issue with hair on my bathtub yesterday m (2/3) orning, but I already reported that to someone. She handled it (3/3) . Other than that, all is well. ?</t>
  </si>
  <si>
    <t>0, you never responded to my question. Never use again</t>
  </si>
  <si>
    <t>01/02:Your employees are all in all stellar. My room has no bathtub and is on the small side. Cant really see anything out of it. If be willing to move on 02/02:friday since im staying til sunday. 8 is my score</t>
  </si>
  <si>
    <t>(1/2) 7: Tried to use the jacuzzi last night, but the water was SCALDI (2/2) NG hot!! Cold water only trickles in. ?</t>
  </si>
  <si>
    <t>(1/2) Good except we had about a 25 minute or so delay because the battery went dead for the room key. My son actually suggested if they could have some kind o (2/2) f sensor to tell when then battery is going bad.</t>
  </si>
  <si>
    <t>(1/2) Still a little upset that we have to pay resort fee when the booking agent said we wouldn't have to. Are i able to find out what time my spa hours are for (2/2) me and Diane Russlel.</t>
  </si>
  <si>
    <t>0 as it was not available when I needed it</t>
  </si>
  <si>
    <t>"8".... handicapped parking is practically nonexistent???? The rear parking lot with all the handicapped parking is closed &amp; spaces in the garage are always taken!?! Not a good experience for our w/c using son...</t>
  </si>
  <si>
    <t>"One" is all that I think of you. "One" night at the Roosevelt is all that we needed to never return. "One" expectation is all that we had: live up to your billing. I could give you "ten" more things that you could do better, but I did that on Yelp already.</t>
  </si>
  <si>
    <t>(1/2) Hello I would like to know if after we check out tomorrow if our bags can be held at the office before we have to leave the city. And is there any fee or (2/2) anything.</t>
  </si>
  <si>
    <t>0 ! no electricity no water at hotel !</t>
  </si>
  <si>
    <t>0...the condition of elevators is deplorable...</t>
  </si>
  <si>
    <t>0 my room was 75 and could not cool down</t>
  </si>
  <si>
    <t>(2/2) gift card plus wasted almost three hours of our time (1/2) We are just leaving, peter told us it would cost us $130 for 3 SeaWorld tickets and get a $100 gift card! We paid $228 for 3 tickets and didn't receive a</t>
  </si>
  <si>
    <t>0 I've tried to update the card info and sent it twice with no luck! Just doesn't make sense to me that I can't get this simple request done! The card number ends in 4578 and I've sent it in 2 separate messages so far!</t>
  </si>
  <si>
    <t>(1/2) 9.5. Only disappointment so far was the six-ounce bottle of water from the vending machine that cost $2.00 ( a 12-ounce can of soda was only a dollar!). (2/2) Beds are comfy and pool is very nice. Have a nice day, Auquanette.</t>
  </si>
  <si>
    <t>t clean and the beds were so uncomfortable. The mattress sank so low in the middle and felt like you were sleeping on springs. Also we just found the st aff very unattentive. We had a couple of small issues but couldn't find anyone to address them. Hi Kelly thanks for checking. Unfortunately we did not really enjoy our stay here. While the hotel is beautiful, our room really needed some TLC. It wasn</t>
  </si>
  <si>
    <t>(1/2) 10- thank you for the text Christopher.? If possible, can you (2/2) have housekeeping send us two foam pillows?</t>
  </si>
  <si>
    <t>(1/2) 7. I think the way the elevators and hallways are set up are very confusing. The signs leading to the rooms going right to left with the ice bucket signs (2/2) always having me going the wrong way</t>
  </si>
  <si>
    <t>(1/3) No call back yesterday when the room was ready. Parking was not clearly IDd as being extra at time of booking. Could have stayed at another hotel for a ch (2/3) eaper overall cost.. was given a handicap room to which is immensly drafty not to mention noisey given its close proximity to the elevator. View that was (3/3) mentioned is of a tree that blocks any view except of the street below.... so i would rate my experience as a zero.</t>
  </si>
  <si>
    <t>(1/2) Rating of 1 at this point. My request for handicapped accommodations was not honored. Staff is working to correct. Are you a manager? Seems some (2/2) adjustment of our expense is in order</t>
  </si>
  <si>
    <t>- 2 at check-in. - 6 now, as I did not find any TV channel in French, unlike in any non-us Hilton hotel worldwide.</t>
  </si>
  <si>
    <t>0. Being the worst room I've ever had in a Hyatt. They are working to change my room I understand.</t>
  </si>
  <si>
    <t>(1/2) I had a great day. Thank you. I'm going to Louisiana now not sure if I'll be back tonight or tomorrow. But if I come back tonight it'll be late is what wo (2/2) uld a room cost me tonight?</t>
  </si>
  <si>
    <t>0. I didn't stay there last night.</t>
  </si>
  <si>
    <t>(8). I would have rated it higher, but we were missing a few things! Coffee, a cutting board and some silverware, soap. Also the ceiling fan in 21203 only has one speed....high! (Needs to be fixed/replaced)</t>
  </si>
  <si>
    <t>"10" can you please arrange a 1:30 pm late check-out for me?</t>
  </si>
  <si>
    <t>(1/2) It's okay, I didn't know there's construction going on. Then when i used the pool i found out the jacuzzi was gone. That's one of the reasons why i had (2/2) chosen your hotel.</t>
  </si>
  <si>
    <t>0... We moved to another Hilton property. Rooms were filthy, loud, and in my opinion not worthy of the Hilton name...</t>
  </si>
  <si>
    <t>(1/2) 4. And the only reason is that the thermostat in this room is wacky. It is warm for a while then starts blowing out cold air. Especially in the middle (2/2) of the night. Then I have to adjust it again and it starts blowing warm again</t>
  </si>
  <si>
    <t>(1/2) 10 so far. Except just got back to the room and room service wasnt here yet. That made me remember that when we checked in that they said we have to reque (2/2) st made service. Is that true or is it automatic?</t>
  </si>
  <si>
    <t>(1/2) 7. Water temp in shower wasn't consistent. Would choose temp then water would vary from hot to cold and back. Check out was smooth. Shuttle to airport qui (2/2) ck and efficient.</t>
  </si>
  <si>
    <t>0 they were unable helpful</t>
  </si>
  <si>
    <t>(1/2) 10 :) we knocked a glass into the sink the counter this morning and it broke. We cleaned it all up, but there will be one missing. We called housekeeping (2/2) . We're sorry</t>
  </si>
  <si>
    <t>(1/3) Baran I will have to give it a 5 and the reason being is that the drains in the shower in the sink are not draining. I can't believe that a customer has n (2/3) ot already told the front desk about this problem it was pretty bad this morning. I did let the front desk know before I left this morning I hope for the (3/3) next customer in this room it gets fixed.</t>
  </si>
  <si>
    <t>08 so far we really like it.</t>
  </si>
  <si>
    <t>"5" because we were awaken by early morning repair being done on our unit after being up late we wanted to sleep in! Loud repairs should be done later in the day.</t>
  </si>
  <si>
    <t>0! As a diamond member of Hilton, this was by far the worst Embassy in the system. Your manager last night tried to save the experience by doing his best which I appreciate it but the hotel is a total fail...</t>
  </si>
  <si>
    <t>(1/3) At approximately 6 pm last night, I was on my way to my car to head to dinner and the sprinkler system outside my building turned on and completly soaked (2/3) me, It sprays over the entire walkway making it impossible to get to the parking lot with out getting wet. I was very upset and this caused me to be late (3/3) to my dinner engagement due to having to get changed! Sincerly Mr Cavato</t>
  </si>
  <si>
    <t>"5" Thank you for everything ! We will be back next year</t>
  </si>
  <si>
    <t>.. So far a 9. Thank you!</t>
  </si>
  <si>
    <t>(1/3) Front desk staff is friendly and attentive. Dinner at the bar last night was good too. But the service was lousy until the young man started shift. I sat (2/3) there not even greeted for at least 10 minutes and there were 3 people on shift. I really hope they don't tip share because I tipped the young man who s (3/3) erved me my food not the people who eventually handed me a menu</t>
  </si>
  <si>
    <t>059 coming for vehicle, thank you!</t>
  </si>
  <si>
    <t>...wrong number again</t>
  </si>
  <si>
    <t>"10, but wish we could turn the air off, it is cold in this room, 3014☹</t>
  </si>
  <si>
    <t>(1/3) Hi adriana, sorry to report that i hope my company doesn't put me here again. It doesn't compare to other Hiltons. Besides the fact that my room and parki (3/3) , anywhere. (I know this sounds silly but it's a big deal)</t>
  </si>
  <si>
    <t>(1/2) Hi Kristen. It is cold. From CA and I'm freezing. Lol. Nothing Hilton can control. I'd give 7 so far. Front desk let us know ACDA registration is (2/2) in convention center. But actual registration is in the Hilton. Would have been higher rating but haven't seen signs stating it is here.</t>
  </si>
  <si>
    <t>(1/2) Just landed in Dulles. The UAL flight I was supposed to take tonight is 2:15 delayed. Instead of 11 arrival it wont be in until after 1. Glad I got out of (2/2) Dodge.</t>
  </si>
  <si>
    <t>(1/2)Room is very nice. Only issue so far was people in the parking lot outside our room at 1am yelling and screaming. That's out of your control though but (2/2) they woke us and our kids.</t>
  </si>
  <si>
    <t>(1/2) We had to come back to the counter and get new keys because they didn't work 2 different times. The handle on our door doesn't always open, it's very</t>
  </si>
  <si>
    <t>(2/2) are leaving early Monday.</t>
  </si>
  <si>
    <t>#10 Thank you for asking.</t>
  </si>
  <si>
    <t>0, but accomodations issues not possible to change</t>
  </si>
  <si>
    <t>*24 room 924 checking out. Thank you</t>
  </si>
  <si>
    <t>0 because I am not staying there and my wife asked you to change the number</t>
  </si>
  <si>
    <t>(1/3) Thank you for checking in... Our stay is mediocre... At check-in I've had better service and I wasn't aware before hand that there was an additional up fr</t>
  </si>
  <si>
    <t>(1/2) 4. The smell returned and when we went to bed we found our top sheet was not clean. Just too tired to fix the situation. Normally I would change rooms or (2/2) hotels.</t>
  </si>
  <si>
    <t>(1/2) 7 Room is very nice. Noise level is tough. Cars and people past 11pm, early morning beebing of work vehicles backing up. Definitely not as peaceful as (2/2) past stays</t>
  </si>
  <si>
    <t>(1/2) Last night was unsettling. Strange activity in stairwell &amp; hall. I was up all night &amp; nauseous this morning. Low blood sugar so need to eat but not up for (2/2) it. Reported activities to hotel who said they'd send security &amp; am worried about retaliation so changed rooms. The Feng Shui Results Lady</t>
  </si>
  <si>
    <t>0. Your internet is terrible</t>
  </si>
  <si>
    <t>(2/2) e found dog hair and mouse droppings in the carpet. The room was disappointing but the food was good. (1/2) We checked out this morning. I have stayed over 100 nights in Hilton Hotels this year so far. This room was not up to par. There was hair in the tub. W</t>
  </si>
  <si>
    <t>*WiFi is very slow. *At Gold I'm curious why my breakfast coupon was only the snacks counter &amp; not Taverna continental. * No towel rod in bathroom??? * Blackout shade initially was very hard to get down last 8". Otherwise, nice as usual.</t>
  </si>
  <si>
    <t>-3 j'ai pas encore retrouvé ma mère</t>
  </si>
  <si>
    <t>(1/3) 2. No water, no ac, listening to jack hammers all day at the pool instead of the waves of the ocean, and ice machine on 2nd floor doesnt work. I understan (2/3) d construction has to happen at times, but I have always been warned that construction is occuring when i booked the reservation. Not what i expect from a (3/3) waldorf and very disappointed.</t>
  </si>
  <si>
    <t>0 several issues are being brought to the attention of the new GM starting this evening</t>
  </si>
  <si>
    <t>"12" - that's a 10 + extra 2 for special treatment I've been given a couple times</t>
  </si>
  <si>
    <t>08 i wish i was in a one bedroom instead</t>
  </si>
  <si>
    <t>(1/4) 6. Fans for AC and bathroom both noisy, check in was not smooth at all and had to wait for a room even though we came to check in after 4, same limited m (2/4) enu at onsite dining day after day. Never informed that room wouldn't be serviced daily unril after we went to front desk and asked why no service on Sund (3/4) ay. We asked for fresh towels to be delivered and tbey wrote it down and assured us housekeeping would drop off and they never did. As new owners Hilton h (4/4) asn't lived up to much of what has been promised or expected.</t>
  </si>
  <si>
    <t>(1)... we were treated rudely by staff right at check in at the poolside bar and grill.. management has been trying to make it right for us... never been treated this way in any hotel... very surprised that this is a Hilton...</t>
  </si>
  <si>
    <t>(2/2) of your entire team. (1/2)My stay was, in10. Thank you very much for keeping me up t date on the room availability, the implementation of the digital keys, and the professionalism</t>
  </si>
  <si>
    <t>0. It's 3 o'clock and we just wanted to come back to our room and take a nap in the housekeeping has not been here yet. Very disappointed</t>
  </si>
  <si>
    <t>(1/2) Did not like third party deal..ALL PERSONAL WHERE GREAT, room lights were terrible did Not like going into dark room light switch turned on no lights, bet (2/2) ter lights folks......</t>
  </si>
  <si>
    <t>0 terrible experience</t>
  </si>
  <si>
    <t>(1/2) It is a 9.5...taking exception to the window over the Jacuzzi facing the parking lot and zero curtain blocking the light...it makes it extremely difficult (2/2) to sleep in</t>
  </si>
  <si>
    <t>(1/2) Overall we would say 8. Room for improvement is the Canon and Bell restaurant. We paid $22 for a buffet this morning and the food on the steam table was (2/2) cold. They were short staffed and we left feeling disappointed.</t>
  </si>
  <si>
    <t>(1/3) Well I hate to be the one to complain but we had roaches we killed about six baby roaches and a medium size one right before right before I moved out they (2/3) told me that was pretty common on the first floor so I don't want to stay the first floor anymore with my company I'll be staying for the next five month (3/3) s to a year so I hope this problem will be corrected</t>
  </si>
  <si>
    <t>(1/2) Amanda honestly I'm exhausted from that roll out couch. The springs coming through the mattress left me miserable as far as rest goes everything else was (2/2) fine so I would have to rate my night as a 3</t>
  </si>
  <si>
    <t>(1/3) Hi Latasha, stay is going average (5). I was going to let you know I didn't see a TV remote in my room last night, is it kept somewhere specific? Also t (2/3) here was a dirty towel with brown stains left on the edge of the tub, likely overlooked because it was hidden by the shower curtain. I left it on the bat (3/3) hroom floor for house keeping.</t>
  </si>
  <si>
    <t>Bed bugs in my sons room</t>
  </si>
  <si>
    <t>(1/2) Unfortunately, not a good one. Never was able to recover electricity so devices remained u charged. It would have been helpful for someone from facilities (2/2) to come and at least attempt to fix the problem.</t>
  </si>
  <si>
    <t>#7. Due to a direct view of a huge generator. Heat keeps turning g on after about 3-4 hours of "cool" at night and I can't figure out how to get the bathr #oom sink stopped to stay down so basin fills with water</t>
  </si>
  <si>
    <t>(1/2) I'd say it's about a 7. The AC is pretty noisy. The room has a strange odor. And we were a little disappointed no one offered to help us to our room upon (2/2) our arrival.</t>
  </si>
  <si>
    <t>(1/2) At this point a 5. Bedroom air not working and very loud. Also jack hammers started at 7 am. I reported air this morning. Hopefully will be able to sleep (2/2) tonight.</t>
  </si>
  <si>
    <t>(1/2) So far housekeeping has not been the greatest. We asked for extra towels and didn't get them. They left dirty glasses in the room and never replace them. (2/2) The waiters and food have been good</t>
  </si>
  <si>
    <t>0 their still is still spoiled food in my fridge after asking in the morning at the front desk if it could be clean</t>
  </si>
  <si>
    <t>(1/2) It's going fine. There was some sticky stuff on the desk and counter top. I wiped it off with hot water. So I guess I would be at a 7 if you need a numb (2/2) er. Thx</t>
  </si>
  <si>
    <t>0 will never stay here again</t>
  </si>
  <si>
    <t>(1/2) A 10 for you. A 7.5 for me. I messed up the coffee. My bad. How many cups are the coffee patches designed to make? By the way. You fixed my mistake alre (2/2) ady. You brought me more coffee .</t>
  </si>
  <si>
    <t>0 actually. No one ever replied to me.</t>
  </si>
  <si>
    <t>(1/3) Not a very good stay my room 3328 had bugs crawling all over the wall room was not clean very very dissatisfied and unhappy try to talk to a manager left (2/3) me on hold for 10 minutes no one answer I paid for 3 rooms and I don't have a problem with paying my bill but staying and something like that is totally d (3/3) isrespectful to your customers</t>
  </si>
  <si>
    <t>"Wonderful"!!...says my Guest!! So that would be a ?‼️</t>
  </si>
  <si>
    <t>(1/3) 7-we had asked for a blanket our first night and never received it they brought us towels and never came back with a blanket (dont need it anymore though) (2/3) And today we booked a shuttle ride to the parks for 820 at 850 it still wasn't there making us miss our first fast pass at disney. :( Other than that the (3/3) ppl have been nothing but nice and room is great!</t>
  </si>
  <si>
    <t>(1/3) I will not be staying another night due to the rudeness of whoever answered the phone when I called guest services this morning. I asked for a late (2/3) checkout (until 1230) so we could determine what our plan was after the meeting my partner had to attend this morning. But we will be leaving &amp; finding (3/3) another hotel. Thank you.</t>
  </si>
  <si>
    <t>(1/2) So far so good.... 8...taking off 2 points bc brissago doesn't offer good veg entrees...last night we ended up going to tuscan instead since their veg ent (2/2) rees were more appealing</t>
  </si>
  <si>
    <t>(1/2) Sorry as for me i rate our stay 2, for me i stayed at lot of sheraton hotels, oahu etc.., my experience with you guys was way below the rest, we also stay (2/2) alot at the westin they are great 5, the KORL GREAT 5, Kaanapali beach hotel really sucked worse than you guys 0, sorry about the review.</t>
  </si>
  <si>
    <t>0-1. Your staff is very friendly and professional. I understand that part of the experience is an owner seminar. However, we made it clear more than once, that we would be not be able to attend a seminar on this visit. However, we were told after this check-in that we were OBLIGATED to attend. I am outraged that the corporate world of America, and Hilton in particular, has made us feel so unwelcome unless we sit through a sales pitch. Our daughter is getting married on Friday, and I cannot tell you what added stress this put on my wife and myself. Is ANYBODY listening????? Sincerely,Dave Miller</t>
  </si>
  <si>
    <t>0I am allergic to down, feathers. I was provided with some foam pillows on the bed but I would like an additional blanket without feathers. Also the feath</t>
  </si>
  <si>
    <t>0... two straight days with bugs in our room. The exterminator is in the room right now.</t>
  </si>
  <si>
    <t>...we checked out yesterday...</t>
  </si>
  <si>
    <t>(1/2) The room was a 8.. would've gotten a 10 if it had a mini-fridge... the only thing i didn't like was the parking. To have to pay 22 dollars on top of the (2/2) room rate felt like a hidden charge and quite honestly it did rub me the wrong way a little bit.</t>
  </si>
  <si>
    <t>(1/2) We didn't damage ANYTHING or take anything from the mini bar. Wh</t>
  </si>
  <si>
    <t>0. This hotel has not lived up to the Westin brand in any way. The layout is confusing, the elevators have not been working, The common rooms are freezing and the sleeping rooms have no heat, The pool area is awful and the Internet charge is a rip off. I cannot believe our conference planners chose this hotel and will highly recommend that we never do so again.</t>
  </si>
  <si>
    <t>(1/2) We left this a.m. we give you an overall 4. Breakfast could have been a little better e.g. bacon or sausage instead of ham coldcuts. Maybe waffles or panc (2/2) akes. Bigger/better danish, biscuits/gravy, grits.</t>
  </si>
  <si>
    <t>0.....bed bugs in my bed. All of my belongings are in my other room. No one's giving me an update we've been up all night it hasn't been a great day thus far</t>
  </si>
  <si>
    <t>. Extraño fue la primera vez que sucede. Joseph - Habitación con fuerte olor a mascota cuando entramos ayer</t>
  </si>
  <si>
    <t>-10 I don't check in till Monday</t>
  </si>
  <si>
    <t>0 as you are using up what little time I have. Please call me asap at 513-703-3626</t>
  </si>
  <si>
    <t>(2/2) disappointment Andrew and Diana were awesome representatives</t>
  </si>
  <si>
    <t>(1/4) Jennie, truly I have never been more disappointed in a Hilton stay. The price I paid for both suites and to request towels, bedding and glasses for the n (2/4) umber of people you knew would be in each room really disappointed me. The drink cards were declined because I didn't give them to her at the start of our (3/4) lunch. The kids said the lady at Starbucks was rude about the card because it was for plain coffee only. The room I was personally in was not very clean (4/4) and didn't have a dish or pan available for the kitchen we ended up having pizza delivery for dinner. I think the hotel is located in a great location.</t>
  </si>
  <si>
    <t>0 that stay was awful.</t>
  </si>
  <si>
    <t>(1/2) Everything is fine except for the construction across the street. They started at 6 am today. The backup warning beepers are irritating when you're trying (2/2) to sleep.</t>
  </si>
  <si>
    <t>(1/3) I absolutely love Vegas. The hotel and the people are great. But, the room not to much. The bathroom toilets after flushing, brings back up (over time), w (2/3) hat was flushed down The tables are not clean. Blond hair on and under the table and a few other unclean areas. Not good. I will call diwnstairs after I (3/3) shower. I was too exhausted, last night.</t>
  </si>
  <si>
    <t>. Surprised this am that outside was a good 20 degrees cooler than the house. Just arrived in room at 1:50 on wed and still no AC in bedrooms. At 800$ +</t>
  </si>
  <si>
    <t>(1/3) I didnt stay at ur hotel after the price change issue so I left like the manager told me I could and im at the Marriott for the same price i was quoted at (2/3) ir hotel and i ha e launched a formal complaint against the hotel and I will be persuing the matter ince I return home so you get a 1 because it was the (3/3) worst experience I have ever had with your hotel</t>
  </si>
  <si>
    <t>(1/2) well not good actually. The room was real filthy the ameneties were full of aints in the room, they spread chemicals so i couldnt stay. Aside from that ev (2/2) erything is good.</t>
  </si>
  <si>
    <t>... I already checked out</t>
  </si>
  <si>
    <t>(1/2) To be honest...we had to switch rooms to get the 2 bathrooms we expected. I spent an hour and a half trying to get 2 extra blankets to eventually be told (2/2) you were out. This is not what we would expect from a Hilton overall.</t>
  </si>
  <si>
    <t>(1/2) The stay was good but there were way too many loud kids terrorizing the halls at 7am. Usually the hotel is nice and quiet especially on the executive floo (2/2) r but not this time. Disappointing.</t>
  </si>
  <si>
    <t>(1/2) I would have to rate your staff a 5. Facilities I would rate a 3 the waster pressure was horrible and the alarm clock needs replaced. Unable to change the (2/2) minutes.</t>
  </si>
  <si>
    <t>(2/2) to assist us .</t>
  </si>
  <si>
    <t>(1/2) 7...my tv is not working properly. Screen works for a few minutes, then indicates lost signal. My associates staying in the same hotel are not having an (2/2) issue.</t>
  </si>
  <si>
    <t>0. Someone had smoked in my room and, when I tried to set the fan "on" it did not turn on.</t>
  </si>
  <si>
    <t>(1/2) 3....my steak last night was really bad, and i travel a lot and am not that picky an eater. Ordered medium well, and it was very red in most of the middle (2/2) of the steak and to make matters worse it was barely warm??</t>
  </si>
  <si>
    <t>(1/2) I have to say we were very disappointed because there was a party going on last night on the Mazzini level with a live band that we could hear in our room (2/2) till after midnight.</t>
  </si>
  <si>
    <t>0 because I never went to the mall yesterday</t>
  </si>
  <si>
    <t>(1/4) There was an issue with the heating unit in my room. The loud noise started around 4 a.m. maintenance came and turned the breaker off. My room was (2/4) freezing. The AC person came at 7:15 to fix it. My room did not start to warm up until checkout time. I spoke to Iteshia and explained my disappointment. (3/4) She offered us a complimentary breakfast, but time did not permit. We just w ant to get home a nd rest because we did not last night. I am so (4/4) disappointed.</t>
  </si>
  <si>
    <t>(1/2) It has been a great visit. We did find that the chain lock and the outlet on the side of the main table are broken so you might want to send maintenance a</t>
  </si>
  <si>
    <t>(1/2)8/10... poolside for lunch yesterday was very slow; took several attempts to have someone take our order. Food was great but didn't have time to finish b (2/2)efore heading back to conference. Again, needed several attemp</t>
  </si>
  <si>
    <t>(1/2) 3... I didn't realize yesterday when I replied that my bathroom hadn't been cleaned until late last night when I went to take a bath. There was soap scum (2/2) and remains on the walls and hair in the tub.</t>
  </si>
  <si>
    <t>(1/2) 6 - but only such a low number because your shuttle service was horrible yesterday. Left us stranded downtown for 40 minutes after we called for a return (2/2) ride back to Hilton.</t>
  </si>
  <si>
    <t>(1/2) 5. I waited since 10:26 last night for towels that I still haven't received. I sent a reminder at 12:06 am. It is 11:27, almost 12 hours since I requested (2/2) the towels. I'm still waiting!</t>
  </si>
  <si>
    <t>.... Good - had a little power outage in room last night- but was repaired quickly!!</t>
  </si>
  <si>
    <t>(1/3) To be honest not great There is a noise in the room, sounds like water dripping but i think it is a lose vent or aomething but drove me nuts all last nig (2/3) ht and i had one of the worst night sleeps ever...and dinner kast night in the harvest Bistro...a 22 dollar burger and fries should at least have taste an (3/3) d be hot when delivered to your table Everything else about the hotel is great</t>
  </si>
  <si>
    <t>(1/2) Room is excellent 10. I am a little disappointed with the resort. I thought that there would be a restaurant on the property. Finding a place to park las (2/2) t night was not easy.</t>
  </si>
  <si>
    <t>(1/2) Thank you , Ashley, but there are a couple of things missing: 2 bottle of waters( the complementary ones) , the room wasn't clean, especially bathroom, an (2/2) d also no WI-FI.</t>
  </si>
  <si>
    <t>(1/2) Hi Krystal, unfortunately a 0. There was feces and blood all over our toilet when we checked in, had to call 3 times and wait 2 hours before it was cleane (2/2) d. Then when we got to shower it didnt drain and the water was discusting.</t>
  </si>
  <si>
    <t>(1/2) Hello. My stay at the Embassy Suites was wonderful. However, when checking my account for the charges, I noticed that there's a charge for $40 instead of (2/2) the $30 listed on my check out sheet for parking. The charges for the room are correct. How can I rectify this matter?</t>
  </si>
  <si>
    <t>(1/2) 8/10. A better view of the strip would've be nice and we usually stay at the Palazzo when we come to Vegas and the room here is nice but isn't as well app (2/2) ointed and having to go elsewhere for restaurants and gambling isn't convenient.</t>
  </si>
  <si>
    <t>(9) The restaurant section in the information folder is missing. Having a wonderful time?</t>
  </si>
  <si>
    <t>(1/2) My experience at Hilton/Wilmington would be a 5 except we hated the food that was served at the New years affair which would be a 1and that the only thing (2/2) worth eating was the beef</t>
  </si>
  <si>
    <t>(1/2) Morning, 3, we had to cook on the stove top with a cookie pan as we didn't have a skillet nor flat cookie sheet. It was scratched up yesterday &amp; maintenan (2/2) ce took them back &amp; never returned them.</t>
  </si>
  <si>
    <t>$40 for valet and you cant even call ahead to have your car ready and the two times I did use valet i had to wait in the lobby for over 30 mins both time it was a real disappointment room was fine valet just was very disappointing for the cost it's not very good Customer service</t>
  </si>
  <si>
    <t>Hi I spoke to a gentlemen ladt night when calling housekeeping phone no about the mattress being to soft (back problem) he mentioned that someone will c</t>
  </si>
  <si>
    <t>%I'd say about an 8 or 9, and only on account of the weather. I am attending the gulf-Atlantic vet conf but have a flight to catch out of FLL at 5:45pm to %morrow. Is there any chance I could have my car waiting for me at 4:15pm tomorrow?</t>
  </si>
  <si>
    <t>- the bathtub wasn't clean there was someone else's hair everywhere 3 parking was awful we had to walk in the dark to the backdoor- if I had known you were under renovations I would have paid the extra 20 bucks for the Sheraton</t>
  </si>
  <si>
    <t>-em who should I contact thank you</t>
  </si>
  <si>
    <t>Attached is what I found in the room, you may need a bug man</t>
  </si>
  <si>
    <t>We requested chairs for our balcony yesterday so we could watch the fireworks we still have not received them. Can we have some brought up. We like to sit on the balcony.</t>
  </si>
  <si>
    <t>005282. Salles. Gray jeep. Thx</t>
  </si>
  <si>
    <t>(1/2) Next door I have a family with kids. They started talking loud non stop at 6am. Any chance to change room if that family will stay there?? Also can I un (2/2) plug the fridge? It makes noise on occasion and wakes me up.</t>
  </si>
  <si>
    <t>"10" - I'll be checking out in about 30 minutes. Can you print me a paper receipt? Thank you</t>
  </si>
  <si>
    <t>#5. Also I would like to request a late checkout tomorrow.</t>
  </si>
  <si>
    <t>( 5 )Thank you we will return again.</t>
  </si>
  <si>
    <t>0 I'm not there yet was just trying to plan</t>
  </si>
  <si>
    <t>"9" thank you for asking Adanna.</t>
  </si>
  <si>
    <t>(1/2) Called front desk several hrs. ago to report refrigerator not wo (2/2) rking; no one has come the room yet?</t>
  </si>
  <si>
    <t>(1/2) 5 as of now- symposium over soon and vacation can start ? thank (2/2) you for your hospitality</t>
  </si>
  <si>
    <t>-1. Can't find the places. Can't get a good restaurant for dinner later?</t>
  </si>
  <si>
    <t>(1/3) So far so good .....[9 &amp;1/2]...and that's because this morning t (2/3) here was LOW INK in 2 of the printers in the business center?.. (3/3) ..</t>
  </si>
  <si>
    <t>(2/2) rning. Netjets calls. ?</t>
  </si>
  <si>
    <t>039965 Room # 10346 Marchand</t>
  </si>
  <si>
    <t>039702 Please confirm</t>
  </si>
  <si>
    <t>(1/2) Good morning...I recieved my bill this morning and yall charged me $16 for parking but when I came in the man at the desk said he was going to waive the p (2/2) arking fee so just checking in about that</t>
  </si>
  <si>
    <t>039550. Mears. Room 10335</t>
  </si>
  <si>
    <t>(1/2) It was a 5 until 30 minutes ago. My digital key stopped working for the second time. I called, took me 15 minutes to get through only to be told to go to (2/2) desk to get key</t>
  </si>
  <si>
    <t>0...i will never stay here again..got charged 2xs for 1 room</t>
  </si>
  <si>
    <t>(1/3) Dinner service issue last night- missing part of order (was delivered later.) Missed breakfast service this a.m. Feeling frustrated and hungry! The sho (3/3) therwise the room is very nice. (3/3) therwise the room is very nice.</t>
  </si>
  <si>
    <t>(1/2) 7. Wished there was a soda machine on the floor. Loud banging noise next door shook the wall. One of the lamps sizzles once in a while. The table lamp on (2/2) the other side of the bed facing the window.</t>
  </si>
  <si>
    <t>0. They didn't even reply</t>
  </si>
  <si>
    <t>0 I will be contacting corporate about you guys kicking me out last night</t>
  </si>
  <si>
    <t>Aloha tony, there was three things that we was not happy with 1) when we check in with Jason I request if he can give us a room closer to the elevator he never answer to that request because he was paying more attention to the other customer next to us. 2) The room we go at the diamond tower #592 was old looking and not well maintain like for example the bathroom sink had a lot of hairs and the door on small fridge was hanging like it was missing something 3) checking out the rep give me the total of $311 And I told her use the same card you have in file and she tell me that there is none when I told her how can not be when you already charge my card $253. Then she keep looking at her computer then she says ok you just owe $58 and there was not sorry I found your card in file very unprofessional individual. This was my first maybe my last time staying there my husband Christmas party is held there at the Hilton every year so my husband and I decide to stay there closer so we don't have to drive to the party.</t>
  </si>
  <si>
    <t>(1/3) We had a dirty bathtub last night. Hair all over the place. Someone came to clean it and no one ever came after I called for extra cups and coffee. I had (2/3) to catch the housekeeper passing by. Also a Starbucks attendent left me in line, in the middle of my order, for over 3-5 minutes while he helped the cashi (3/3) er beside him. Did not even excuse themself or tell me he would be back.....just walked off. EXTREMELY RUDE! Other than that, OK 5/10. Thanks!</t>
  </si>
  <si>
    <t>(1/2) Score "7" Room: 1.) Still new smell, w new paint smell. 2) bathroom inner knob was loose. 3.) Bathroom tub dirty. 4.) Walk around build to get to pool. 5 (2/2) .) Metal carts noise from refurbishers in area.</t>
  </si>
  <si>
    <t>"9" just minor issue w/water dispenser on refrigerator. Already reported. Thx ?</t>
  </si>
  <si>
    <t>0/10 no water, hot or cold. I have to present in an hour and I can't shower or shave.</t>
  </si>
  <si>
    <t>0. My roommate snores. Otherwise it's a 10</t>
  </si>
  <si>
    <t>(1/2) Thank you Rob So far it's been about a 6. Someone next door to us feels that we shouldn't play music or talk above a whisper so they keep calling security (2/2) to complain.</t>
  </si>
  <si>
    <t>(1/2) I'm going to rate it a 4. All I have been hearing this whole morning is a hammer hitting the wall. I was never told this hotel was under renovation or (2/2) that my room would be affected by loud noises. I have not been able to sleep</t>
  </si>
  <si>
    <t>(1/2) Thank you checking in. Our stay has been good, i would rate 7.5. The wifi is not good in the bedroom and also it has been very noisy with the renovation (2/2) s going on.</t>
  </si>
  <si>
    <t>Thank you for checking in. I was looking for you this morning unfortunately our room has some problems. First and foremost were right next to the highway and no one got any sleep last night it was loud and doing construction didn't help. The other problem was a refrigerator didn't work I think they came in and fixed it overnight and our shower was filthy I had to clean it. If possible would like the same kind of room on the other side of the hotel away from the highway please let me know if that's possible. Thanks</t>
  </si>
  <si>
    <t>.it's goin good.. unfortunately I might have to leave, I kno it's after noon, how much would i get charged for an hr over checkout please?</t>
  </si>
  <si>
    <t>0 forced to call Jonathan for an umbrella and now being told its 1.5 hrs wait for food at the adult pool... As Hilton honor member will be sure to pass it on...</t>
  </si>
  <si>
    <t>(1/2) We have had great difficulty with trying to schedule shuttle service to universal, to the point we've just started paying to use uber. the expedia number (2/2) we keep getting forwarded to never seems to pick up so we stopped trying.</t>
  </si>
  <si>
    <t>(1/2) Definite 10. Shout out to netti, clayton, and all the staff for making our girlfriend's weekend a success. Only disappointment was the Geneva club. It's w (2/2) ay below your level of service</t>
  </si>
  <si>
    <t>-1 Mgr was awful! Room was cold and spa was also cold. Very disappointed ?</t>
  </si>
  <si>
    <t>$140 for linen replacement because I spilled red wine, that is ridiculous!!!</t>
  </si>
  <si>
    <t>#266 to the spa please.</t>
  </si>
  <si>
    <t>(1/3) It's going well so far, except they water was very disgusting at night. Last night the water had a green tint to it and today it is still cloudy. I put (2/3) some water in a glass last night just in case you all wanted to see all the green residue that is still in it. Also, the water was very cold last night (3/3) and wouldn't heat up, so I had to take an ice cold shower.</t>
  </si>
  <si>
    <t>ATTENTION: BLACK LUXURY SUV 6747 departed OIA at 13:49 with Guest Last Name: WALLACE First Name: ALLISON</t>
  </si>
  <si>
    <t>#15 over the top. Service, Decor and Personal.</t>
  </si>
  <si>
    <t>0 worst hotel experience of my life</t>
  </si>
  <si>
    <t>(1/2) An 8 so far. Chased out of our room this morning by a fire alarm. Haf to stay outside for over an hour watching the fire department and maintenance figur (2/2) e out what happened.</t>
  </si>
  <si>
    <t>(1/2) We actually checked out yesterday. We like staying at that hotel. It is clean and comfortable and a nice location. I would have to rate our stay this (2/2) time as a 9. I would rate it as a 10 but there was something wrong with our television.</t>
  </si>
  <si>
    <t>(3/5) y they made a phone call to complain about a room" and one from a guest, made us feel unsafe, unsecure and totally ruin our experience. Also the fact that (2/5) ion directly to your hotel. We planned to have runch room service looking out the view. But the notes that we received from your hotel, "because apparentl (1/5) Mr. Nicholas your company gave my company American girl a one-night stay to be raffled for United Way. I think I bid more than if was to make the reservat (5/5) s a 0 cero. (5/5) s a 0 cero.</t>
  </si>
  <si>
    <t>!A solid 10 would describe our experience. We are locals, coming slightly down from Delray, and wanted to get away/treat ourselves for a day. One of your !e WILL be back!</t>
  </si>
  <si>
    <t>(1/5) Oh my Jason. Not good. We have an ant problem in my room. Engine (3/5) restroom. No corkscrew at our bar and when housekeeping brought (4/5) me one it snapped in half while I was trying to open my bottle? (5/5) Patrick at the front desk tried to help me out. (2/5) ering came by twice to spray the room. There was no soap in the</t>
  </si>
  <si>
    <t>(null) (sent with Slam Effect)</t>
  </si>
  <si>
    <t>super loud (headache loud). We've done laundry but will need to do it again next week. Also, this room was stated as having a view. It does not. We wo</t>
  </si>
  <si>
    <t>(2/2) so rushed you don't get any good service. Missing foods, wrong foods delivered, refills non existent. Lunch and breakfast. (1/2) 8 Could someone please remove the food from my room. I don't want anything edible there. 8 because the service in the Gran Cafe is not good. They are</t>
  </si>
  <si>
    <t>###5555!!!!!!!!!!!!!!!!!!!!!!!????</t>
  </si>
  <si>
    <t>0, because the the shop text services DONT HAVE ANY HUMOR</t>
  </si>
  <si>
    <t>(1/3) While I have a clean room I'm away from the main tower. No assess to Starbucks and the restaurants and club lounge. My last stay was in the other tower an (3/3) d have to say 2. (2/3) d actually cost was less with refrigerator and microwave. For a long stay as mine this is needed. I have a back injury so easy assess is priority. So woul</t>
  </si>
  <si>
    <t>. 7 my room is a little bit stinky but I'm not looking for anyone to come in and spray any smells. Just letting you know for next person.</t>
  </si>
  <si>
    <t>0 because you couldnt cut my hair. Very poor service...</t>
  </si>
  <si>
    <t>(1/2) The service is definitely 5 Our only compliant is the room is sooooo hot. We turned our heat completely off and cracked the window last night and still ha (2/2) d trouble sleeping due to being too hot.</t>
  </si>
  <si>
    <t>(3) There is a housecleaning office just outside of the elevator on the 7th floor. The office and my room have a shared wall. The office door slamming shut echos loudly in my room, which started around 6:30 this morning. I understand the walls are thin and I don't think whoever is going in or out of th e office is aware of the noise from the office.</t>
  </si>
  <si>
    <t>#7. As a diamond member I would've expected a larger room. More selection in the deli. Exercise equipment cleaning fluid in the gym.</t>
  </si>
  <si>
    <t>(1/2) 5, though the sink in the bathroom stopped working this morning just before I had to leave. Also was wondering about a sewing kit - I lost a button this m (2/2) orning. :)</t>
  </si>
  <si>
    <t>0 because I'm not even staying in your fucking suite. Stop texting me or I'll see you in court.</t>
  </si>
  <si>
    <t>0-1...to be honest one of the worst experiences i have had at a hotel unfortunately</t>
  </si>
  <si>
    <t>(1/2) Id say a 7. The water in my unit smells bad, there are really loud noises at night that might be my neighbors air conditioner, and there is construction o (2/2) r other worker noise pretty early in the mornings.</t>
  </si>
  <si>
    <t>(1/2) Hello I checked out this morning. over all the stay was ok except that I couldn't enjoy sleeping in the bed due to a constant drop from the shower. I did (2/2) call around 3am no maintenance so I had to sleep on the pull out sofa.</t>
  </si>
  <si>
    <t>(2/2) s i will fix ,is too far to come and fix (1/2) I will finish at 1.00 pm , but a wish the electrician will set up the power today before i go back home , because is something are wrong at the room</t>
  </si>
  <si>
    <t>0. You double booked and took my room.</t>
  </si>
  <si>
    <t>(1/2) Its a 5. The toilet in our room wasnt working. The shampoo bottle in the room was empty. The engineer did fix the toilet this morning and you guys also (2/2) brought is extra shampoo bottles last night.</t>
  </si>
  <si>
    <t>(1/4) 15 ??? having a great time at the pool, everything has been w (2/4) onderful Except I had the breakfast buffett, ordered an omelette (3/4) and got sick immediately..ran upstairs and vomited all of my br (4/4) eakfast up</t>
  </si>
  <si>
    <t>0. My wife's mother just passed away in NJ.</t>
  </si>
  <si>
    <t>and seems to have a leak.</t>
  </si>
  <si>
    <t>(RE:ood afternoon. Please rate your exper)5. Where is this coming from?</t>
  </si>
  <si>
    <t>Twas a 5 my fair lady : p</t>
  </si>
  <si>
    <t>(1/2) I specifically requested my room to be cleaned and dusted when I left this morning at 9am never cleaned not good I'm leaving at 1pm i I expect my room to (2/2) be cleaned I already spoke to Maria</t>
  </si>
  <si>
    <t>003724 please Gilbert 40618</t>
  </si>
  <si>
    <t>(1/2) We are at our favorite daybed but notice there are changes like less service, no free fruit, no free sports bag, no pitcher of water etc. The price is sti (2/2) ll the same though, over 200.00</t>
  </si>
  <si>
    <t>005452 Hinnant Please pulls up the car</t>
  </si>
  <si>
    <t>Could we have 2-3 extra towels deliver please ?</t>
  </si>
  <si>
    <t>0 j'ai eu aucune réponse à ma question</t>
  </si>
  <si>
    <t>(2/2) cted" message when i tried to go online. Strange. (1/2) 9+. Thanks! One minor issue, could not locate hhoners wifi last night. Found this morning. But was connected, enterred promo code, but received "not conne</t>
  </si>
  <si>
    <t>029545. Caspar. Please bring car</t>
  </si>
  <si>
    <t>Can you please tell me if someone came to unclog the bathtub drain?</t>
  </si>
  <si>
    <t>. I might as well inconveniences myself and have it shipped to a locker, where I have to drive there if this is what is gonna happen everytime.</t>
  </si>
  <si>
    <t>(1/2) We checked out yesterday but overall our stay was a 4, fairly good. The disappointment was the food for dining in and takeout. Food was cold, no dressing (2/2) on caesar salad and people in bay restaurant were not customer friendly.</t>
  </si>
  <si>
    <t>...10 day, 3 night. Apparently there's a herd of elephants in the room above. We are staying again in November. May I request the top floor for that stay?</t>
  </si>
  <si>
    <t>(1/2) 3. I was disappointed my room was not ready at 4. I had to text at 6:30 because no one had texted me yet. Also, blackout curtains not long enough....li</t>
  </si>
  <si>
    <t>(1/2) I have not yet received the rollaway requested for 16-160. I have been requesting for almost 24 hours and will be heading down to discuss face to face. Ex (2/2) tremely disappointed</t>
  </si>
  <si>
    <t>(1/2) Yesterday's construction noise was disturbing. We were also disappointed that there was no mention of construction going on ny our room. We enjoy this H</t>
  </si>
  <si>
    <t>(1/2) Something seems to be wrong with the furnace. Last night we had to turn it completly off as there was a terrible knocking noice coming from it. We turned (2/2) it back on this morning and it was quiter, but still didnt seem to work very well when raising or lowering the tempature.</t>
  </si>
  <si>
    <t>(1/3) I'd say a 3. So far I had to call someone to fix the toilet as soon as I checked in, one of the lamps was broken and then to top it off, I found a scorpin (2/3) in my BED! I have since changed rooms, however it is directly in front of the elevator so I hear everyone walking by. I was very surprised by these event (3/3) s. I expected so much more from a hotel with the Biltmore's reputation.</t>
  </si>
  <si>
    <t>###5555!!!!!!!!!!?Awesome...mahalo...</t>
  </si>
  <si>
    <t>033640 room 621 Argentina I left my stroller in the car and I need it to go to flow rider</t>
  </si>
  <si>
    <t>(1/2) I checked out this morning. Someone used my car in valet parking. The gas was less. The odometer thingy was set to zero and I had checked it last night wh (2/2) en I arrived.The seat was moved and radio blasting. Not cool.</t>
  </si>
  <si>
    <t>!0 Just tired from visiting. Travel home will be long -flooding. TY</t>
  </si>
  <si>
    <t>0 Because… The sound of construction is annoying. We Never Stay</t>
  </si>
  <si>
    <t>(1/2) 2 ...as of this morning. A cockroach was on the floor by our table @ the conference and when it climbed up on the table, I killed it. So having lunch now (2/2) in the room has us looking closely at everything.</t>
  </si>
  <si>
    <t>.katie will not be on her mothers phone anymore this weekend.</t>
  </si>
  <si>
    <t>(1/3) 2-3..it is freezing in this room....and musty smelling...and we didn't know that the bedroom would have the bathroom in it instead of between the two (3/3) satisfacory (2/3) rooms....so my son had to come into my room during the night to use the bathroom. The help has been great...but the accommodations are less than</t>
  </si>
  <si>
    <t>(1/2) 6. The fan in my room wasn't working so I was up at 5 because of (2/2) noise?</t>
  </si>
  <si>
    <t>(1/2) Going fairly well so far. Still not able to get wifi in my room so laptop was a waste of time to bring. Other that that all is good except for mother na</t>
  </si>
  <si>
    <t>Renee what is the number to the SPA</t>
  </si>
  <si>
    <t>... Solid 5. Going to presentation soon.</t>
  </si>
  <si>
    <t>0- We left and checked out and there was no sign of caring or concern. We've stayed there almost 50 times and it didn't meet our expectations!</t>
  </si>
  <si>
    <t>(1/2) Rob from security did great service recovery. However, the keys and door not working nor it being fixed as promised while we were at your bar having di (2/2) nner was quite unprofessional . Sorry but cant rate a 9 or 10</t>
  </si>
  <si>
    <t>(1/2) My stay was great 4.5. The phone issue never got resolved, but that wasn't a big deal. The only real issue that we had was the room key never worked to (2/2) get in and out of the parking or to get into our room. We just used the digital key on my phone for room access.</t>
  </si>
  <si>
    <t>0. I am a member, not a guest. So I enjoyed my dinner but I "stayed" in my home in East BOCA last night.</t>
  </si>
  <si>
    <t>(1/2) Everything is fine so far, we are packing up and should be out of here by 1. The only thing I will say is for the next person who stays in room 9:18 you m (2/2) ay want to change out the shower head the massage function does not work</t>
  </si>
  <si>
    <t>(562) 282-2432 here is Edward's number you have been texting the wrong person.</t>
  </si>
  <si>
    <t>(6) The room and the resort are good! The second bedroom has an odor! The main complaint we have is the sound of busses and the 6:00 am wake up to the</t>
  </si>
  <si>
    <t>(1/2) My rating right now is a 7. I'm not sure how you can fix it, but I'm going to walk over to the main building and talk to someone about it. Where should I (2/2) go, and who should I ask to speak with?</t>
  </si>
  <si>
    <t>0-1 Asked to speak to manager</t>
  </si>
  <si>
    <t>0 due to the bad service I received. I would not recommend this hotel</t>
  </si>
  <si>
    <t>(1/2)6 - Great property and location. But some inconveniences - No Hot water in the morning, No Towels in the Pool or the front desk. TV not working. (2/2)surprisng Diamond has to pay for breakfast.</t>
  </si>
  <si>
    <t>(1/2) Hi Nancy, The room is better and clean then first one. However i still have very bad back pain and going to see the local Doctor tomorrow. After spendi (2/2) ng $7000 total with all bookings and packages, not being able to enjoy with family. I have talk to Manager yesterday evening regarding back pain. Tejas</t>
  </si>
  <si>
    <t>032011. Room 40412 Zweier</t>
  </si>
  <si>
    <t>9.5 the ice maker doesn't work ?</t>
  </si>
  <si>
    <t>0 if that is possible ice cold water for the shower</t>
  </si>
  <si>
    <t>/ Thank you for checking in. My stay was over yesterday. Aside from the loud air-conditioning unit , paint fumes in my room , and elevator incident--(got /stuck ) - it was fine - 5</t>
  </si>
  <si>
    <t>(1/4) Thanks for asking. A huge cockroach on its back in shower last night. We thought it was dead we left it overnight and it was gone when we awoke. Is that a (2/4) common occurrence? Also we had mix up about parking fees. When we arrived we asked valet if there's a fee. He Said yes $35 a night. When we asked for (4/4) each night. (3/4) our car an hour age we were asked for a 20 fee each time we take car in or out. Then it was figured out that we are overnight guests and pay a $37 fee</t>
  </si>
  <si>
    <t>(1/2) Hi, it is nice. There was a snake in our room last night. We missed movie at pool because it took about 90 minutes for help, new keys for the new room, p (2/2) ack old room, move, drop things in new room. The desk said they'd bring keys for the new room and they didn't</t>
  </si>
  <si>
    <t>-8 les prix sont trops élever et les employés chez starbucks ne savent pas écrirent.</t>
  </si>
  <si>
    <t>(1/3) Can someone contact Me about my stay here we were sent to wrong room when arrived then they confused us again with wrong room then we were called ,,4 time (2/3) s in our room and cell phone with promise to sea world and it wasn't explained how it works we got out of Bed at 6am for nothing then we were dropped off (3/3) and they couldn't figure out where we were</t>
  </si>
  <si>
    <t>(1/2) Hi Michelle...My stay has been about a 2.5....my room is quite dusty and not cleaned very good. I could be be sensitive but I felt ignore when trying to o (2/2) rder food last night in the lobby...</t>
  </si>
  <si>
    <t>(1/3) Hi Jason, I would give it an 8. I called the front desk this morning because I had room service late last night and only ate a bite of it due to me feelin (3/3) y issue ive had so far! (2/3) g sick. They transfered me to the in-room dining line to see if they could refund my food but it rang for a few mins and no one answered. So thats the onl</t>
  </si>
  <si>
    <t>(1/2) 8. Fine so far. Only problem is on TV with channel 2, the "open channel" which is supposed to show each day's hotel schedule including meeting times and (2/2) rooms. Poor reception/unreadable. Is everyone experiencing the same problem? Otherwise, TV reception is fine. Thanks!</t>
  </si>
  <si>
    <t>(2) noisy room beside elevator shaft- sleepless night, pool partition not removed from 7:45 till 8:45am despite request to front desk, cannot be used; wi ll talk to front desk for room change</t>
  </si>
  <si>
    <t>(1/2) Checked out. Not that great evening experience, room location too noisy. Accommodation facilities good. Overall 7. If we book, will have to be quieter riv (2/2) erside.</t>
  </si>
  <si>
    <t>(1/2) Bed was comfortable room very clean but I hate I booked through (2/2) 3rd party and couldn't get points ?</t>
  </si>
  <si>
    <t>#9 Its 10:40 a.m. do they still have breakfast today</t>
  </si>
  <si>
    <t>0 because I'm not even staying where ever this place is</t>
  </si>
  <si>
    <t>0. Since I texted you yesterday to tell you that you were texting the wrong number. Please stop texting me.</t>
  </si>
  <si>
    <t>(1/2) Stay was fine. Did not notice anything VIP with stay. Had to argue with receptionist upon arrival to get keys at 2:00 pm. She said you must have had two V (2/2) IP's that day and my room was taken. Was not treated as a hilton honors member. Wasn't even given a bottle of water.</t>
  </si>
  <si>
    <t>(1/4) Hi , Thanks for asking. If I may: I had the handle on my bathroom sink fall off when I went to brush my teeth this morning (1128).I alerted the front desk (2/4) . Also American Express called and put a freeze onmy card . There were multiple charge attempts made. I know Hotels are authorize but the multiple att (3/4) empts triggered red flag. I have been on the road 30 days straight and there is probably still a large hold on the card which hasn't cleared yet. which ma (4/4) y also have been a problem. I can now not access funds I needed. How much did the hotel attempt to authorize? ThanksJeff</t>
  </si>
  <si>
    <t>.... we're still waiting for housekeeping, fyi.</t>
  </si>
  <si>
    <t>(1/2) The řemote control in my room is not working. Tv is on but chan (2/2) nels cannot be changed or tv turned off.</t>
  </si>
  <si>
    <t>8. Frustrating to switch from phone to room key for access</t>
  </si>
  <si>
    <t>(1) the room was so bad that we not even stayed in it. We checked out same evening and did not used the room at all. Will write reviews to share my experience in nobody helping me in this situation.</t>
  </si>
  <si>
    <t>(1/2) You guess have the wrong person .... im in California not Texas you wanna text Nancy Chiang ... which i am not her ... i contacted you guys yesterday abou (2/2) t this mistake</t>
  </si>
  <si>
    <t>(1/2) 0 no stay no room. Your web.com and California's graduates of public health tests and cosmotology and seahawljs over booked Safeway sweep steaks on sea f (2/2) ans Seagate.com 1877warrenty</t>
  </si>
  <si>
    <t>0 - I'm not staying there</t>
  </si>
  <si>
    <t>0 had a horrible experience the room was not clean when I checked in.</t>
  </si>
  <si>
    <t>-4 There's been a rotting carcass sitting on the toilet since I've and he won't leave.</t>
  </si>
  <si>
    <t>"1" checked in yesterday had room cleaned this morning went to use the 2nd toilet just now and the bowl was full of someone's crap flushed it bowl stained like it was sitting there for awhile</t>
  </si>
  <si>
    <t>0 read previous message</t>
  </si>
  <si>
    <t>(1/2) Not sure how to answer. I had a message today about check out. When I called, the message said my check out is the 30th but it should be the 1st of (2/2) September. Can you check on that+</t>
  </si>
  <si>
    <t>Oupssss hahaha wrong number !</t>
  </si>
  <si>
    <t>(1/3) Well I already chk out yesterday. I was curious about two chg on my acct other than rm/valet chg. I didn't put anything else on the rm. I would rate you b (2/3) ut lrg spiders in my rm I would rather just not put a number. No compensation or anything just a Sorry. Please let me know about extra charges or I can (3/3) just get in touch with management.</t>
  </si>
  <si>
    <t>(1/2) We don't like our room and are hoping we can change to a higher floor on the west side. The room also wasn't clean,especially the toilets and the view os (2/2) pretty lame. Let me.know if you can.do anything</t>
  </si>
  <si>
    <t>It's the hallway past the cabinet meeting room</t>
  </si>
  <si>
    <t>0, I checked out, ride failed to show ! I'll never be back.</t>
  </si>
  <si>
    <t>#6, can you please advise a plumber to check our bathroom cold water (low pressure) and toilet (continually running). Thank You</t>
  </si>
  <si>
    <t>#6 Quality of beds a minus Outlet by vanity sink did not work..(clerk provided Starbucks credit. .) Hair dryer not very powerful Minimal bath amenities Parking fee Too high..</t>
  </si>
  <si>
    <t>#6-7 no pool kids were broken hearted rms# 238-239</t>
  </si>
  <si>
    <t>"6"....just arrived @ 7 Pools (but no swimming...bummer).</t>
  </si>
  <si>
    <t>-1 simply because I don't like the text messages</t>
  </si>
  <si>
    <t>#8. Wifi didn't work great</t>
  </si>
  <si>
    <t>(1/2) 7 and I say that because of the parking situation my room is hot. The safe parks are all taken for valet, but my company does not allow me to pay for vale (2/2) t. And hopefully the air problem has been resolved. Also, what time do the pool open? I went down around 7:10 this morning and it was locked.</t>
  </si>
  <si>
    <t>(1/3) Hello! I planned my day yesterday around resort activities. We went to the activity center for arts and crafts, and they didnt have any mason jars for t (2/3) he activities. I was told that the person who normallt gets them wasnt here. We also planned on watching Antman since its one of my daughters favorite (3/3) movies, but it wouldn't play.</t>
  </si>
  <si>
    <t>$150 bucks for four cheeseburgers delivered to the room. Other than that it's fine.</t>
  </si>
  <si>
    <t>(8) someone missed my wake up call and problems with Internet</t>
  </si>
  <si>
    <t>(1/2) Assigned us to a handicap room without notifying us, and then gave us a room with the worst view! ridiculously priced parking lot. Thanks for making our (2/2) first trip to san diego delightful. I would hardly rate you 6 and thats because of the hotel itself.</t>
  </si>
  <si>
    <t>(1/2) Hi. Well, yesterday I had talked with you about my husband having a lower leg injury. You nicely said you would place him in a room with a walk in shower (2/2) and near the elevators. Neither of which happened. :(</t>
  </si>
  <si>
    <t>(5) Do I need to make reservations for nicks fish tonight or walkin about 6 pm?</t>
  </si>
  <si>
    <t>(1/2) So so. Saw a roach crawling in the kitchenette sink area and the shower is stopped up because the water goes out slowly. Other than these problems, the st (2/2) ay is okay. I give it a 6.</t>
  </si>
  <si>
    <t>-10 We got kicked out :(</t>
  </si>
  <si>
    <t>0 because you won't stop texting me. Please stop.</t>
  </si>
  <si>
    <t>Not good considering I'm here with my 11 year old daughter and you got the hood smoking pot ar the pool without concern</t>
  </si>
  <si>
    <t>0002, 0022, 0028, 0029 VD.</t>
  </si>
  <si>
    <t>06 Exept. One problem kids under the age 12 as young as 5 years old taking over the hot. Spa with out parent supervision they are diving splashing it's impasible. To use the hot spa</t>
  </si>
  <si>
    <t>(1/4) Seeing the room #3112 to #3856 there's space different but wasn't expected to have one bed when original request for two. Disappointed. I've cancelled my (2/4) nail spa appointments because having to be walking back and forth... Ewa tower/Diamond Head tower/Front Desk..I got too exhausted. My attention to be rela (3/4) x not to be annoying. I also force myself to have dinner off premise. And again I was too tired. So I slept on rollaway bed so my friend Lurline are comfo (4/4) rtable queen size bed than me. Too much drama. Sincerely Annette Sojot-Shannon</t>
  </si>
  <si>
    <t>(1/3) Hi Kriztine, Overall the resort is great, but I have a few issues. 1st our room was not up to standards. Our shower curtain was very dirty. Under the (2/3) bathroom mirror, there were dead bugs. Obe if the cleaning ladies, Bella was great and with another one got it cleaned up the evening we checked in. They (3/3) were great! For being only 6mths since the room was renovated, we were shocked to find gouges in the bathroom walls.</t>
  </si>
  <si>
    <t>(1/2) Overall, everything is going very good, except we had what looked to be a fairly big cockroach in our room this morning. It was hanging on an outfit in ou (2/2) r closet. We shook it off and tried to kill it, but it moved fast and went under the door into the next room. We thought we should let you know.</t>
  </si>
  <si>
    <t>(1/2) Not happy! I talked my niece and her hubby into coming down to your resort. James Adams room #281. After we parked the valet burned rubber taking his c (2/2) ar away. You msived resort &amp; parking fees for them but not me. Why??</t>
  </si>
  <si>
    <t>0 won't be coming back please stop texting</t>
  </si>
  <si>
    <t>(1/2) Disappointed in the a/c. Room was warm for sleeping. set thermostat at 62 at check in and never adjusted was still warm when we returned at 11pm and a (2/2) ll night finally cooled down to 67 by check out.</t>
  </si>
  <si>
    <t>0- it took someone over 20minutrs to reply with the nursing lounge code... With a hungry crying baby that's an eternity.</t>
  </si>
  <si>
    <t>(1/2) 2. Room #124. Shower faucet dripped all night. Unable to turn off completely. Mold and mildew around the tub. Both beds have bed bugs. My wife and daug (2/2) hter had bites in the morning. Not to happy!!</t>
  </si>
  <si>
    <t>(1/3) Dust also on bathroom glass shelves, I first thought it was frosted glass, bath tubb not draining, Paid early check in for 1 room, 25.00, to drop things (2/3) , was told no problem if we check in 2nd room later at night. Was given wrong room had to go back down and complain I booked a king bed, given double que (3/3) ens . Worst Hilton experience I have ever encouraged, 3 at best.</t>
  </si>
  <si>
    <t>(1/3) I would have to give our stay a 7. Neither of the rooms were ready at 4:00p on check-in day and I had to go back to the desk for additional assistance to (2/3) get the rooms expedited. My room (5712) has loose tile in the bathroom and the slab door was poorly cut. Overall, it was a good vacation. Unfortunately (3/3) , HGVC has set my standards high.</t>
  </si>
  <si>
    <t>(1/2) Hello. I ran in to some issues. There was trash in my ice bucket and the wash cloths In the bathroom wasnt clean at all still had other people hair and di (2/2) fferent things on them. I would give it an 8. Thank you for checking.</t>
  </si>
  <si>
    <t>(1/2)Well - since my text message wasn't acted on and had to go to front desk to get foam pillows - okay so far. They did tell me I could store a frozen pizza</t>
  </si>
  <si>
    <t>(1/2) Good morning the only complaint I have about my stay here is the 2 young ladies that took care of our order last night at the restaurant everybody office (2/2) the black girl was rude to me</t>
  </si>
  <si>
    <t>#9. Would of rank 10 but the mix up with room upgrade hurt ur score. BUT you will always trump any other hotel!!!!</t>
  </si>
  <si>
    <t>.....so far a 5...thank you.</t>
  </si>
  <si>
    <t>(1/2) 1. We were very dissatisfied with our stay because the air conditioning in the pool room and areas of the main lobby, elevators, were hot. Not acceptable (2/2) . We will be sending a letter to corporate.</t>
  </si>
  <si>
    <t>-1000 the guest that is staying there is not me</t>
  </si>
  <si>
    <t>(2/3) ir own mishaps, they choose to throw their own workers under the bus. Therefore my experience here has not only put a horrific taste in ones mouth, the (3/3) rating is 1 at best.</t>
  </si>
  <si>
    <t>(2/2) 15 walk up floors. (1/2) I did an hour on the elliptical sat an hour. Went to eat . Walking up the 15 floors almost killed me this morning. Seriously not the elliptical but the Other than that all is good</t>
  </si>
  <si>
    <t>(1/2) 10! I put a do not disturb on my door this am but i forgot to turn my a.c. back on before i left. Is there anyway someone could turm it on for me?? If (2/2) not, no problem at all. Im room 1526</t>
  </si>
  <si>
    <t>-1 stay has been terrible!!</t>
  </si>
  <si>
    <t>(1/2) 8. Had to pack up and move after 1st night because room we reserved/ upgraded to was not available on check in. Time lost in transition...plus 1.5 hours (2/2) to get 4 working keys. Got a late check out today, but only to 11:30....</t>
  </si>
  <si>
    <t>(1/2) Started out not great as we brought meat to barbque from home and found out gas was out and had to cook it all upstairs and not at the pool...no hot water (2/2) either....was going to talk to someone later to see if you are going to compensate something back</t>
  </si>
  <si>
    <t>(1/4) I rate it a 2 I could not check in until 2 hours later it would (2/4) have been later had I not took the initiative to call and see if (3/4) it was ready also the spa tub did not work and the bathroom wa (4/4) s very dirty ????</t>
  </si>
  <si>
    <t>0. Haven't checked in yet</t>
  </si>
  <si>
    <t>-.25 for no street light blocking curtains -.26 for room being FREEZING cold upon our arrival = 4.5 for excellent service people, nice doggy amenities(1s t time Mister Bizkit ever tried a bed in a hotel &amp; made himself at home!)</t>
  </si>
  <si>
    <t>0. My reservation was cancelled over a week ago. I'm sure it would have been 5 though.</t>
  </si>
  <si>
    <t>0. Did not stay. Cancelled reservation</t>
  </si>
  <si>
    <t>0.0 no internet in a $2800 suite.</t>
  </si>
  <si>
    <t>(1/3) I am sorry I can't rate you 9 or 10. You have moved us twice. The first time you moved us to a room that has no place for our sob to sleep then you moved (2/3) us to a room with the balcony facing the road. I begged for a room with a quiet balcony as the space provided a place of escape while my son watched TV bu (3/3) t you moved us to room with the balcony facing a noisy plant.</t>
  </si>
  <si>
    <t>(1/2) Its a 9.8 out of 10. Only fault i can find is the elevators are very slow and no ac. And the room key system is very out dated and many guest having probl (2/2) ems with room keys.</t>
  </si>
  <si>
    <t>-10 the service we receive was HORRIBLE and because of it we will not be returning</t>
  </si>
  <si>
    <t>"10"thank you. We will be checking out at 3 in 1102</t>
  </si>
  <si>
    <t>$261.93 charge/hold is for?</t>
  </si>
  <si>
    <t>0 and considering not staying at your hotel again Booked and had to cancel less than 24 hrs and got charged anyway.</t>
  </si>
  <si>
    <t>(1/2) We saw a lot trash on the opposite side of our room last night.. we wake up this morning and it was still there!! compare to our stays in hawaii las veg (2/2) as new York... i rather not rate our stay until we leave</t>
  </si>
  <si>
    <t>0 - I checked out and left hotel</t>
  </si>
  <si>
    <t>(1/2) 8 podria decir que yodo fue excelente una experiencia muy buena y agradable. Pero lo que incomodo fue la situacion de la alarma de incendioa activada en l (2/2) a madrugada no he dormido desde esa hora. Nada espero tengan esto presente para futuras situaciones</t>
  </si>
  <si>
    <t>0. I fell and am badly hurt. I called 3 times and a manager never contacted me. Housekeeping and security came, as well as paramedics.</t>
  </si>
  <si>
    <t>... We haven't arrived yet</t>
  </si>
  <si>
    <t>024044 Kristek room 1765</t>
  </si>
  <si>
    <t>(1/2) 6 we did not get our green voucher for two of the days-- room was not as nice as last year -- carpet was dirty -- air conditioning would not work well wh (2/2) en curtains were open</t>
  </si>
  <si>
    <t>0. Was a 10 but then I checked out as scheduled. My stay is over. Can you remove me from the texting list?</t>
  </si>
  <si>
    <t>023681 Martin room number 40416</t>
  </si>
  <si>
    <t>(1/2) Well Jeff you won't believe this, after I watched a movie around 4 pm I got horribly sick! All night long till I had to leave at 6:45. NEVER GOT TO EVENI (2/2) NG OR MORNING club service. Well who knew. I love the Sheraton. . Stay with you lots.</t>
  </si>
  <si>
    <t>023223 requesting car from valet</t>
  </si>
  <si>
    <t>(1/2) 7 the only complaint we have is we have had noisy neighbors when we checked in and new noisy neighbors this morning we here them through the door connecti (2/2) ng our rooms together.</t>
  </si>
  <si>
    <t>(1/3) 7 porque ayer en la habitación tuvimos que llamar tres veces par (2/3) a que nos arreglaran la nevera que estaba llena de agua. Por lo (3/3) demas bien hasta ahora.</t>
  </si>
  <si>
    <t>0 0 Wrong text phone number I am not a hotel Guest so 0 rating is</t>
  </si>
  <si>
    <t>#9 making reservations was VERY difficult! View was perfect!</t>
  </si>
  <si>
    <t>-10 is the score. I am still waiting for my 35000 points to be added back to my account. If not I will cancel my nine nights upcoming trip and go with Marriott.</t>
  </si>
  <si>
    <t>(1/2) A rating of 6. The carpet in my bedroom was soaking wet when i checked in, the tv in the living room is hanging off the wall and the faucet in the bathroo (2/2) m is very difficult to turn</t>
  </si>
  <si>
    <t>(1/2) 7 . Follow through on promises. No "gift" from consigerige, no $100 gift card for attending a sales presentation, sales presentation was 2 1\2 hours not (2/2) 1 1/2 hours.</t>
  </si>
  <si>
    <t>(1/3) 9 1/2. We were never contacted we came back sat in lobby for a (2/3) few then had to go to desk and inquire ...Other than that. (3/3) ....you guys are a 12 ?</t>
  </si>
  <si>
    <t>0 I told you. you've got the wrong number</t>
  </si>
  <si>
    <t>(1/2) 6. HVAC really loud and impossible to adjust temperature; toilet seat very loose and almost dangerous; one bedside light not working; TV remote doesn't w (2/2) ork very well.</t>
  </si>
  <si>
    <t>(1/2) I would be happy to rate you; however, i am not staying at your hotel. whoever checked in at your hotel has provided you with a wrong #. Please stop t (2/2) exting this #.</t>
  </si>
  <si>
    <t>0- if you look back on my 2 text messages, she refused to answer my question just gave me a generic answer without ever answering the question</t>
  </si>
  <si>
    <t>(1/2) 5. Room wasn't clean to the Hilton standard (hair, spots on the sheets, holes in the sheets, and carpet hadn't been vacuumed). Nice view but didn't (2/2) appreciate guest above that was smoking and had a dog.</t>
  </si>
  <si>
    <t>022457 Macaulay room 1962</t>
  </si>
  <si>
    <t>0. The smoke and paint smell has not been removed from our room as promised. I requested a call from the hotel manager I received a call from the supervisor. That is not the call I requested. I was told that building engineers put wet toilet paper over the smoke detector. This is not believable and is also a violation of applicable Florida law. Management should be involved in any situation when laws are admittedly violated. I hope this answers your questnullion. I also hope now that our exchange has been memorialized the manager will become involved.</t>
  </si>
  <si>
    <t>$100.00 discount 10 $10.00. Only. 1</t>
  </si>
  <si>
    <t>. At this price point for the stay the breakfast should have been included and the additional $9.99 charge was not even I felt that over all the room could have been cleaner, there were stains on the chair in the room and I had to wipe down the sink and shower before using</t>
  </si>
  <si>
    <t>(1/2) the internet connection is the most miserable I've ever experienced at any Hilton property. When it's on it is slow and it keeps bumping me off and on ag (2/2) ain and again</t>
  </si>
  <si>
    <t>(1/2) 0 your employee authorized a transaction to my card without my approval because I intended to pay cash. The hotel is beautiful John but your employees at</t>
  </si>
  <si>
    <t>0.. My stay isn't until the 25th</t>
  </si>
  <si>
    <t>021744 black Range Rover</t>
  </si>
  <si>
    <t>-20!!!!! THIS PLACE IS TERRIBLE</t>
  </si>
  <si>
    <t>#5 my grandson left his wallet in the room #615 behind the tv. We've already checked out...</t>
  </si>
  <si>
    <t>"8". You really need more house keeping staff. Constructive criticism: Arriving to an unmade room at 5:15pm every day after a day on the water is a little disturbing for such a classy hotel. A missing clothing item from our room after housekeeping is also something I didn't expect. Other than that a really enjoyable time. "8". You really need more house keeping staff. Constructive criticism: Arriving to an unmade room at 5:15pm every day after a day on the water is a little disturbing for such a classy hotel. A missing clothing item from our room after housekeeping is also something I didn't expect. Other than that a really enjoyable time.</t>
  </si>
  <si>
    <t>(1/2) 1 - i left the hotel and went home at 2.00 AM because the AC in my room was not functioning effectively. Marcel offered a $50 discount as I was leaving a (2/2) nd I told him that wasn't enough. He said he'd have a manager call me this morning....but your text is the only contact I've received from Loews.</t>
  </si>
  <si>
    <t>(1/2) So far the stay is about a 9,but i give check in a 3, this has the worst check in ever had even though the manage gave me a $50 credit that was to please (2/2) me, the process need to change.</t>
  </si>
  <si>
    <t>(1/2) Unfortunately, I will have to say a 2 based on the room temperature issues and problems with my cable for the last 2 days. I am anemic and was very cold. (2/2) I also a lot of sleep over the past two days, resulting in me being extremely tired during my early morning conference sessions I had to attend.</t>
  </si>
  <si>
    <t>#staywasgreat #onmywayhome</t>
  </si>
  <si>
    <t>0 I really don't like the view I got all I get to see when I'm drinking my coffee is a parking lot and I have to walk a long way to get to the pool and I'm with my granddaughters and niece and my son</t>
  </si>
  <si>
    <t>(1/2) I do not want to rate my stay just yet, however I can say that the check-in process was the worst in my 18 year ownership either Grand Vacations Club. I h (2/2) ave never had to wait until 3:30 to check-in which is why we book early flights so as to get the most of our time here.</t>
  </si>
  <si>
    <t>Do you have any cocksssssss</t>
  </si>
  <si>
    <t>are returning to the room with a baby who is taking a nap. I'm not sure how it will get done now. In addition, we didn't receive the extra towels for ei</t>
  </si>
  <si>
    <t>(1/2) We have a horrible stay. The guy next to us keep waking us up he keeps slamming his door. The AC was not working properly we.called front desk and complai (2/2) n. TV remote was not working. We were celebrating our ten year Anniversary and was very disappointed.</t>
  </si>
  <si>
    <t>(1/3) Hello. My stay was great until this morning I came to parking lot and found a very disturbing note on my car that read " You park like an asshole" AND the (2/3) y spit twice on my windshield. So gross! I was clearly parked properly. Me and my sister were very disturbed and we did report it to hotel managemwnt and (3/3) security</t>
  </si>
  <si>
    <t>(1/6) We checked out yesterday. I would not rate our stay at a 9-10. The reason for this is lack of communication. We have stayed at this hotel several times. T</t>
  </si>
  <si>
    <t>(1/5) I rate it a 2. I started communications with your hotel a month ago letting them know that I was traveling with my family of 5 that included my mother wh</t>
  </si>
  <si>
    <t>-2 it was turning on the fire alarm at 2-3 am !!!</t>
  </si>
  <si>
    <t>0. You have wrong number. I'm not staying with you.</t>
  </si>
  <si>
    <t>0. I cancelled this reservation. I've spoken to 4 different people about confirming that it has been canceled..and yet I get messages like this.</t>
  </si>
  <si>
    <t>0 because yous have wrong person..gets me all excited 4 nothing..-Delon.</t>
  </si>
  <si>
    <t>*24 Checking out of 3201 &amp; 3209 - Olenchak</t>
  </si>
  <si>
    <t>0. Hotel horribly run down</t>
  </si>
  <si>
    <t>(1/2) 9, only reason not 10 all the new rules forget relating to the pool area, some of the security guards were a little too serious in there and forcing of th (2/2) e rules</t>
  </si>
  <si>
    <t>. Pool area was dirty with Candy wrappers on the floor and lots of hair balls in the pool. I know it was a very busy day/night for your hotel but we wer en't very happy. 3 The room next to us was very loud and yelling at one another at 1230. Kids running around the hall after 11. We have a toddler who was waken from this</t>
  </si>
  <si>
    <t>-1 Never text me again</t>
  </si>
  <si>
    <t>(1/2) 7, service very good. Room needs improvement. Coach in living room is torn and all worn out. Matress in bedroom also worn out. Both should have been repl (2/2) aced ....this is our 6th visit to this hotel, never experienced this before....a little disappointed. .</t>
  </si>
  <si>
    <t>(1/2) Annie was great with perfect room for our family. Annie 10 . Service of immediate assistance of staff to assist with needs of room ....10. But, with (2/2) water that takes a long time to become hot in bath , no microwave for young adult children , and no washer for our adult kids it was not as relaxing.</t>
  </si>
  <si>
    <t>would speak to the recreational manager to get them reserved but still no call back. However we did leave our room at 9:30 so they may have called. Here is my</t>
  </si>
  <si>
    <t>-1 actually on this visit</t>
  </si>
  <si>
    <t>00 00000000008000t</t>
  </si>
  <si>
    <t>(2/2) was moved immediately. I can't get the WiFi to work in the room. It is being addressed. (1/2) 8. Staff have been very professional and helpful with problem solving. Unfortunately, I did not initially get the room I requested (I wanted a king) I</t>
  </si>
  <si>
    <t>"2". It's TOO noisy. It's NOT Singles' friendly, food and entertainment too limited. Shuttles to parks TOO limited. Lacks Stand-Alone Rooms.</t>
  </si>
  <si>
    <t>(1/3) 7 I have a concern with the cleanliness. Two weeks ago when i was there after the cleaned the room the floor in bathroom was still dirty and my hair was e (3/3) an. (2/3) very where like they didn't clean. This week my toilet had a stain down the front i didn't get to my room until real late so i used my Clorox wipes to cle</t>
  </si>
  <si>
    <t>#10 We r celebrating r 25th anniversary. We were to b here in October but because of that terrible storm &amp; Gov closing the state roads, we had to turn back. We couldn't b happier that we made it this time.</t>
  </si>
  <si>
    <t>017387 on my way to the valet area to pickup my car. Room 50405 Carlos Gonzalez</t>
  </si>
  <si>
    <t>(0 ) hated it ... Wasnt impressed for Embassy. We stay all the time in different towns .</t>
  </si>
  <si>
    <t>(2/2) tomorrow we "might" get moved to a room with two beds. I do hope that will happen and that we will be compensated accordingly for the inconvenience.</t>
  </si>
  <si>
    <t>-1. Not happy at all.</t>
  </si>
  <si>
    <t>(2/2) ock were both unplugged and it took me a few frustrating minutes to realize that's why they weren't working. (1/2) 7...the staff has been a 10 but I had requested some food to be in my room when I arrived at the hotel and it was not there. Also, the TV and the alarm cl</t>
  </si>
  <si>
    <t>0-. Your vallet damaged my car!</t>
  </si>
  <si>
    <t>(1/2) I still have not heard about my refund from parking. Your striped car keys weren't working yesterday that's why I had to pay. Will somebody get back to me (2/2) about that.</t>
  </si>
  <si>
    <t>No. Can you tell me what checkout time is?</t>
  </si>
  <si>
    <t>It is still my firm position...what is the point of Elite Status?</t>
  </si>
  <si>
    <t>0 ...worst hotel stay ever !</t>
  </si>
  <si>
    <t>(1/2) 4 food terrible will never eat there again had chicken nachos at tikki bar they were ice cold Breakest buffet also very bad fir the price residence inn (2/2) has a better buffet and they don't charge you love the hotel and location though but I will never eat anything again there</t>
  </si>
  <si>
    <t>014717 It's david herman</t>
  </si>
  <si>
    <t>(1/2) Doing great! One thing, there is an intermitent but regular high pitched chirp - similar to when a battery is low on a fire alarm - in the hallway outside (2/2) our room 1328. Could you have someone check on it please?</t>
  </si>
  <si>
    <t>(1/2) I would say a 9, the only issue I have was with the breakfast. No waffles or pancake maker and far too many pork products, no turkey or beef. other than t (2/2) hat it's wonderful.</t>
  </si>
  <si>
    <t>0. Tired of all the texts. Trying to enjoy my family</t>
  </si>
  <si>
    <t>0. We had a terrible experience and checked out almost as soon as we got there. We're now enjoying actual amenities and service at a different hotel in Miami.</t>
  </si>
  <si>
    <t>.10 only problem is i am on spa wing as a gambler i prefer casino wing no big deal</t>
  </si>
  <si>
    <t>Bummed out. Came for the Spa but no availability today. We are looking for alternatives in the area. Any recommendations?</t>
  </si>
  <si>
    <t>(1/2) Our room was a non smoking room, some prior obviously smoking and my child has asthma...there were no additional rooms so we had to suffer coughing all (2/2) night. The front desk accommodated a suite for next night... that service rep gets a 10.</t>
  </si>
  <si>
    <t>4-5. We have some rude exchanges with staff, we've had to wait an exorbitant amount of time for our food at restaurants. It took 50 mins to get our breakfast today and then there was a large egg shell in our food. Our room was more than an hour late to check into.</t>
  </si>
  <si>
    <t>013335. Coming down now.</t>
  </si>
  <si>
    <t>7 due to late checkin and problems with tv volume in front room</t>
  </si>
  <si>
    <t>0 -worst experience at a hotel ever!!!</t>
  </si>
  <si>
    <t>0 this is not who you want, I'm in Vermont</t>
  </si>
  <si>
    <t>(1/2) 5. Thermostat was not working . Maintenance just looked at it a second time. Used washing machine last night and it was extremely noisy. maintanence said</t>
  </si>
  <si>
    <t>(1/2) We are having a good time, but i have asked to be sent a activity schedule twice and have not received it. And can I ask why they are doing the games by (2/2) tbe pool on tablets etc. I do not bring mine to tbe pool and my grandkids were upset they could play cause there was no paper to do the game.</t>
  </si>
  <si>
    <t>-7 Disappointed with bathroom had hair in it when we got there. Ice maker doesn't work.... Other than that, room service was appreciated with fast response.</t>
  </si>
  <si>
    <t>(. 3. )Waited 5 hours to get into room. Arrived at 12:30. Was told room ready at 2 pm. Sat in lobby until 5:45. Was not pleased.</t>
  </si>
  <si>
    <t>(1/2) 4 because I asked for my room to be cleaned by noon and it was not. I can see the maid cleaning the rooms next to mine. Also when I asked the lady at th (2/2) e front desk didn't even say hello. She just said, "there are no guarantees."</t>
  </si>
  <si>
    <t>0 parce que j'ai communiqué avec vous en français. Pourquoi me demander mon opinion en anglais ?</t>
  </si>
  <si>
    <t>-1 room is horrible dirty bathroom is filthy</t>
  </si>
  <si>
    <t>0 please stop texting me</t>
  </si>
  <si>
    <t>-1 unfortunately. Thank you</t>
  </si>
  <si>
    <t>0 I just received a $40 up charge in error.</t>
  </si>
  <si>
    <t>(2/2) arged twice? Please provide further details and please remove the double posted fee in error (1/2) Hi I have a question I was charged twice for parking and the resort fee. Once on 12/31/15 for $106.47 and again on 01/03/16 for $106 47. How come I got ch</t>
  </si>
  <si>
    <t>0. Stop texting me please.</t>
  </si>
  <si>
    <t>-1 cause you have the wrong number</t>
  </si>
  <si>
    <t>0-you lost our bags and the front desk manager was not sympathetic or urgent about the issue-he just sent us away to go and locate our bags at some other guest's house in the middle of nowhere during a snowstorm</t>
  </si>
  <si>
    <t>(1/2) Well, a couple of issues. The plugs in my bathroom do not work. I think the breaker outlet is broken. I'm also concerned with the parking. I had to be shu (2/2) ttled last night.</t>
  </si>
  <si>
    <t>(1/3) I'll give it a rating of 3 because the bed has my back hurting s (2/3) omething awful. Otherwise I would give it a 5. That bed is terri (3/3) ble!!!!! ?</t>
  </si>
  <si>
    <t>"10" all the way!!! Regards.</t>
  </si>
  <si>
    <t>-10 since I wasn't there?</t>
  </si>
  <si>
    <t>accompany his notes. 1.5 I left my list of observations with the very professional man who checked me out. (My rate would have been 1 before him.) I've attached some photos to</t>
  </si>
  <si>
    <t>0. YOU HAVE THE WRONG NUMBER</t>
  </si>
  <si>
    <t>****8 *Dale Akin O *Dale Akin</t>
  </si>
  <si>
    <t>(1/5) 7, Could not sleep. The walls are so thin, all we can hear are p (2/5) eople walking around, suitcases rolling, baby screaming and lots</t>
  </si>
  <si>
    <t>"10" you guys Rock!!!</t>
  </si>
  <si>
    <t>0 - dreadful experience!!</t>
  </si>
  <si>
    <t>(1/2) So far my experience has been a 5 all the way. As long as all my stuff is in the room when i get back today, it will remain a 5 for the rest of my stay. T (2/2) hank you!</t>
  </si>
  <si>
    <t>(1/2) Hi, it was a 5 until i had to beg to get my room clean by 12. The housekeeper was not happy. She said, she had 3 floors to clean and she was asked to st (2/2) op what she was doing and come down. I'm so sorry. I hate to inconvenience anyone. 4.</t>
  </si>
  <si>
    <t>. The organizers asked me to text you... It is very hot ? in here.</t>
  </si>
  <si>
    <t>(5)***** DeputySFM JAJONES</t>
  </si>
  <si>
    <t>No. N N N. N actually n 10</t>
  </si>
  <si>
    <t>0 it's truly been an awful visit for so many reasons!</t>
  </si>
  <si>
    <t>0. I left yesterday because service and food were terrible.</t>
  </si>
  <si>
    <t>(1) if that. not very good. My room smells like smoke and they may move me and I would like to enjoy the day. Very unconvinced Not like other times I have been here. Very disappointed</t>
  </si>
  <si>
    <t>(1/2) 5. Only negative I saw was that there wasn't a backup roll of toilet paper. Turned out not to be an issue but as someone who spends 150 nites a yr in ho (2/2) tels i know the need</t>
  </si>
  <si>
    <t>0-this was a terrible experience</t>
  </si>
  <si>
    <t>#8. Elevators usage was high. We used the stairs to leave. The ac was cranked down and room was hot all night.</t>
  </si>
  <si>
    <t>(1/2) Sarah. You made the vacación.working Monday.5.4th time at the sh (2/2) eraton.want to complemento you to your boss</t>
  </si>
  <si>
    <t>#19 - kids burger Ketchup, lettuce &amp; cheese only #19 - kids burger Kerchup, mustard, mayo, lettuce &amp; cheese #11 - Vegetable Spring Rolls w/ fries Location: N2</t>
  </si>
  <si>
    <t>....I'm not leaving until the 29th...</t>
  </si>
  <si>
    <t>0 I sent text for Marc yesterday and i m still waiting the asnwer</t>
  </si>
  <si>
    <t>(2/2) enfriò nada. En lo demas...10!!</t>
  </si>
  <si>
    <t>0 If the sun was out</t>
  </si>
  <si>
    <t>(2/2) we finally got a ride</t>
  </si>
  <si>
    <t>#41, #32, #41 virgin, #5, #6, we are in area S25</t>
  </si>
  <si>
    <t>We will be down shortly to check out</t>
  </si>
  <si>
    <t>0 check with your manger Tom</t>
  </si>
  <si>
    <t>...my expirience is a 4.5....</t>
  </si>
  <si>
    <t>-1. Haven't checked in. Or 6. Your choice.</t>
  </si>
  <si>
    <t>096263 - request my vehicle.</t>
  </si>
  <si>
    <t>#5 as usual. Will stay again soon. LeVern?!</t>
  </si>
  <si>
    <t>#46. #54. Location s14</t>
  </si>
  <si>
    <t>"2" Need beds made today.</t>
  </si>
  <si>
    <t>. 5. Will. Come. Back</t>
  </si>
  <si>
    <t>. -Kaitlyn Front Desk</t>
  </si>
  <si>
    <t>0....I never stayed there.</t>
  </si>
  <si>
    <t>(2/2) as HORRIBLE. Maybe 2 hours total. Those beds are way too small. Should be 2 queens not two twin or full. (1/2) 2. Someone should tell you that you can't fit 4 people in a two full bed room. We had one adult and one small child in each bed and the night of sleep w</t>
  </si>
  <si>
    <t>0 since you never actually answered my question</t>
  </si>
  <si>
    <t>(2/2) ion St Louis MO</t>
  </si>
  <si>
    <t>$38 for getting just some fruit at breakfast :(</t>
  </si>
  <si>
    <t>0 this is thee absolute worst experience that we have ever encountered at this hotel</t>
  </si>
  <si>
    <t>0 P.o.s. I've been at the airport since Monday night looking for my dog that YOU told me would be at gate 9</t>
  </si>
  <si>
    <t>0 I repeat I not a guest at your hotel.</t>
  </si>
  <si>
    <t>(2/2) ld never stay at the hotel again (1/2) I was charged a random 15.00 fee and also they attempted to charge me 20 dollars for parking when I had to park across the street. Horrible experience wou</t>
  </si>
  <si>
    <t>(1/2) I have 2 questions; 1) what time does the adult pool close this evening? 2) what is the latest we can check out tomorrow? As far as rating an 8. The DJ m (2/2) usic at the adult pool is too loud.</t>
  </si>
  <si>
    <t>0. I haven't checked in yet and the drive sucks ?</t>
  </si>
  <si>
    <t>0. Not coming until Thursday</t>
  </si>
  <si>
    <t>#5 rating as always. See you soon. LeVern????!</t>
  </si>
  <si>
    <t xml:space="preserve"> 5 ' Gr e a t j o b</t>
  </si>
  <si>
    <t>(5 ) resurve a room for tonight at5:00 Herb</t>
  </si>
  <si>
    <t>(1/4) 10 so far for the hotel. The breakfast in the restaurant was 7/ (2/4) 10. La llave de la ducha para el agua está en mal estado. Y la (4/4) ectar celulares o computadores en la área de la cama. (3/4) chapa del balcón de abajo esta dañada. No hay enchufes para con</t>
  </si>
  <si>
    <t>#10...is my rating for my stay.</t>
  </si>
  <si>
    <t>I guess this is an automated message because you told me you were closed yesterday and our reservation was being canceled</t>
  </si>
  <si>
    <t>(1/2) Its a 10 except for restaurant. The waiter didn't want to sit me down since i was just 1 person and there other tables available. It didn't matter if i wa (2/2) s just 1 person he should have sat me down at a table.</t>
  </si>
  <si>
    <t>(1/2) Hey! Probably want to wait to get our feedback bc the drain is still stopped up and our room hasn't been cleaned. The cleaning lady is coming in 30 (2/2) mins. can you send the maintenance guy here to unstop the drain. The am frontdesk guy told us he was coming at 10:30 am today..... Yolanda I. Smith</t>
  </si>
  <si>
    <t>-I have been very disappointed with the service. Yesterday when I arrived at 1 asked for the bags to be brought to the room. Returned at 5 and no bags. Ha -d to go to the front desk and remind them. Now sitting at Bar Luna for a salad. After 35 salad was brought with eggs and I specifically stated no eggs. I - expect better service as a resort of this caliber. 3</t>
  </si>
  <si>
    <t>#8 Salon doesn't answer phones gift shop closed a lot Nd too early water is $6.00 seriously!!!</t>
  </si>
  <si>
    <t>0 it's terrible here.</t>
  </si>
  <si>
    <t>- 10 That's minus 10 Got bad food poisoning in morimoto</t>
  </si>
  <si>
    <t>$119.00 a night is a great price but after resort fees, tax, and parking I paid $224.00. Makes no sense. I'm very disappointed in the final cost.</t>
  </si>
  <si>
    <t>.55, terrible. I'll never come back even if you paid me.</t>
  </si>
  <si>
    <t>We had to check out early the hvac was off. First floor freezing and second Floor boiling. Kids and parents had a rough night sleep. So packed up and went home. Wasn't a good stay. Hoping to come back when it's not so cold</t>
  </si>
  <si>
    <t>s good for the bellmen It was a great stay but very disappointed that ur property doesn't store bags. I travel a lot and that's the first time I have ever heard of that. But it</t>
  </si>
  <si>
    <t>(1/3) Uh....mmmmm....after 4 consecutive months, I am actually no long (2/3) er there! Checked our yesterday which is why you found the jacke (3/3) t?</t>
  </si>
  <si>
    <t>(1/3) We went last night to blue and it was very dissapointing. The steak was overcooked so we sent it back and the second time it was cooked well but didnt tas (2/3) te good at all. Also the pasta really wasnt good. We are celebrating our anniversary so i didnt want to complain. Also i called twoce yesterday since the (3/3) pool chair on our balcony was broken and no one ever came so we didnt even get to lay on it. Not to happy about it. I would give the stay a 3</t>
  </si>
  <si>
    <t>"-1". Terrible experience based on The same situation happening to my VP of marketing. We were sent to occupied rooms multiple times. I won't select you r properties again. Our food had fruit flies in it and should have been covered up. No need to contact me again.</t>
  </si>
  <si>
    <t>(1/2) I give a 1. I texted last night at 10:47pm that the hanging rack in Rm 5521 fell fown and we have no where to put our hanging clothes and it is 1:30 in t (2/2) he afternoon and it still has not been fixed.</t>
  </si>
  <si>
    <t>(1/2) Dawn, Our king size mattress was a little rough last night. The stay is at an 8. We are returning for labor day weekend, can I ask you to put us in the or (2/2) ginal HICV units with the fire places? Danny and Sheila Raddatz</t>
  </si>
  <si>
    <t>)That's a joke right?your hotel failed to tell us that you had a situation and we had to juggle around to rebook another hotel. The manner in which it was ) handle was completely delinquent</t>
  </si>
  <si>
    <t>-10. Worst stay and service ever.</t>
  </si>
  <si>
    <t>(1/2) It was a 5, however, we had an issue with the outlet in the bathroom, it was so loose it would not hold the plug for the hair dryer or curling iron very w (2/2) ell, kept falling out</t>
  </si>
  <si>
    <t>#5 ... Room is dated, have to run water for a while to get hot water, broken lamp, service at Blue bar was extremely slow. Power outage and room not clean #ed as of 12:30.</t>
  </si>
  <si>
    <t>(1/2) A 3 I'd say. Room wasn't totally clean and was not pleased about no free breakfast especially at the rates. Felt like robbery (2/2) honestly. Not pleased about construction on ferry either. :P</t>
  </si>
  <si>
    <t>(1/2) 1 -Stacey honestly I've had the worst experience ever at this Crowne Plaza. I'm here with a group today but I am an IHG member and have never experienced (2/2) such poor customer service. It is too much to text but feel free to give me a call and I will explain.</t>
  </si>
  <si>
    <t>(1/2) I would rate My stay as a 1 because there is no rate lower than that. I was in room 251 with view of housekeeping and the windows were so dirty we could (2/2) not see it anyway.</t>
  </si>
  <si>
    <t>(1/2) We're still having meal ticket issues. Our headcount is the same as it was at check-in, but some tickets must be stuck to others or lost. Please contact M</t>
  </si>
  <si>
    <t># 5 been disappointed the room isn't getting clean? We had to keep ask? Seemed odd for the this level hotel.</t>
  </si>
  <si>
    <t>. Had to complain to front desk twice. Room was not ready at checkin time. Rating 2</t>
  </si>
  <si>
    <t>(1/3) Last night was a 1. Someone walked into my room with a room key and hit the slider lock and ran. I checked the hallway immediately and know one was around (2/3) . Front desk said it was house keeping at 8:30 at night and went to the wrong room. They should have announced themselves then. Also this room is very lou (3/3) d. Not too forgiving for surrounding noise in lobby, next door, etc. Last time I stayed on the 3rd floor in the far hallway and it was very quiet.</t>
  </si>
  <si>
    <t>-1 no hot water this time. Last I was there the toilet ran all night. My organization Will not be booking with you again.</t>
  </si>
  <si>
    <t>.Hi...well the in room WiFi isn't working and I'm working from room ..so bit of inconvenience... But other than that and the weather cleared up...I'll say . an 8....do u know if WiFi is working yet???</t>
  </si>
  <si>
    <t>0. It was an epic failure and of no assistance whatsoever</t>
  </si>
  <si>
    <t>0 not only did no one know the answer but not one person in the airport offered to help. Even the golf cart lady who I was told would help denied us and rode by. It sucked</t>
  </si>
  <si>
    <t>0 didn't help us in any way.</t>
  </si>
  <si>
    <t>(1/2) 2 - we have not been impressed with our first Warlord experience. Had to wait until after 5pm for our room. We arrived at 3:30pm. We requested our rooms</t>
  </si>
  <si>
    <t>-even years or so. I think u should also know that many people including my whole family are very disappointed with the new menu and food at the pool is v -erience is so far. Thank u. Jody Rosen</t>
  </si>
  <si>
    <t>(1/2) 4. The elevator issue Friday was kind of inconvenient, but that was a situation that could not be helped by anyone. A guest from our group called friday</t>
  </si>
  <si>
    <t>-t view. It feels like NYC not Boca Raton. The vent in the bathroom is badly noisy and its 7 for a bottle of water.</t>
  </si>
  <si>
    <t>ps this trip 'Not happy look at issues I had and you might then understand I m not sure if return and I live 30 min away in past enjoyed your spa but had to many misha</t>
  </si>
  <si>
    <t>(1/2) 3.5 I personally loved everything but my husband was upset because we were 5 minutes late for the beer tasting last night and he still didn't get a beer. (2/2) 5 stars would have been given otherwise.</t>
  </si>
  <si>
    <t>(1/3) Kelly sorry to say at most I'll give you guys a 3. Your room cleaning staff leaves a lot to be desired. Do they know about vacuuming and dusting? The a/c (2/3) In my room broke and I slept in sweltering heat one night. They said it was fixed it wasnt. Had to threaten to leave following night then they moved me e (3/3) tc. Not happy!</t>
  </si>
  <si>
    <t>-1 we got eviction notice</t>
  </si>
  <si>
    <t>(1/2)Hi, you need a more granular scale or perhaps categories! If I'm forced to choose whole integers between 1 and 5 I have to say "3" but it's really more (2/2)like 3.5.</t>
  </si>
  <si>
    <t>(1/2) 3 due to the construction. I love the hotel and the staff but I had no idea the noise would impair my sleep. I have combat ptsd and sleep in the day but t (2/2) he noise reminds me of combat.</t>
  </si>
  <si>
    <t>(2/2) ecause the restaurant was full. We immediately called and got a reservation for the exact time we were looking for. Not impressed..... (1/2) Well... I find that this service isn't really that effective. We requested a table for 2 at Lucca and was text back that they could not accommodate us b</t>
  </si>
  <si>
    <t>!Except for this mornings breakfast it would have been a 10... Service from our server was terrible.. Only brought one bottle of water when there should h</t>
  </si>
  <si>
    <t>(1/2) 7, we had an issue with a shuttle driver, over salting over soup at dinner, maintenance thinking the room was empty (it does need a couple of repairs in (2/2) the bathroom). I guess our expectations are high after stays at other Waldorf properties.</t>
  </si>
  <si>
    <t>(1/3) Well I'm not totally satisfied ...for one I don't understand why there were coffee pots in the room but there were no filters and when I asked for some I (2/3) was told in so many words that I had to come downstairs to get some ....and I didn't like the fact that my card was charged for incidentals none of wich (3/3) was mentioned when I reserved the room. So at this moment I would have to say it's a 3. But this morning was better but still no coffee filters ..</t>
  </si>
  <si>
    <t>#ERROR! (Formula parse error.)</t>
  </si>
  <si>
    <t>Yes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</si>
</sst>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12.0"/>
      <color rgb="FF000000"/>
      <name val="Calibri"/>
    </font>
    <font>
      <b/>
      <color rgb="FFFFFFFF"/>
      <name val="Arial"/>
      <scheme val="minor"/>
    </font>
    <font>
      <sz val="12.0"/>
      <color rgb="FF000000"/>
      <name val="Calibri"/>
    </font>
    <font>
      <b/>
      <color theme="1"/>
      <name val="Arial"/>
      <scheme val="minor"/>
    </font>
  </fonts>
  <fills count="5">
    <fill>
      <patternFill patternType="none"/>
    </fill>
    <fill>
      <patternFill patternType="lightGray"/>
    </fill>
    <fill>
      <patternFill patternType="solid">
        <fgColor rgb="FFB7B7B7"/>
        <bgColor rgb="FFB7B7B7"/>
      </patternFill>
    </fill>
    <fill>
      <patternFill patternType="solid">
        <fgColor rgb="FF741B47"/>
        <bgColor rgb="FF741B47"/>
      </patternFill>
    </fill>
    <fill>
      <patternFill patternType="solid">
        <fgColor rgb="FFCFE2F3"/>
        <bgColor rgb="FFCFE2F3"/>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shrinkToFit="0" vertical="top" wrapText="0"/>
    </xf>
    <xf borderId="0" fillId="2" fontId="3" numFmtId="0" xfId="0" applyAlignment="1" applyFill="1" applyFont="1">
      <alignment horizontal="center" readingOrder="0"/>
    </xf>
    <xf borderId="0" fillId="0" fontId="2" numFmtId="0" xfId="0" applyAlignment="1" applyFont="1">
      <alignment horizontal="left" readingOrder="0" shrinkToFit="0" vertical="top" wrapText="1"/>
    </xf>
    <xf borderId="0" fillId="3" fontId="3" numFmtId="0" xfId="0" applyAlignment="1" applyFill="1" applyFont="1">
      <alignment horizontal="center" readingOrder="0" shrinkToFit="0" vertical="center" wrapText="1"/>
    </xf>
    <xf borderId="0" fillId="0" fontId="4" numFmtId="0" xfId="0" applyAlignment="1" applyFont="1">
      <alignment horizontal="left" readingOrder="0" shrinkToFit="0" vertical="top" wrapText="0"/>
    </xf>
    <xf borderId="0" fillId="0" fontId="4" numFmtId="0" xfId="0" applyAlignment="1" applyFont="1">
      <alignment horizontal="left" readingOrder="0" shrinkToFit="0" vertical="top" wrapText="1"/>
    </xf>
    <xf borderId="0" fillId="2" fontId="1" numFmtId="0" xfId="0" applyAlignment="1" applyFill="1" applyFont="1">
      <alignment readingOrder="0"/>
    </xf>
    <xf borderId="0" fillId="4" fontId="4" numFmtId="0" xfId="0" applyAlignment="1" applyFill="1" applyFont="1">
      <alignment horizontal="left" readingOrder="0" shrinkToFit="0" vertical="top" wrapText="0"/>
    </xf>
    <xf borderId="0" fillId="0" fontId="1" numFmtId="0" xfId="0" applyAlignment="1" applyFont="1">
      <alignment horizontal="center" readingOrder="0" shrinkToFit="0" vertical="center" wrapText="1"/>
    </xf>
    <xf borderId="0" fillId="4" fontId="4" numFmtId="0" xfId="0" applyAlignment="1" applyFill="1" applyFont="1">
      <alignment horizontal="left" readingOrder="0" shrinkToFit="0" vertical="top" wrapText="1"/>
    </xf>
    <xf borderId="0" fillId="0" fontId="1" numFmtId="0" xfId="0" applyAlignment="1" applyFont="1">
      <alignment horizontal="center" readingOrder="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horizontal="center" readingOrder="0" vertical="center"/>
    </xf>
    <xf quotePrefix="1" borderId="0" fillId="0" fontId="1" numFmtId="0" xfId="0" applyAlignment="1" applyFont="1">
      <alignment readingOrder="0"/>
    </xf>
    <xf borderId="0" fillId="0" fontId="5" numFmtId="0" xfId="0" applyAlignment="1" applyFont="1">
      <alignment horizontal="left" readingOrder="0" vertical="top"/>
    </xf>
    <xf borderId="0" fillId="0" fontId="5" numFmtId="0" xfId="0" applyAlignment="1" applyFont="1">
      <alignment horizontal="left" vertical="top"/>
    </xf>
    <xf borderId="0" fillId="0" fontId="1" numFmtId="0" xfId="0" applyAlignment="1" applyFont="1">
      <alignment horizontal="left" vertical="top"/>
    </xf>
    <xf borderId="0" fillId="0" fontId="4" numFmtId="0" xfId="0" applyAlignment="1" applyFont="1">
      <alignment horizontal="left" readingOrder="0" vertical="top"/>
    </xf>
    <xf borderId="0" fillId="4" fontId="4" numFmtId="0" xfId="0" applyAlignment="1" applyFill="1" applyFont="1">
      <alignment horizontal="left" readingOrder="0" vertical="top"/>
    </xf>
    <xf borderId="0" fillId="4" fontId="1" numFmtId="0" xfId="0" applyAlignment="1" applyFill="1" applyFont="1">
      <alignment horizontal="left" vertical="top"/>
    </xf>
    <xf borderId="0" fillId="0" fontId="1" numFmtId="0" xfId="0" applyAlignment="1" applyFont="1">
      <alignment horizontal="left" shrinkToFit="0" vertical="top" wrapText="1"/>
    </xf>
    <xf borderId="0" fillId="0" fontId="1" numFmtId="0" xfId="0" applyFont="1"/>
    <xf quotePrefix="1"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13"/>
  </cols>
  <sheetData>
    <row r="1">
      <c r="A1" s="1" t="s">
        <v>0</v>
      </c>
      <c r="B1" s="1" t="s">
        <v>1</v>
      </c>
      <c r="C1" s="1" t="s">
        <v>2</v>
      </c>
      <c r="D1" s="1" t="s">
        <v>3</v>
      </c>
    </row>
    <row r="2">
      <c r="A2" s="1">
        <v>571.0</v>
      </c>
      <c r="B2" s="1">
        <v>1.13327275E8</v>
      </c>
      <c r="C2" s="1">
        <v>4.92621248E8</v>
      </c>
      <c r="D2" s="1" t="s">
        <v>4</v>
      </c>
    </row>
    <row r="3">
      <c r="A3" s="1">
        <v>353.0</v>
      </c>
      <c r="B3" s="1">
        <v>1.13221299E8</v>
      </c>
      <c r="C3" s="1">
        <v>4.92539199E8</v>
      </c>
      <c r="D3" s="1" t="s">
        <v>5</v>
      </c>
    </row>
    <row r="4">
      <c r="A4" s="1">
        <v>671.0</v>
      </c>
      <c r="B4" s="1">
        <v>1.13164967E8</v>
      </c>
      <c r="C4" s="1">
        <v>4.91808169E8</v>
      </c>
      <c r="D4" s="1" t="s">
        <v>6</v>
      </c>
    </row>
    <row r="5">
      <c r="A5" s="1">
        <v>378.0</v>
      </c>
      <c r="B5" s="1">
        <v>1.13151122E8</v>
      </c>
      <c r="C5" s="1">
        <v>4.91725243E8</v>
      </c>
      <c r="D5" s="1" t="s">
        <v>7</v>
      </c>
    </row>
    <row r="6">
      <c r="A6" s="1">
        <v>455.0</v>
      </c>
      <c r="B6" s="1">
        <v>1.13113571E8</v>
      </c>
      <c r="C6" s="1">
        <v>4.91691324E8</v>
      </c>
      <c r="D6" s="1" t="s">
        <v>8</v>
      </c>
    </row>
    <row r="7">
      <c r="A7" s="1">
        <v>455.0</v>
      </c>
      <c r="B7" s="1">
        <v>1.13111134E8</v>
      </c>
      <c r="C7" s="1">
        <v>4.91400006E8</v>
      </c>
      <c r="D7" s="1" t="s">
        <v>9</v>
      </c>
    </row>
    <row r="8">
      <c r="A8" s="1">
        <v>414.0</v>
      </c>
      <c r="B8" s="1">
        <v>1.12969818E8</v>
      </c>
      <c r="C8" s="1">
        <v>4.90893757E8</v>
      </c>
      <c r="D8" s="1" t="s">
        <v>10</v>
      </c>
    </row>
    <row r="9">
      <c r="A9" s="1">
        <v>498.0</v>
      </c>
      <c r="B9" s="1">
        <v>1.12969807E8</v>
      </c>
      <c r="C9" s="1">
        <v>4.91177006E8</v>
      </c>
      <c r="D9" s="1" t="s">
        <v>11</v>
      </c>
    </row>
    <row r="10">
      <c r="A10" s="1">
        <v>492.0</v>
      </c>
      <c r="B10" s="1">
        <v>1.12949074E8</v>
      </c>
      <c r="C10" s="1">
        <v>4.90616212E8</v>
      </c>
      <c r="D10" s="1" t="s">
        <v>12</v>
      </c>
    </row>
    <row r="11">
      <c r="A11" s="1">
        <v>484.0</v>
      </c>
      <c r="B11" s="1">
        <v>1.12918296E8</v>
      </c>
      <c r="C11" s="1">
        <v>4.91682424E8</v>
      </c>
      <c r="D11" s="1" t="s">
        <v>13</v>
      </c>
    </row>
    <row r="12">
      <c r="A12" s="1">
        <v>531.0</v>
      </c>
      <c r="B12" s="1">
        <v>1.12905822E8</v>
      </c>
      <c r="C12" s="1">
        <v>4.90563386E8</v>
      </c>
      <c r="D12" s="1" t="s">
        <v>14</v>
      </c>
    </row>
    <row r="13">
      <c r="A13" s="1">
        <v>353.0</v>
      </c>
      <c r="B13" s="1">
        <v>1.12894917E8</v>
      </c>
      <c r="C13" s="1">
        <v>4.90925521E8</v>
      </c>
      <c r="D13" s="1" t="s">
        <v>15</v>
      </c>
    </row>
    <row r="14">
      <c r="A14" s="1">
        <v>320.0</v>
      </c>
      <c r="B14" s="1">
        <v>1.12843057E8</v>
      </c>
      <c r="C14" s="1">
        <v>4.90601249E8</v>
      </c>
      <c r="D14" s="1" t="s">
        <v>16</v>
      </c>
    </row>
    <row r="15">
      <c r="A15" s="1">
        <v>664.0</v>
      </c>
      <c r="B15" s="1">
        <v>1.12829974E8</v>
      </c>
      <c r="C15" s="1">
        <v>4.90252971E8</v>
      </c>
      <c r="D15" s="1" t="s">
        <v>17</v>
      </c>
    </row>
    <row r="16">
      <c r="A16" s="1">
        <v>671.0</v>
      </c>
      <c r="B16" s="1">
        <v>1.12777868E8</v>
      </c>
      <c r="C16" s="1">
        <v>4.89731588E8</v>
      </c>
      <c r="D16" s="1" t="s">
        <v>18</v>
      </c>
    </row>
    <row r="17">
      <c r="A17" s="1">
        <v>642.0</v>
      </c>
      <c r="B17" s="1">
        <v>1.1277686E8</v>
      </c>
      <c r="C17" s="1">
        <v>4.89775138E8</v>
      </c>
      <c r="D17" s="1" t="s">
        <v>19</v>
      </c>
    </row>
    <row r="18">
      <c r="A18" s="1">
        <v>654.0</v>
      </c>
      <c r="B18" s="1">
        <v>1.12643518E8</v>
      </c>
      <c r="C18" s="1">
        <v>4.89381042E8</v>
      </c>
      <c r="D18" s="1" t="s">
        <v>20</v>
      </c>
    </row>
    <row r="19">
      <c r="A19" s="1">
        <v>406.0</v>
      </c>
      <c r="B19" s="1">
        <v>1.12581111E8</v>
      </c>
      <c r="C19" s="1">
        <v>4.89412549E8</v>
      </c>
      <c r="D19" s="1" t="s">
        <v>21</v>
      </c>
    </row>
    <row r="20">
      <c r="A20" s="1">
        <v>498.0</v>
      </c>
      <c r="B20" s="1">
        <v>1.12577771E8</v>
      </c>
      <c r="C20" s="1">
        <v>4.89379003E8</v>
      </c>
      <c r="D20" s="1" t="s">
        <v>22</v>
      </c>
    </row>
    <row r="21">
      <c r="A21" s="1">
        <v>571.0</v>
      </c>
      <c r="B21" s="1">
        <v>1.12502412E8</v>
      </c>
      <c r="C21" s="1">
        <v>4.88792291E8</v>
      </c>
      <c r="D21" s="1" t="s">
        <v>23</v>
      </c>
    </row>
    <row r="22">
      <c r="A22" s="1">
        <v>654.0</v>
      </c>
      <c r="B22" s="1">
        <v>1.12445731E8</v>
      </c>
      <c r="C22" s="1">
        <v>4.88171844E8</v>
      </c>
      <c r="D22" s="1" t="s">
        <v>24</v>
      </c>
    </row>
    <row r="23">
      <c r="A23" s="1">
        <v>210.0</v>
      </c>
      <c r="B23" s="1">
        <v>1.12422211E8</v>
      </c>
      <c r="C23" s="1">
        <v>4.88544861E8</v>
      </c>
      <c r="D23" s="1" t="s">
        <v>25</v>
      </c>
    </row>
    <row r="24">
      <c r="A24" s="1">
        <v>674.0</v>
      </c>
      <c r="B24" s="1">
        <v>1.12407464E8</v>
      </c>
      <c r="C24" s="1">
        <v>4.88271951E8</v>
      </c>
      <c r="D24" s="1" t="s">
        <v>26</v>
      </c>
    </row>
    <row r="25">
      <c r="A25" s="1">
        <v>353.0</v>
      </c>
      <c r="B25" s="1">
        <v>1.12387945E8</v>
      </c>
      <c r="C25" s="1">
        <v>4.87876372E8</v>
      </c>
      <c r="D25" s="1" t="s">
        <v>27</v>
      </c>
    </row>
    <row r="26">
      <c r="A26" s="1">
        <v>173.0</v>
      </c>
      <c r="B26" s="1">
        <v>1.123795E8</v>
      </c>
      <c r="C26" s="1">
        <v>4.87937509E8</v>
      </c>
      <c r="D26" s="1" t="s">
        <v>28</v>
      </c>
    </row>
    <row r="27">
      <c r="A27" s="1">
        <v>546.0</v>
      </c>
      <c r="B27" s="1">
        <v>1.12375026E8</v>
      </c>
      <c r="C27" s="1">
        <v>4.87845181E8</v>
      </c>
      <c r="D27" s="1" t="s">
        <v>29</v>
      </c>
    </row>
    <row r="28">
      <c r="A28" s="1">
        <v>471.0</v>
      </c>
      <c r="B28" s="1">
        <v>1.12338961E8</v>
      </c>
      <c r="C28" s="1">
        <v>4.87815647E8</v>
      </c>
      <c r="D28" s="1" t="s">
        <v>30</v>
      </c>
    </row>
    <row r="29">
      <c r="A29" s="1">
        <v>353.0</v>
      </c>
      <c r="B29" s="1">
        <v>1.12302446E8</v>
      </c>
      <c r="C29" s="1">
        <v>4.87470806E8</v>
      </c>
      <c r="D29" s="1" t="s">
        <v>31</v>
      </c>
    </row>
    <row r="30">
      <c r="A30" s="1">
        <v>403.0</v>
      </c>
      <c r="B30" s="1">
        <v>1.12286041E8</v>
      </c>
      <c r="C30" s="1">
        <v>4.87399454E8</v>
      </c>
      <c r="D30" s="1" t="s">
        <v>32</v>
      </c>
    </row>
    <row r="31">
      <c r="A31" s="1">
        <v>578.0</v>
      </c>
      <c r="B31" s="1">
        <v>1.12266852E8</v>
      </c>
      <c r="C31" s="1">
        <v>4.87461413E8</v>
      </c>
      <c r="D31" s="1" t="s">
        <v>33</v>
      </c>
    </row>
    <row r="32">
      <c r="A32" s="1">
        <v>337.0</v>
      </c>
      <c r="B32" s="1">
        <v>1.12260359E8</v>
      </c>
      <c r="C32" s="1">
        <v>4.87851609E8</v>
      </c>
      <c r="D32" s="1" t="s">
        <v>34</v>
      </c>
    </row>
    <row r="33">
      <c r="A33" s="1">
        <v>664.0</v>
      </c>
      <c r="B33" s="1">
        <v>1.12219081E8</v>
      </c>
      <c r="C33" s="1">
        <v>4.87409415E8</v>
      </c>
      <c r="D33" s="1" t="s">
        <v>35</v>
      </c>
    </row>
    <row r="34">
      <c r="A34" s="1">
        <v>492.0</v>
      </c>
      <c r="B34" s="1">
        <v>1.12173021E8</v>
      </c>
      <c r="C34" s="1">
        <v>4.87139911E8</v>
      </c>
      <c r="D34" s="1" t="s">
        <v>36</v>
      </c>
    </row>
    <row r="35">
      <c r="A35" s="1">
        <v>421.0</v>
      </c>
      <c r="B35" s="1">
        <v>1.12028709E8</v>
      </c>
      <c r="C35" s="1">
        <v>4.86144072E8</v>
      </c>
      <c r="D35" s="1" t="s">
        <v>37</v>
      </c>
    </row>
    <row r="36">
      <c r="A36" s="1">
        <v>672.0</v>
      </c>
      <c r="B36" s="1">
        <v>1.12028521E8</v>
      </c>
      <c r="C36" s="1">
        <v>4.86803187E8</v>
      </c>
      <c r="D36" s="1" t="s">
        <v>38</v>
      </c>
    </row>
    <row r="37">
      <c r="A37" s="1">
        <v>462.0</v>
      </c>
      <c r="B37" s="1">
        <v>1.11973723E8</v>
      </c>
      <c r="C37" s="1">
        <v>4.85893183E8</v>
      </c>
      <c r="D37" s="1" t="s">
        <v>39</v>
      </c>
    </row>
    <row r="38">
      <c r="A38" s="1">
        <v>504.0</v>
      </c>
      <c r="B38" s="1">
        <v>1.11927754E8</v>
      </c>
      <c r="C38" s="1">
        <v>4.85822341E8</v>
      </c>
      <c r="D38" s="1" t="s">
        <v>40</v>
      </c>
    </row>
    <row r="39">
      <c r="A39" s="1">
        <v>531.0</v>
      </c>
      <c r="B39" s="1">
        <v>1.11844644E8</v>
      </c>
      <c r="C39" s="1">
        <v>4.85479787E8</v>
      </c>
      <c r="D39" s="1" t="s">
        <v>41</v>
      </c>
    </row>
    <row r="40">
      <c r="A40" s="1">
        <v>578.0</v>
      </c>
      <c r="B40" s="1">
        <v>1.11531113E8</v>
      </c>
      <c r="C40" s="1">
        <v>4.83691469E8</v>
      </c>
      <c r="D40" s="1" t="s">
        <v>42</v>
      </c>
    </row>
    <row r="41">
      <c r="A41" s="1">
        <v>671.0</v>
      </c>
      <c r="B41" s="1">
        <v>1.11519396E8</v>
      </c>
      <c r="C41" s="1">
        <v>4.83753839E8</v>
      </c>
      <c r="D41" s="1" t="s">
        <v>43</v>
      </c>
    </row>
    <row r="42">
      <c r="A42" s="1">
        <v>484.0</v>
      </c>
      <c r="B42" s="1">
        <v>1.11497922E8</v>
      </c>
      <c r="C42" s="1">
        <v>4.8366465E8</v>
      </c>
      <c r="D42" s="1" t="s">
        <v>44</v>
      </c>
    </row>
    <row r="43">
      <c r="A43" s="1">
        <v>173.0</v>
      </c>
      <c r="B43" s="1">
        <v>1.11390868E8</v>
      </c>
      <c r="C43" s="1">
        <v>4.8346514E8</v>
      </c>
      <c r="D43" s="1" t="s">
        <v>45</v>
      </c>
    </row>
    <row r="44">
      <c r="A44" s="1">
        <v>608.0</v>
      </c>
      <c r="B44" s="1">
        <v>1.11363695E8</v>
      </c>
      <c r="C44" s="1">
        <v>4.83056597E8</v>
      </c>
      <c r="D44" s="1" t="s">
        <v>46</v>
      </c>
    </row>
    <row r="45">
      <c r="A45" s="1">
        <v>578.0</v>
      </c>
      <c r="B45" s="1">
        <v>1.11221619E8</v>
      </c>
      <c r="C45" s="1">
        <v>4.82603203E8</v>
      </c>
      <c r="D45" s="1" t="s">
        <v>47</v>
      </c>
    </row>
    <row r="46">
      <c r="A46" s="1">
        <v>571.0</v>
      </c>
      <c r="B46" s="1">
        <v>1.11199175E8</v>
      </c>
      <c r="C46" s="1">
        <v>4.82723896E8</v>
      </c>
      <c r="D46" s="1" t="s">
        <v>48</v>
      </c>
    </row>
    <row r="47">
      <c r="A47" s="1">
        <v>403.0</v>
      </c>
      <c r="B47" s="1">
        <v>1.11159859E8</v>
      </c>
      <c r="C47" s="1">
        <v>4.81931447E8</v>
      </c>
      <c r="D47" s="1" t="s">
        <v>49</v>
      </c>
    </row>
    <row r="48">
      <c r="A48" s="1">
        <v>565.0</v>
      </c>
      <c r="B48" s="1">
        <v>1.11144719E8</v>
      </c>
      <c r="C48" s="1">
        <v>4.81969969E8</v>
      </c>
      <c r="D48" s="1" t="s">
        <v>50</v>
      </c>
    </row>
    <row r="49">
      <c r="A49" s="1">
        <v>673.0</v>
      </c>
      <c r="B49" s="1">
        <v>1.1109058E8</v>
      </c>
      <c r="C49" s="1">
        <v>4.81936124E8</v>
      </c>
      <c r="D49" s="1" t="s">
        <v>51</v>
      </c>
    </row>
    <row r="50">
      <c r="A50" s="1">
        <v>129.0</v>
      </c>
      <c r="B50" s="1">
        <v>1.11038864E8</v>
      </c>
      <c r="C50" s="1">
        <v>4.81285368E8</v>
      </c>
      <c r="D50" s="1" t="s">
        <v>52</v>
      </c>
    </row>
    <row r="51">
      <c r="A51" s="1">
        <v>380.0</v>
      </c>
      <c r="B51" s="1">
        <v>1.11033043E8</v>
      </c>
      <c r="C51" s="1">
        <v>4.81325712E8</v>
      </c>
      <c r="D51" s="1" t="s">
        <v>53</v>
      </c>
    </row>
    <row r="52">
      <c r="A52" s="1">
        <v>630.0</v>
      </c>
      <c r="B52" s="1">
        <v>1.10966805E8</v>
      </c>
      <c r="C52" s="1">
        <v>4.82035305E8</v>
      </c>
      <c r="D52" s="1" t="s">
        <v>55</v>
      </c>
    </row>
    <row r="53">
      <c r="A53" s="1">
        <v>571.0</v>
      </c>
      <c r="B53" s="1">
        <v>1.10910703E8</v>
      </c>
      <c r="C53" s="1">
        <v>4.81346712E8</v>
      </c>
      <c r="D53" s="1" t="s">
        <v>56</v>
      </c>
    </row>
    <row r="54">
      <c r="A54" s="1">
        <v>671.0</v>
      </c>
      <c r="B54" s="1">
        <v>1.1087744E8</v>
      </c>
      <c r="C54" s="1">
        <v>4.80631967E8</v>
      </c>
      <c r="D54" s="1" t="s">
        <v>57</v>
      </c>
    </row>
    <row r="55">
      <c r="A55" s="1">
        <v>410.0</v>
      </c>
      <c r="B55" s="1">
        <v>1.10863928E8</v>
      </c>
      <c r="C55" s="1">
        <v>4.80605861E8</v>
      </c>
      <c r="D55" s="1" t="s">
        <v>58</v>
      </c>
    </row>
    <row r="56">
      <c r="A56" s="1">
        <v>410.0</v>
      </c>
      <c r="B56" s="1">
        <v>1.10861658E8</v>
      </c>
      <c r="C56" s="1">
        <v>4.80664402E8</v>
      </c>
      <c r="D56" s="1" t="s">
        <v>59</v>
      </c>
    </row>
    <row r="57">
      <c r="A57" s="1">
        <v>380.0</v>
      </c>
      <c r="B57" s="1">
        <v>1.10859117E8</v>
      </c>
      <c r="C57" s="1">
        <v>4.80910596E8</v>
      </c>
      <c r="D57" s="1" t="s">
        <v>60</v>
      </c>
    </row>
    <row r="58">
      <c r="A58" s="1">
        <v>410.0</v>
      </c>
      <c r="B58" s="1">
        <v>1.10807741E8</v>
      </c>
      <c r="C58" s="1">
        <v>4.80629221E8</v>
      </c>
      <c r="D58" s="1" t="s">
        <v>61</v>
      </c>
    </row>
    <row r="59">
      <c r="A59" s="1">
        <v>421.0</v>
      </c>
      <c r="B59" s="1">
        <v>1.107938E8</v>
      </c>
      <c r="C59" s="1">
        <v>4.80183175E8</v>
      </c>
      <c r="D59" s="1" t="s">
        <v>62</v>
      </c>
    </row>
    <row r="60">
      <c r="A60" s="1">
        <v>462.0</v>
      </c>
      <c r="B60" s="1">
        <v>1.10663431E8</v>
      </c>
      <c r="C60" s="1">
        <v>4.79499623E8</v>
      </c>
      <c r="D60" s="1" t="s">
        <v>63</v>
      </c>
    </row>
    <row r="61">
      <c r="A61" s="1">
        <v>597.0</v>
      </c>
      <c r="B61" s="1">
        <v>1.1063176E8</v>
      </c>
      <c r="C61" s="1">
        <v>4.79464958E8</v>
      </c>
      <c r="D61" s="1" t="s">
        <v>64</v>
      </c>
    </row>
    <row r="62">
      <c r="A62" s="1">
        <v>656.0</v>
      </c>
      <c r="B62" s="1">
        <v>1.10625058E8</v>
      </c>
      <c r="C62" s="1">
        <v>4.79773472E8</v>
      </c>
      <c r="D62" s="1" t="s">
        <v>66</v>
      </c>
    </row>
    <row r="63">
      <c r="A63" s="1">
        <v>410.0</v>
      </c>
      <c r="B63" s="1">
        <v>1.10495819E8</v>
      </c>
      <c r="C63" s="1">
        <v>4.79534411E8</v>
      </c>
      <c r="D63" s="1" t="s">
        <v>67</v>
      </c>
    </row>
    <row r="64">
      <c r="A64" s="1">
        <v>173.0</v>
      </c>
      <c r="B64" s="1">
        <v>1.10388959E8</v>
      </c>
      <c r="C64" s="1">
        <v>4.78185506E8</v>
      </c>
      <c r="D64" s="1" t="s">
        <v>68</v>
      </c>
    </row>
    <row r="65">
      <c r="A65" s="1">
        <v>673.0</v>
      </c>
      <c r="B65" s="1">
        <v>1.10385847E8</v>
      </c>
      <c r="C65" s="1">
        <v>4.7812891E8</v>
      </c>
      <c r="D65" s="1" t="s">
        <v>69</v>
      </c>
    </row>
    <row r="66">
      <c r="A66" s="1">
        <v>173.0</v>
      </c>
      <c r="B66" s="1">
        <v>1.10382509E8</v>
      </c>
      <c r="C66" s="1">
        <v>4.7813281E8</v>
      </c>
      <c r="D66" s="1" t="s">
        <v>72</v>
      </c>
    </row>
    <row r="67">
      <c r="A67" s="1">
        <v>671.0</v>
      </c>
      <c r="B67" s="1">
        <v>1.10304241E8</v>
      </c>
      <c r="C67" s="1">
        <v>4.78179075E8</v>
      </c>
      <c r="D67" s="1" t="s">
        <v>73</v>
      </c>
    </row>
    <row r="68">
      <c r="A68" s="1">
        <v>173.0</v>
      </c>
      <c r="B68" s="1">
        <v>1.10285874E8</v>
      </c>
      <c r="C68" s="1">
        <v>4.78246264E8</v>
      </c>
      <c r="D68" s="1" t="s">
        <v>74</v>
      </c>
    </row>
    <row r="69">
      <c r="A69" s="1">
        <v>610.0</v>
      </c>
      <c r="B69" s="1">
        <v>1.10261558E8</v>
      </c>
      <c r="C69" s="1">
        <v>4.7761698E8</v>
      </c>
      <c r="D69" s="1" t="s">
        <v>75</v>
      </c>
    </row>
    <row r="70">
      <c r="A70" s="1">
        <v>602.0</v>
      </c>
      <c r="B70" s="1">
        <v>1.10248734E8</v>
      </c>
      <c r="C70" s="1">
        <v>4.77672832E8</v>
      </c>
      <c r="D70" s="1" t="s">
        <v>76</v>
      </c>
    </row>
    <row r="71">
      <c r="A71" s="1">
        <v>410.0</v>
      </c>
      <c r="B71" s="1">
        <v>1.10243733E8</v>
      </c>
      <c r="C71" s="1">
        <v>4.7770147E8</v>
      </c>
      <c r="D71" s="1" t="s">
        <v>80</v>
      </c>
    </row>
    <row r="72">
      <c r="A72" s="1">
        <v>475.0</v>
      </c>
      <c r="B72" s="1">
        <v>1.10188187E8</v>
      </c>
      <c r="C72" s="1">
        <v>4.77285793E8</v>
      </c>
      <c r="D72" s="1" t="s">
        <v>82</v>
      </c>
    </row>
    <row r="73">
      <c r="A73" s="1">
        <v>587.0</v>
      </c>
      <c r="B73" s="1">
        <v>1.10126373E8</v>
      </c>
      <c r="C73" s="1">
        <v>4.77779188E8</v>
      </c>
      <c r="D73" s="1" t="s">
        <v>84</v>
      </c>
    </row>
    <row r="74">
      <c r="A74" s="1">
        <v>504.0</v>
      </c>
      <c r="B74" s="1">
        <v>1.10117979E8</v>
      </c>
      <c r="C74" s="1">
        <v>4.76890084E8</v>
      </c>
      <c r="D74" s="1" t="s">
        <v>87</v>
      </c>
    </row>
    <row r="75">
      <c r="A75" s="1">
        <v>602.0</v>
      </c>
      <c r="B75" s="1">
        <v>1.10043062E8</v>
      </c>
      <c r="C75" s="1">
        <v>4.7697864E8</v>
      </c>
      <c r="D75" s="1" t="s">
        <v>89</v>
      </c>
    </row>
    <row r="76">
      <c r="A76" s="1">
        <v>671.0</v>
      </c>
      <c r="B76" s="1">
        <v>1.10036303E8</v>
      </c>
      <c r="C76" s="1">
        <v>4.76684772E8</v>
      </c>
      <c r="D76" s="1" t="s">
        <v>91</v>
      </c>
    </row>
    <row r="77">
      <c r="A77" s="1">
        <v>484.0</v>
      </c>
      <c r="B77" s="1">
        <v>1.09998961E8</v>
      </c>
      <c r="C77" s="1">
        <v>4.76230992E8</v>
      </c>
      <c r="D77" s="1" t="s">
        <v>92</v>
      </c>
    </row>
    <row r="78">
      <c r="A78" s="1">
        <v>673.0</v>
      </c>
      <c r="B78" s="1">
        <v>1.09933862E8</v>
      </c>
      <c r="C78" s="1">
        <v>4.76600301E8</v>
      </c>
      <c r="D78" s="1" t="s">
        <v>93</v>
      </c>
    </row>
    <row r="79">
      <c r="A79" s="1">
        <v>532.0</v>
      </c>
      <c r="B79" s="1">
        <v>1.09931454E8</v>
      </c>
      <c r="C79" s="1">
        <v>4.75934652E8</v>
      </c>
      <c r="D79" s="1" t="s">
        <v>94</v>
      </c>
    </row>
    <row r="80">
      <c r="A80" s="1">
        <v>353.0</v>
      </c>
      <c r="B80" s="1">
        <v>1.09907027E8</v>
      </c>
      <c r="C80" s="1">
        <v>4.75958897E8</v>
      </c>
      <c r="D80" s="1" t="s">
        <v>96</v>
      </c>
    </row>
    <row r="81">
      <c r="A81" s="1">
        <v>602.0</v>
      </c>
      <c r="B81" s="1">
        <v>1.09883297E8</v>
      </c>
      <c r="C81" s="1">
        <v>4.7599837E8</v>
      </c>
      <c r="D81" s="1" t="s">
        <v>98</v>
      </c>
    </row>
    <row r="82">
      <c r="A82" s="1">
        <v>602.0</v>
      </c>
      <c r="B82" s="1">
        <v>1.0978176E8</v>
      </c>
      <c r="C82" s="1">
        <v>4.75600785E8</v>
      </c>
      <c r="D82" s="1" t="s">
        <v>100</v>
      </c>
    </row>
    <row r="83">
      <c r="A83" s="1">
        <v>587.0</v>
      </c>
      <c r="B83" s="1">
        <v>1.09657484E8</v>
      </c>
      <c r="C83" s="1">
        <v>4.74695531E8</v>
      </c>
      <c r="D83" s="1" t="s">
        <v>103</v>
      </c>
    </row>
    <row r="84">
      <c r="A84" s="1">
        <v>593.0</v>
      </c>
      <c r="B84" s="1">
        <v>1.09656071E8</v>
      </c>
      <c r="C84" s="1">
        <v>4.75152091E8</v>
      </c>
      <c r="D84" s="1" t="s">
        <v>106</v>
      </c>
    </row>
    <row r="85">
      <c r="A85" s="1">
        <v>565.0</v>
      </c>
      <c r="B85" s="1">
        <v>1.09536931E8</v>
      </c>
      <c r="C85" s="1">
        <v>4.74008583E8</v>
      </c>
      <c r="D85" s="1" t="s">
        <v>108</v>
      </c>
    </row>
    <row r="86">
      <c r="A86" s="1">
        <v>671.0</v>
      </c>
      <c r="B86" s="1">
        <v>1.0945217E8</v>
      </c>
      <c r="C86" s="1">
        <v>4.7559412E8</v>
      </c>
      <c r="D86" s="1" t="s">
        <v>110</v>
      </c>
    </row>
    <row r="87">
      <c r="A87" s="1">
        <v>578.0</v>
      </c>
      <c r="B87" s="1">
        <v>1.0943839E8</v>
      </c>
      <c r="C87" s="1">
        <v>4.73614684E8</v>
      </c>
      <c r="D87" s="1" t="s">
        <v>112</v>
      </c>
    </row>
    <row r="88">
      <c r="A88" s="1">
        <v>587.0</v>
      </c>
      <c r="B88" s="1">
        <v>1.09376334E8</v>
      </c>
      <c r="C88" s="1">
        <v>4.74037573E8</v>
      </c>
      <c r="D88" s="1" t="s">
        <v>115</v>
      </c>
    </row>
    <row r="89">
      <c r="A89" s="1">
        <v>570.0</v>
      </c>
      <c r="B89" s="1">
        <v>1.09354757E8</v>
      </c>
      <c r="C89" s="1">
        <v>4.73605402E8</v>
      </c>
      <c r="D89" s="1" t="s">
        <v>117</v>
      </c>
    </row>
    <row r="90">
      <c r="A90" s="1">
        <v>571.0</v>
      </c>
      <c r="B90" s="1">
        <v>1.09347708E8</v>
      </c>
      <c r="C90" s="1">
        <v>4.73286041E8</v>
      </c>
      <c r="D90" s="1" t="s">
        <v>120</v>
      </c>
    </row>
    <row r="91">
      <c r="A91" s="1">
        <v>569.0</v>
      </c>
      <c r="B91" s="1">
        <v>1.09220558E8</v>
      </c>
      <c r="C91" s="1">
        <v>4.72436482E8</v>
      </c>
      <c r="D91" s="1" t="s">
        <v>123</v>
      </c>
    </row>
    <row r="92">
      <c r="A92" s="1">
        <v>671.0</v>
      </c>
      <c r="B92" s="1">
        <v>1.09209423E8</v>
      </c>
      <c r="C92" s="1">
        <v>4.72523444E8</v>
      </c>
      <c r="D92" s="1" t="s">
        <v>125</v>
      </c>
    </row>
    <row r="93">
      <c r="A93" s="1">
        <v>672.0</v>
      </c>
      <c r="B93" s="1">
        <v>1.09179402E8</v>
      </c>
      <c r="C93" s="1">
        <v>4.72414921E8</v>
      </c>
      <c r="D93" s="17" t="s">
        <v>128</v>
      </c>
    </row>
    <row r="94">
      <c r="A94" s="1">
        <v>380.0</v>
      </c>
      <c r="B94" s="1">
        <v>1.091516E8</v>
      </c>
      <c r="C94" s="1">
        <v>4.72453688E8</v>
      </c>
      <c r="D94" s="1" t="s">
        <v>133</v>
      </c>
    </row>
    <row r="95">
      <c r="A95" s="1">
        <v>630.0</v>
      </c>
      <c r="B95" s="1">
        <v>1.09142691E8</v>
      </c>
      <c r="C95" s="1">
        <v>4.72689859E8</v>
      </c>
      <c r="D95" s="1" t="s">
        <v>137</v>
      </c>
    </row>
    <row r="96">
      <c r="A96" s="1">
        <v>602.0</v>
      </c>
      <c r="B96" s="1">
        <v>1.09134818E8</v>
      </c>
      <c r="C96" s="1">
        <v>4.72072568E8</v>
      </c>
      <c r="D96" s="1" t="s">
        <v>140</v>
      </c>
    </row>
    <row r="97">
      <c r="A97" s="1">
        <v>471.0</v>
      </c>
      <c r="B97" s="1">
        <v>1.090967E8</v>
      </c>
      <c r="C97" s="1">
        <v>4.72029125E8</v>
      </c>
      <c r="D97" s="1" t="s">
        <v>142</v>
      </c>
    </row>
    <row r="98">
      <c r="A98" s="1">
        <v>414.0</v>
      </c>
      <c r="B98" s="1">
        <v>1.09091628E8</v>
      </c>
      <c r="C98" s="1">
        <v>4.72015291E8</v>
      </c>
      <c r="D98" s="1" t="s">
        <v>152</v>
      </c>
    </row>
    <row r="99">
      <c r="A99" s="1">
        <v>602.0</v>
      </c>
      <c r="B99" s="1">
        <v>1.08921112E8</v>
      </c>
      <c r="C99" s="1">
        <v>4.71101539E8</v>
      </c>
      <c r="D99" s="1" t="s">
        <v>155</v>
      </c>
    </row>
    <row r="100">
      <c r="A100" s="1">
        <v>531.0</v>
      </c>
      <c r="B100" s="1">
        <v>1.08905476E8</v>
      </c>
      <c r="C100" s="1">
        <v>4.71414856E8</v>
      </c>
      <c r="D100" s="1" t="s">
        <v>159</v>
      </c>
    </row>
    <row r="101">
      <c r="A101" s="1">
        <v>129.0</v>
      </c>
      <c r="B101" s="1">
        <v>1.0890342E8</v>
      </c>
      <c r="C101" s="1">
        <v>4.71005698E8</v>
      </c>
      <c r="D101" s="1" t="s">
        <v>163</v>
      </c>
    </row>
    <row r="102">
      <c r="A102" s="1">
        <v>656.0</v>
      </c>
      <c r="B102" s="1">
        <v>1.08900605E8</v>
      </c>
      <c r="C102" s="1">
        <v>4.7204967E8</v>
      </c>
      <c r="D102" s="1" t="s">
        <v>164</v>
      </c>
    </row>
    <row r="103">
      <c r="A103" s="1">
        <v>565.0</v>
      </c>
      <c r="B103" s="1">
        <v>1.08810567E8</v>
      </c>
      <c r="C103" s="1">
        <v>4.71039227E8</v>
      </c>
      <c r="D103" s="1" t="s">
        <v>167</v>
      </c>
    </row>
    <row r="104">
      <c r="A104" s="1">
        <v>671.0</v>
      </c>
      <c r="B104" s="1">
        <v>1.08785522E8</v>
      </c>
      <c r="C104" s="1">
        <v>4.70340786E8</v>
      </c>
      <c r="D104" s="1" t="s">
        <v>169</v>
      </c>
    </row>
    <row r="105">
      <c r="A105" s="1">
        <v>531.0</v>
      </c>
      <c r="B105" s="1">
        <v>1.08656934E8</v>
      </c>
      <c r="C105" s="1">
        <v>4.69879614E8</v>
      </c>
      <c r="D105" s="1" t="s">
        <v>171</v>
      </c>
    </row>
    <row r="106">
      <c r="A106" s="1">
        <v>120.0</v>
      </c>
      <c r="B106" s="1">
        <v>1.08613329E8</v>
      </c>
      <c r="C106" s="1">
        <v>4.69797071E8</v>
      </c>
      <c r="D106" s="1" t="s">
        <v>174</v>
      </c>
    </row>
    <row r="107">
      <c r="A107" s="1">
        <v>410.0</v>
      </c>
      <c r="B107" s="1">
        <v>1.08441861E8</v>
      </c>
      <c r="C107" s="1">
        <v>4.68563263E8</v>
      </c>
      <c r="D107" s="1" t="s">
        <v>176</v>
      </c>
    </row>
    <row r="108">
      <c r="A108" s="1">
        <v>353.0</v>
      </c>
      <c r="B108" s="1">
        <v>1.08429832E8</v>
      </c>
      <c r="C108" s="1">
        <v>4.69580999E8</v>
      </c>
      <c r="D108" s="1" t="s">
        <v>179</v>
      </c>
    </row>
    <row r="109">
      <c r="A109" s="1">
        <v>665.0</v>
      </c>
      <c r="B109" s="1">
        <v>1.08429618E8</v>
      </c>
      <c r="C109" s="1">
        <v>4.68601399E8</v>
      </c>
      <c r="D109" s="1" t="s">
        <v>180</v>
      </c>
    </row>
    <row r="110">
      <c r="A110" s="1">
        <v>353.0</v>
      </c>
      <c r="B110" s="1">
        <v>1.08421282E8</v>
      </c>
      <c r="C110" s="1">
        <v>4.68536566E8</v>
      </c>
      <c r="D110" s="1" t="s">
        <v>182</v>
      </c>
    </row>
    <row r="111">
      <c r="A111" s="1">
        <v>672.0</v>
      </c>
      <c r="B111" s="1">
        <v>1.08326361E8</v>
      </c>
      <c r="C111" s="1">
        <v>4.68141228E8</v>
      </c>
      <c r="D111" s="1" t="s">
        <v>185</v>
      </c>
    </row>
    <row r="112">
      <c r="A112" s="1">
        <v>587.0</v>
      </c>
      <c r="B112" s="1">
        <v>1.08315268E8</v>
      </c>
      <c r="C112" s="1">
        <v>4.68174388E8</v>
      </c>
      <c r="D112" s="1" t="s">
        <v>186</v>
      </c>
    </row>
    <row r="113">
      <c r="A113" s="1">
        <v>353.0</v>
      </c>
      <c r="B113" s="1">
        <v>1.08270326E8</v>
      </c>
      <c r="C113" s="1">
        <v>4.68165541E8</v>
      </c>
      <c r="D113" s="1" t="s">
        <v>190</v>
      </c>
    </row>
    <row r="114">
      <c r="A114" s="1">
        <v>673.0</v>
      </c>
      <c r="B114" s="1">
        <v>1.08267063E8</v>
      </c>
      <c r="C114" s="1">
        <v>4.68507704E8</v>
      </c>
      <c r="D114" s="1" t="s">
        <v>192</v>
      </c>
    </row>
    <row r="115">
      <c r="A115" s="1">
        <v>474.0</v>
      </c>
      <c r="B115" s="1">
        <v>1.08220987E8</v>
      </c>
      <c r="C115" s="1">
        <v>4.67680888E8</v>
      </c>
      <c r="D115" s="1" t="s">
        <v>195</v>
      </c>
    </row>
    <row r="116">
      <c r="A116" s="1">
        <v>578.0</v>
      </c>
      <c r="B116" s="1">
        <v>1.08117093E8</v>
      </c>
      <c r="C116" s="1">
        <v>4.68118624E8</v>
      </c>
      <c r="D116" s="1" t="s">
        <v>197</v>
      </c>
    </row>
    <row r="117">
      <c r="A117" s="1">
        <v>602.0</v>
      </c>
      <c r="B117" s="1">
        <v>1.08109263E8</v>
      </c>
      <c r="C117" s="1">
        <v>4.67327935E8</v>
      </c>
      <c r="D117" s="1" t="s">
        <v>200</v>
      </c>
    </row>
    <row r="118">
      <c r="A118" s="1">
        <v>210.0</v>
      </c>
      <c r="B118" s="1">
        <v>1.0809609E8</v>
      </c>
      <c r="C118" s="1">
        <v>4.66956327E8</v>
      </c>
      <c r="D118" s="1" t="s">
        <v>203</v>
      </c>
    </row>
    <row r="119">
      <c r="A119" s="1">
        <v>210.0</v>
      </c>
      <c r="B119" s="1">
        <v>1.08091161E8</v>
      </c>
      <c r="C119" s="1">
        <v>4.67376081E8</v>
      </c>
      <c r="D119" s="1" t="s">
        <v>205</v>
      </c>
    </row>
    <row r="120">
      <c r="A120" s="1">
        <v>392.0</v>
      </c>
      <c r="B120" s="1">
        <v>1.08084036E8</v>
      </c>
      <c r="C120" s="1">
        <v>4.68198038E8</v>
      </c>
      <c r="D120" s="1" t="s">
        <v>208</v>
      </c>
    </row>
    <row r="121">
      <c r="A121" s="1">
        <v>414.0</v>
      </c>
      <c r="B121" s="1">
        <v>1.080553E8</v>
      </c>
      <c r="C121" s="1">
        <v>4.66858398E8</v>
      </c>
      <c r="D121" s="1" t="s">
        <v>210</v>
      </c>
    </row>
    <row r="122">
      <c r="A122" s="1">
        <v>587.0</v>
      </c>
      <c r="B122" s="1">
        <v>1.08048976E8</v>
      </c>
      <c r="C122" s="1">
        <v>4.695626E8</v>
      </c>
      <c r="D122" s="1" t="s">
        <v>213</v>
      </c>
    </row>
    <row r="123">
      <c r="A123" s="1">
        <v>571.0</v>
      </c>
      <c r="B123" s="1">
        <v>1.0787441E8</v>
      </c>
      <c r="C123" s="1">
        <v>4.66215642E8</v>
      </c>
      <c r="D123" s="1" t="s">
        <v>214</v>
      </c>
    </row>
    <row r="124">
      <c r="A124" s="1">
        <v>407.0</v>
      </c>
      <c r="B124" s="1">
        <v>1.078274E8</v>
      </c>
      <c r="C124" s="1">
        <v>4.65526301E8</v>
      </c>
      <c r="D124" s="1" t="s">
        <v>215</v>
      </c>
    </row>
    <row r="125">
      <c r="A125" s="1">
        <v>194.0</v>
      </c>
      <c r="B125" s="1">
        <v>1.07820709E8</v>
      </c>
      <c r="C125" s="1">
        <v>4.65469603E8</v>
      </c>
      <c r="D125" s="1" t="s">
        <v>218</v>
      </c>
    </row>
    <row r="126">
      <c r="A126" s="1">
        <v>677.0</v>
      </c>
      <c r="B126" s="1">
        <v>1.07762835E8</v>
      </c>
      <c r="C126" s="1">
        <v>4.65075021E8</v>
      </c>
      <c r="D126" s="1" t="s">
        <v>219</v>
      </c>
    </row>
    <row r="127">
      <c r="A127" s="1">
        <v>546.0</v>
      </c>
      <c r="B127" s="1">
        <v>1.07753035E8</v>
      </c>
      <c r="C127" s="1">
        <v>4.65195203E8</v>
      </c>
      <c r="D127" s="1" t="s">
        <v>221</v>
      </c>
    </row>
    <row r="128">
      <c r="A128" s="1">
        <v>353.0</v>
      </c>
      <c r="B128" s="1">
        <v>1.07747725E8</v>
      </c>
      <c r="C128" s="1">
        <v>4.65117107E8</v>
      </c>
      <c r="D128" s="1" t="s">
        <v>224</v>
      </c>
    </row>
    <row r="129">
      <c r="A129" s="1">
        <v>380.0</v>
      </c>
      <c r="B129" s="1">
        <v>1.07730475E8</v>
      </c>
      <c r="C129" s="1">
        <v>4.65040717E8</v>
      </c>
      <c r="D129" s="1" t="s">
        <v>225</v>
      </c>
    </row>
    <row r="130">
      <c r="A130" s="1">
        <v>565.0</v>
      </c>
      <c r="B130" s="1">
        <v>1.0770769E8</v>
      </c>
      <c r="C130" s="1">
        <v>4.65499123E8</v>
      </c>
      <c r="D130" s="1" t="s">
        <v>228</v>
      </c>
    </row>
    <row r="131">
      <c r="A131" s="1">
        <v>414.0</v>
      </c>
      <c r="B131" s="1">
        <v>1.0764369E8</v>
      </c>
      <c r="C131" s="1">
        <v>4.64631668E8</v>
      </c>
      <c r="D131" s="1" t="s">
        <v>231</v>
      </c>
    </row>
    <row r="132">
      <c r="A132" s="1">
        <v>671.0</v>
      </c>
      <c r="B132" s="1">
        <v>1.07574957E8</v>
      </c>
      <c r="C132" s="1">
        <v>4.64371033E8</v>
      </c>
      <c r="D132" s="1" t="s">
        <v>233</v>
      </c>
    </row>
    <row r="133">
      <c r="A133" s="1">
        <v>644.0</v>
      </c>
      <c r="B133" s="1">
        <v>1.07519815E8</v>
      </c>
      <c r="C133" s="1">
        <v>4.64679551E8</v>
      </c>
      <c r="D133" s="1" t="s">
        <v>235</v>
      </c>
    </row>
    <row r="134">
      <c r="A134" s="1">
        <v>173.0</v>
      </c>
      <c r="B134" s="1">
        <v>1.07424347E8</v>
      </c>
      <c r="C134" s="1">
        <v>4.63638695E8</v>
      </c>
      <c r="D134" s="1" t="s">
        <v>236</v>
      </c>
    </row>
    <row r="135">
      <c r="A135" s="1">
        <v>531.0</v>
      </c>
      <c r="B135" s="1">
        <v>1.07391529E8</v>
      </c>
      <c r="C135" s="1">
        <v>4.63589648E8</v>
      </c>
      <c r="D135" s="1" t="s">
        <v>238</v>
      </c>
    </row>
    <row r="136">
      <c r="A136" s="1">
        <v>173.0</v>
      </c>
      <c r="B136" s="1">
        <v>1.07377242E8</v>
      </c>
      <c r="C136" s="1">
        <v>4.63255962E8</v>
      </c>
      <c r="D136" s="1" t="s">
        <v>242</v>
      </c>
    </row>
    <row r="137">
      <c r="A137" s="1">
        <v>215.0</v>
      </c>
      <c r="B137" s="1">
        <v>1.07355255E8</v>
      </c>
      <c r="C137" s="1">
        <v>4.63392271E8</v>
      </c>
      <c r="D137" s="1" t="s">
        <v>254</v>
      </c>
    </row>
    <row r="138">
      <c r="A138" s="1">
        <v>410.0</v>
      </c>
      <c r="B138" s="1">
        <v>1.07350909E8</v>
      </c>
      <c r="C138" s="1">
        <v>4.63313151E8</v>
      </c>
      <c r="D138" s="1" t="s">
        <v>255</v>
      </c>
    </row>
    <row r="139">
      <c r="A139" s="1">
        <v>671.0</v>
      </c>
      <c r="B139" s="1">
        <v>1.0730292E8</v>
      </c>
      <c r="C139" s="1">
        <v>4.63303879E8</v>
      </c>
      <c r="D139" s="1" t="s">
        <v>257</v>
      </c>
    </row>
    <row r="140">
      <c r="A140" s="1">
        <v>173.0</v>
      </c>
      <c r="B140" s="1">
        <v>1.07272143E8</v>
      </c>
      <c r="C140" s="1">
        <v>4.74390731E8</v>
      </c>
      <c r="D140" s="1" t="s">
        <v>259</v>
      </c>
    </row>
    <row r="141">
      <c r="A141" s="1">
        <v>129.0</v>
      </c>
      <c r="B141" s="1">
        <v>1.07188323E8</v>
      </c>
      <c r="C141" s="1">
        <v>4.62578419E8</v>
      </c>
      <c r="D141" s="1" t="s">
        <v>261</v>
      </c>
    </row>
    <row r="142">
      <c r="A142" s="1">
        <v>671.0</v>
      </c>
      <c r="B142" s="1">
        <v>1.07140147E8</v>
      </c>
      <c r="C142" s="1">
        <v>4.63351563E8</v>
      </c>
      <c r="D142" s="1" t="s">
        <v>264</v>
      </c>
    </row>
    <row r="143">
      <c r="A143" s="1">
        <v>410.0</v>
      </c>
      <c r="B143" s="1">
        <v>1.07129279E8</v>
      </c>
      <c r="C143" s="1">
        <v>4.625335E8</v>
      </c>
      <c r="D143" s="1" t="s">
        <v>266</v>
      </c>
    </row>
    <row r="144">
      <c r="A144" s="1">
        <v>661.0</v>
      </c>
      <c r="B144" s="1">
        <v>1.07085586E8</v>
      </c>
      <c r="C144" s="1">
        <v>4.62050902E8</v>
      </c>
      <c r="D144" s="1" t="s">
        <v>267</v>
      </c>
    </row>
    <row r="145">
      <c r="A145" s="1">
        <v>571.0</v>
      </c>
      <c r="B145" s="1">
        <v>1.06913143E8</v>
      </c>
      <c r="C145" s="1">
        <v>4.61077323E8</v>
      </c>
      <c r="D145" s="1" t="s">
        <v>268</v>
      </c>
    </row>
    <row r="146">
      <c r="A146" s="1">
        <v>644.0</v>
      </c>
      <c r="B146" s="1">
        <v>1.06808311E8</v>
      </c>
      <c r="C146" s="1">
        <v>4.60705884E8</v>
      </c>
      <c r="D146" s="1" t="s">
        <v>271</v>
      </c>
    </row>
    <row r="147">
      <c r="A147" s="1">
        <v>661.0</v>
      </c>
      <c r="B147" s="1">
        <v>1.06715425E8</v>
      </c>
      <c r="C147" s="1">
        <v>4.60395099E8</v>
      </c>
      <c r="D147" s="1" t="s">
        <v>273</v>
      </c>
    </row>
    <row r="148">
      <c r="A148" s="1">
        <v>571.0</v>
      </c>
      <c r="B148" s="1">
        <v>1.06715117E8</v>
      </c>
      <c r="C148" s="1">
        <v>4.60460544E8</v>
      </c>
      <c r="D148" s="1" t="s">
        <v>275</v>
      </c>
    </row>
    <row r="149">
      <c r="A149" s="1">
        <v>671.0</v>
      </c>
      <c r="B149" s="1">
        <v>1.06641472E8</v>
      </c>
      <c r="C149" s="1">
        <v>4.90199121E8</v>
      </c>
      <c r="D149" s="1" t="s">
        <v>277</v>
      </c>
    </row>
    <row r="150">
      <c r="A150" s="1">
        <v>213.0</v>
      </c>
      <c r="B150" s="1">
        <v>1.06630975E8</v>
      </c>
      <c r="C150" s="1">
        <v>4.59845205E8</v>
      </c>
      <c r="D150" s="1" t="s">
        <v>280</v>
      </c>
    </row>
    <row r="151">
      <c r="A151" s="1">
        <v>406.0</v>
      </c>
      <c r="B151" s="1">
        <v>1.06601491E8</v>
      </c>
      <c r="C151" s="1">
        <v>4.59713023E8</v>
      </c>
      <c r="D151" s="1" t="s">
        <v>281</v>
      </c>
    </row>
    <row r="152">
      <c r="A152" s="1">
        <v>674.0</v>
      </c>
      <c r="B152" s="1">
        <v>1.06544195E8</v>
      </c>
      <c r="C152" s="1">
        <v>4.59625646E8</v>
      </c>
      <c r="D152" s="1" t="s">
        <v>282</v>
      </c>
    </row>
    <row r="153">
      <c r="A153" s="1">
        <v>492.0</v>
      </c>
      <c r="B153" s="1">
        <v>1.06518126E8</v>
      </c>
      <c r="C153" s="1">
        <v>4.59582142E8</v>
      </c>
      <c r="D153" s="1" t="s">
        <v>285</v>
      </c>
    </row>
    <row r="154">
      <c r="A154" s="1">
        <v>337.0</v>
      </c>
      <c r="B154" s="1">
        <v>1.06479568E8</v>
      </c>
      <c r="C154" s="1">
        <v>4.59165656E8</v>
      </c>
      <c r="D154" s="1" t="s">
        <v>286</v>
      </c>
    </row>
    <row r="155">
      <c r="A155" s="1">
        <v>504.0</v>
      </c>
      <c r="B155" s="1">
        <v>1.06438029E8</v>
      </c>
      <c r="C155" s="1">
        <v>4.58813501E8</v>
      </c>
      <c r="D155" s="1" t="s">
        <v>288</v>
      </c>
    </row>
    <row r="156">
      <c r="A156" s="1">
        <v>455.0</v>
      </c>
      <c r="B156" s="1">
        <v>1.06388682E8</v>
      </c>
      <c r="C156" s="1">
        <v>4.58825578E8</v>
      </c>
      <c r="D156" s="1" t="s">
        <v>290</v>
      </c>
    </row>
    <row r="157">
      <c r="A157" s="1">
        <v>602.0</v>
      </c>
      <c r="B157" s="1">
        <v>1.06361908E8</v>
      </c>
      <c r="C157" s="1">
        <v>4.58525651E8</v>
      </c>
      <c r="D157" s="1" t="s">
        <v>293</v>
      </c>
    </row>
    <row r="158">
      <c r="A158" s="1">
        <v>531.0</v>
      </c>
      <c r="B158" s="1">
        <v>1.0633368E8</v>
      </c>
      <c r="C158" s="1">
        <v>4.59192869E8</v>
      </c>
      <c r="D158" s="1" t="s">
        <v>294</v>
      </c>
    </row>
    <row r="159">
      <c r="A159" s="1">
        <v>504.0</v>
      </c>
      <c r="B159" s="1">
        <v>1.06303746E8</v>
      </c>
      <c r="C159" s="1">
        <v>4.58157767E8</v>
      </c>
      <c r="D159" s="1" t="s">
        <v>297</v>
      </c>
    </row>
    <row r="160">
      <c r="A160" s="1">
        <v>173.0</v>
      </c>
      <c r="B160" s="1">
        <v>1.0622908E8</v>
      </c>
      <c r="C160" s="1">
        <v>4.57945143E8</v>
      </c>
      <c r="D160" s="1" t="s">
        <v>299</v>
      </c>
    </row>
    <row r="161">
      <c r="A161" s="1">
        <v>461.0</v>
      </c>
      <c r="B161" s="1">
        <v>1.0621245E8</v>
      </c>
      <c r="C161" s="1">
        <v>4.58222254E8</v>
      </c>
      <c r="D161" s="1" t="s">
        <v>301</v>
      </c>
    </row>
    <row r="162">
      <c r="A162" s="1">
        <v>571.0</v>
      </c>
      <c r="B162" s="1">
        <v>1.06188519E8</v>
      </c>
      <c r="C162" s="1">
        <v>4.57923749E8</v>
      </c>
      <c r="D162" s="1" t="s">
        <v>303</v>
      </c>
    </row>
    <row r="163">
      <c r="A163" s="1">
        <v>674.0</v>
      </c>
      <c r="B163" s="1">
        <v>1.0617338E8</v>
      </c>
      <c r="C163" s="1">
        <v>4.57859728E8</v>
      </c>
      <c r="D163" s="1" t="s">
        <v>305</v>
      </c>
    </row>
    <row r="164">
      <c r="A164" s="1">
        <v>394.0</v>
      </c>
      <c r="B164" s="1">
        <v>1.0616241E8</v>
      </c>
      <c r="C164" s="1">
        <v>4.57514286E8</v>
      </c>
      <c r="D164" s="1" t="s">
        <v>307</v>
      </c>
    </row>
    <row r="165">
      <c r="A165" s="1">
        <v>587.0</v>
      </c>
      <c r="B165" s="1">
        <v>1.05991465E8</v>
      </c>
      <c r="C165" s="1">
        <v>4.57191183E8</v>
      </c>
      <c r="D165" s="1" t="s">
        <v>310</v>
      </c>
    </row>
    <row r="166">
      <c r="A166" s="1">
        <v>353.0</v>
      </c>
      <c r="B166" s="1">
        <v>1.05935199E8</v>
      </c>
      <c r="C166" s="1">
        <v>4.56843962E8</v>
      </c>
      <c r="D166" s="1" t="s">
        <v>312</v>
      </c>
    </row>
    <row r="167">
      <c r="A167" s="1">
        <v>380.0</v>
      </c>
      <c r="B167" s="1">
        <v>1.0582749E8</v>
      </c>
      <c r="C167" s="1">
        <v>4.56564118E8</v>
      </c>
      <c r="D167" s="1" t="s">
        <v>316</v>
      </c>
    </row>
    <row r="168">
      <c r="A168" s="1">
        <v>571.0</v>
      </c>
      <c r="B168" s="1">
        <v>1.05736349E8</v>
      </c>
      <c r="C168" s="1">
        <v>4.55739966E8</v>
      </c>
      <c r="D168" s="1" t="s">
        <v>318</v>
      </c>
    </row>
    <row r="169">
      <c r="A169" s="1">
        <v>353.0</v>
      </c>
      <c r="B169" s="1">
        <v>1.05728312E8</v>
      </c>
      <c r="C169" s="1">
        <v>4.55608924E8</v>
      </c>
      <c r="D169" s="1" t="s">
        <v>320</v>
      </c>
    </row>
    <row r="170">
      <c r="A170" s="1">
        <v>380.0</v>
      </c>
      <c r="B170" s="1">
        <v>1.05725276E8</v>
      </c>
      <c r="C170" s="1">
        <v>4.55955266E8</v>
      </c>
      <c r="D170" s="1" t="s">
        <v>323</v>
      </c>
    </row>
    <row r="171">
      <c r="A171" s="1">
        <v>664.0</v>
      </c>
      <c r="B171" s="1">
        <v>1.05646105E8</v>
      </c>
      <c r="C171" s="1">
        <v>4.55225993E8</v>
      </c>
      <c r="D171" s="1" t="s">
        <v>324</v>
      </c>
    </row>
    <row r="172">
      <c r="A172" s="1">
        <v>173.0</v>
      </c>
      <c r="B172" s="1">
        <v>1.05593132E8</v>
      </c>
      <c r="C172" s="1">
        <v>4.5518142E8</v>
      </c>
      <c r="D172" s="1" t="s">
        <v>326</v>
      </c>
    </row>
    <row r="173">
      <c r="A173" s="1">
        <v>498.0</v>
      </c>
      <c r="B173" s="1">
        <v>1.05550502E8</v>
      </c>
      <c r="C173" s="1">
        <v>4.54648406E8</v>
      </c>
      <c r="D173" s="1" t="s">
        <v>329</v>
      </c>
    </row>
    <row r="174">
      <c r="A174" s="1">
        <v>667.0</v>
      </c>
      <c r="B174" s="1">
        <v>1.05463207E8</v>
      </c>
      <c r="C174" s="1">
        <v>4.54362981E8</v>
      </c>
      <c r="D174" s="1" t="s">
        <v>331</v>
      </c>
    </row>
    <row r="175">
      <c r="A175" s="1">
        <v>210.0</v>
      </c>
      <c r="B175" s="1">
        <v>1.0533048E8</v>
      </c>
      <c r="C175" s="1">
        <v>4.53819278E8</v>
      </c>
      <c r="D175" s="1" t="s">
        <v>334</v>
      </c>
    </row>
    <row r="176">
      <c r="A176" s="1">
        <v>410.0</v>
      </c>
      <c r="B176" s="1">
        <v>1.05279159E8</v>
      </c>
      <c r="C176" s="1">
        <v>4.53517053E8</v>
      </c>
      <c r="D176" s="1" t="s">
        <v>336</v>
      </c>
    </row>
    <row r="177">
      <c r="A177" s="1">
        <v>602.0</v>
      </c>
      <c r="B177" s="1">
        <v>1.05226664E8</v>
      </c>
      <c r="C177" s="1">
        <v>4.53088876E8</v>
      </c>
      <c r="D177" s="1" t="s">
        <v>338</v>
      </c>
    </row>
    <row r="178">
      <c r="A178" s="1">
        <v>587.0</v>
      </c>
      <c r="B178" s="1">
        <v>1.05211406E8</v>
      </c>
      <c r="C178" s="1">
        <v>4.53114501E8</v>
      </c>
      <c r="D178" s="1" t="s">
        <v>339</v>
      </c>
    </row>
    <row r="179">
      <c r="A179" s="1">
        <v>565.0</v>
      </c>
      <c r="B179" s="1">
        <v>1.05179736E8</v>
      </c>
      <c r="C179" s="1">
        <v>4.53459959E8</v>
      </c>
      <c r="D179" s="1" t="s">
        <v>341</v>
      </c>
    </row>
    <row r="180">
      <c r="A180" s="1">
        <v>380.0</v>
      </c>
      <c r="B180" s="1">
        <v>1.05134463E8</v>
      </c>
      <c r="C180" s="1">
        <v>4.52725736E8</v>
      </c>
      <c r="D180" s="1" t="s">
        <v>343</v>
      </c>
    </row>
    <row r="181">
      <c r="A181" s="1">
        <v>656.0</v>
      </c>
      <c r="B181" s="1">
        <v>1.05120426E8</v>
      </c>
      <c r="C181" s="1">
        <v>4.52789419E8</v>
      </c>
      <c r="D181" s="1" t="s">
        <v>344</v>
      </c>
    </row>
    <row r="182">
      <c r="A182" s="1">
        <v>671.0</v>
      </c>
      <c r="B182" s="1">
        <v>1.05061872E8</v>
      </c>
      <c r="C182" s="1">
        <v>4.52770383E8</v>
      </c>
      <c r="D182" s="1" t="s">
        <v>346</v>
      </c>
    </row>
    <row r="183">
      <c r="A183" s="1">
        <v>414.0</v>
      </c>
      <c r="B183" s="1">
        <v>1.05004501E8</v>
      </c>
      <c r="C183" s="1">
        <v>4.52670212E8</v>
      </c>
      <c r="D183" s="1" t="s">
        <v>348</v>
      </c>
    </row>
    <row r="184">
      <c r="A184" s="1">
        <v>671.0</v>
      </c>
      <c r="B184" s="1">
        <v>1.04930071E8</v>
      </c>
      <c r="C184" s="1">
        <v>4.52445468E8</v>
      </c>
      <c r="D184" s="1" t="s">
        <v>349</v>
      </c>
    </row>
    <row r="185">
      <c r="A185" s="1">
        <v>353.0</v>
      </c>
      <c r="B185" s="1">
        <v>1.04784353E8</v>
      </c>
      <c r="C185" s="1">
        <v>4.51092746E8</v>
      </c>
      <c r="D185" s="1" t="s">
        <v>351</v>
      </c>
    </row>
    <row r="186">
      <c r="A186" s="1">
        <v>610.0</v>
      </c>
      <c r="B186" s="1">
        <v>1.04753093E8</v>
      </c>
      <c r="C186" s="1">
        <v>4.51294136E8</v>
      </c>
      <c r="D186" s="1" t="s">
        <v>354</v>
      </c>
    </row>
    <row r="187">
      <c r="A187" s="1">
        <v>353.0</v>
      </c>
      <c r="B187" s="1">
        <v>1.04697673E8</v>
      </c>
      <c r="C187" s="1">
        <v>4.50775258E8</v>
      </c>
      <c r="D187" s="1" t="s">
        <v>356</v>
      </c>
    </row>
    <row r="188">
      <c r="A188" s="1">
        <v>602.0</v>
      </c>
      <c r="B188" s="1">
        <v>1.04627807E8</v>
      </c>
      <c r="C188" s="1">
        <v>4.50763727E8</v>
      </c>
      <c r="D188" s="1" t="s">
        <v>359</v>
      </c>
    </row>
    <row r="189">
      <c r="A189" s="1">
        <v>403.0</v>
      </c>
      <c r="B189" s="1">
        <v>1.04537426E8</v>
      </c>
      <c r="C189" s="1">
        <v>4.49954505E8</v>
      </c>
      <c r="D189" s="1" t="s">
        <v>362</v>
      </c>
    </row>
    <row r="190">
      <c r="A190" s="1">
        <v>531.0</v>
      </c>
      <c r="B190" s="1">
        <v>1.04486336E8</v>
      </c>
      <c r="C190" s="1">
        <v>4.5001058E8</v>
      </c>
      <c r="D190" s="1" t="s">
        <v>363</v>
      </c>
    </row>
    <row r="191">
      <c r="A191" s="1">
        <v>410.0</v>
      </c>
      <c r="B191" s="1">
        <v>1.04434138E8</v>
      </c>
      <c r="C191" s="1">
        <v>4.49733851E8</v>
      </c>
      <c r="D191" s="1" t="s">
        <v>366</v>
      </c>
    </row>
    <row r="192">
      <c r="A192" s="1">
        <v>410.0</v>
      </c>
      <c r="B192" s="1">
        <v>1.04398375E8</v>
      </c>
      <c r="C192" s="1">
        <v>4.49420612E8</v>
      </c>
      <c r="D192" s="1" t="s">
        <v>367</v>
      </c>
    </row>
    <row r="193">
      <c r="A193" s="1">
        <v>571.0</v>
      </c>
      <c r="B193" s="1">
        <v>1.04267853E8</v>
      </c>
      <c r="C193" s="1">
        <v>4.48784119E8</v>
      </c>
      <c r="D193" s="1" t="s">
        <v>369</v>
      </c>
    </row>
    <row r="194">
      <c r="A194" s="1">
        <v>532.0</v>
      </c>
      <c r="B194" s="1">
        <v>1.04241766E8</v>
      </c>
      <c r="C194" s="1">
        <v>4.4881731E8</v>
      </c>
      <c r="D194" s="1" t="s">
        <v>371</v>
      </c>
    </row>
    <row r="195">
      <c r="A195" s="1">
        <v>654.0</v>
      </c>
      <c r="B195" s="1">
        <v>1.04173575E8</v>
      </c>
      <c r="C195" s="1">
        <v>4.48474079E8</v>
      </c>
      <c r="D195" s="1" t="s">
        <v>372</v>
      </c>
    </row>
    <row r="196">
      <c r="A196" s="1">
        <v>173.0</v>
      </c>
      <c r="B196" s="1">
        <v>1.04151299E8</v>
      </c>
      <c r="C196" s="1">
        <v>4.48163785E8</v>
      </c>
      <c r="D196" s="1" t="s">
        <v>375</v>
      </c>
    </row>
    <row r="197">
      <c r="A197" s="1">
        <v>210.0</v>
      </c>
      <c r="B197" s="1">
        <v>1.04123488E8</v>
      </c>
      <c r="C197" s="1">
        <v>4.48273227E8</v>
      </c>
      <c r="D197" s="1" t="s">
        <v>376</v>
      </c>
    </row>
    <row r="198">
      <c r="A198" s="1">
        <v>353.0</v>
      </c>
      <c r="B198" s="1">
        <v>1.04059988E8</v>
      </c>
      <c r="C198" s="1">
        <v>4.47768944E8</v>
      </c>
      <c r="D198" s="1" t="s">
        <v>379</v>
      </c>
    </row>
    <row r="199">
      <c r="A199" s="1">
        <v>630.0</v>
      </c>
      <c r="B199" s="1">
        <v>1.03990593E8</v>
      </c>
      <c r="C199" s="1">
        <v>4.47836709E8</v>
      </c>
      <c r="D199" s="1" t="s">
        <v>381</v>
      </c>
    </row>
    <row r="200">
      <c r="A200" s="1">
        <v>610.0</v>
      </c>
      <c r="B200" s="1">
        <v>1.03887047E8</v>
      </c>
      <c r="C200" s="1">
        <v>4.47049286E8</v>
      </c>
      <c r="D200" s="1" t="s">
        <v>383</v>
      </c>
    </row>
    <row r="201">
      <c r="A201" s="1">
        <v>484.0</v>
      </c>
      <c r="B201" s="1">
        <v>1.03871153E8</v>
      </c>
      <c r="C201" s="1">
        <v>4.47626009E8</v>
      </c>
      <c r="D201" s="1" t="s">
        <v>386</v>
      </c>
    </row>
    <row r="202">
      <c r="A202" s="1">
        <v>587.0</v>
      </c>
      <c r="B202" s="1">
        <v>1.03870273E8</v>
      </c>
      <c r="C202" s="1">
        <v>4.46776832E8</v>
      </c>
      <c r="D202" s="1" t="s">
        <v>388</v>
      </c>
    </row>
    <row r="203">
      <c r="A203" s="1">
        <v>602.0</v>
      </c>
      <c r="B203" s="1">
        <v>1.03786711E8</v>
      </c>
      <c r="C203" s="1">
        <v>4.46489676E8</v>
      </c>
      <c r="D203" s="1" t="s">
        <v>390</v>
      </c>
    </row>
    <row r="204">
      <c r="A204" s="1">
        <v>353.0</v>
      </c>
      <c r="B204" s="1">
        <v>1.03779735E8</v>
      </c>
      <c r="C204" s="1">
        <v>4.46486851E8</v>
      </c>
      <c r="D204" s="1" t="s">
        <v>351</v>
      </c>
    </row>
    <row r="205">
      <c r="A205" s="1">
        <v>672.0</v>
      </c>
      <c r="B205" s="1">
        <v>1.03725911E8</v>
      </c>
      <c r="C205" s="1">
        <v>4.46143927E8</v>
      </c>
      <c r="D205" s="1" t="s">
        <v>392</v>
      </c>
    </row>
    <row r="206">
      <c r="A206" s="1">
        <v>587.0</v>
      </c>
      <c r="B206" s="1">
        <v>1.03635415E8</v>
      </c>
      <c r="C206" s="1">
        <v>4.48208695E8</v>
      </c>
      <c r="D206" s="1" t="s">
        <v>394</v>
      </c>
    </row>
    <row r="207">
      <c r="A207" s="1">
        <v>392.0</v>
      </c>
      <c r="B207" s="1">
        <v>1.03629529E8</v>
      </c>
      <c r="C207" s="1">
        <v>4.45824703E8</v>
      </c>
      <c r="D207" s="1" t="s">
        <v>396</v>
      </c>
    </row>
    <row r="208">
      <c r="A208" s="1">
        <v>319.0</v>
      </c>
      <c r="B208" s="1">
        <v>1.03626929E8</v>
      </c>
      <c r="C208" s="1">
        <v>4.46192099E8</v>
      </c>
      <c r="D208" s="1" t="s">
        <v>397</v>
      </c>
    </row>
    <row r="209">
      <c r="A209" s="1">
        <v>337.0</v>
      </c>
      <c r="B209" s="1">
        <v>1.03607244E8</v>
      </c>
      <c r="C209" s="1">
        <v>4.46155297E8</v>
      </c>
      <c r="D209" s="1" t="s">
        <v>398</v>
      </c>
    </row>
    <row r="210">
      <c r="A210" s="1">
        <v>410.0</v>
      </c>
      <c r="B210" s="1">
        <v>1.03496748E8</v>
      </c>
      <c r="C210" s="1">
        <v>4.4543642E8</v>
      </c>
      <c r="D210" s="1" t="s">
        <v>400</v>
      </c>
    </row>
    <row r="211">
      <c r="A211" s="1">
        <v>557.0</v>
      </c>
      <c r="B211" s="1">
        <v>1.03387311E8</v>
      </c>
      <c r="C211" s="1">
        <v>4.44985786E8</v>
      </c>
      <c r="D211" s="1" t="s">
        <v>403</v>
      </c>
    </row>
    <row r="212">
      <c r="A212" s="1">
        <v>173.0</v>
      </c>
      <c r="B212" s="1">
        <v>1.03350976E8</v>
      </c>
      <c r="C212" s="1">
        <v>4.44489502E8</v>
      </c>
      <c r="D212" s="1" t="s">
        <v>405</v>
      </c>
    </row>
    <row r="213">
      <c r="A213" s="1">
        <v>671.0</v>
      </c>
      <c r="B213" s="1">
        <v>1.03348712E8</v>
      </c>
      <c r="C213" s="1">
        <v>4.44778821E8</v>
      </c>
      <c r="D213" s="1" t="s">
        <v>407</v>
      </c>
    </row>
    <row r="214">
      <c r="A214" s="1">
        <v>353.0</v>
      </c>
      <c r="B214" s="1">
        <v>1.03333605E8</v>
      </c>
      <c r="C214" s="1">
        <v>4.4447838E8</v>
      </c>
      <c r="D214" s="1" t="s">
        <v>408</v>
      </c>
    </row>
    <row r="215">
      <c r="A215" s="1">
        <v>602.0</v>
      </c>
      <c r="B215" s="1">
        <v>1.03320085E8</v>
      </c>
      <c r="C215" s="1">
        <v>4.44390066E8</v>
      </c>
      <c r="D215" s="1" t="s">
        <v>410</v>
      </c>
    </row>
    <row r="216">
      <c r="A216" s="1">
        <v>173.0</v>
      </c>
      <c r="B216" s="1">
        <v>1.03126782E8</v>
      </c>
      <c r="C216" s="1">
        <v>4.43475312E8</v>
      </c>
      <c r="D216" s="1" t="s">
        <v>411</v>
      </c>
    </row>
    <row r="217">
      <c r="A217" s="1">
        <v>421.0</v>
      </c>
      <c r="B217" s="1">
        <v>1.0311797E8</v>
      </c>
      <c r="C217" s="1">
        <v>4.43759145E8</v>
      </c>
      <c r="D217" s="1" t="s">
        <v>413</v>
      </c>
    </row>
    <row r="218">
      <c r="A218" s="1">
        <v>410.0</v>
      </c>
      <c r="B218" s="1">
        <v>1.03117344E8</v>
      </c>
      <c r="C218" s="1">
        <v>4.43450068E8</v>
      </c>
      <c r="D218" s="1" t="s">
        <v>415</v>
      </c>
    </row>
    <row r="219">
      <c r="A219" s="1">
        <v>173.0</v>
      </c>
      <c r="B219" s="1">
        <v>1.03102102E8</v>
      </c>
      <c r="C219" s="1">
        <v>4.43477808E8</v>
      </c>
      <c r="D219" s="1" t="s">
        <v>417</v>
      </c>
    </row>
    <row r="220">
      <c r="A220" s="1">
        <v>410.0</v>
      </c>
      <c r="B220" s="1">
        <v>1.0309159E8</v>
      </c>
      <c r="C220" s="1">
        <v>4.4348937E8</v>
      </c>
      <c r="D220" s="1" t="s">
        <v>419</v>
      </c>
    </row>
    <row r="221">
      <c r="A221" s="1">
        <v>578.0</v>
      </c>
      <c r="B221" s="1">
        <v>1.03027239E8</v>
      </c>
      <c r="C221" s="1">
        <v>4.43343135E8</v>
      </c>
      <c r="D221" s="1" t="s">
        <v>421</v>
      </c>
    </row>
    <row r="222">
      <c r="A222" s="1">
        <v>319.0</v>
      </c>
      <c r="B222" s="1">
        <v>1.02967423E8</v>
      </c>
      <c r="C222" s="1">
        <v>4.43010496E8</v>
      </c>
      <c r="D222" s="1" t="s">
        <v>423</v>
      </c>
    </row>
    <row r="223">
      <c r="A223" s="1">
        <v>353.0</v>
      </c>
      <c r="B223" s="1">
        <v>1.02962807E8</v>
      </c>
      <c r="C223" s="1">
        <v>4.42681167E8</v>
      </c>
      <c r="D223" s="1" t="s">
        <v>424</v>
      </c>
    </row>
    <row r="224">
      <c r="A224" s="1">
        <v>532.0</v>
      </c>
      <c r="B224" s="1">
        <v>1.02949112E8</v>
      </c>
      <c r="C224" s="1">
        <v>4.43064482E8</v>
      </c>
      <c r="D224" s="1" t="s">
        <v>426</v>
      </c>
    </row>
    <row r="225">
      <c r="A225" s="1">
        <v>597.0</v>
      </c>
      <c r="B225" s="1">
        <v>1.02897522E8</v>
      </c>
      <c r="C225" s="1">
        <v>4.84361485E8</v>
      </c>
      <c r="D225" s="1" t="s">
        <v>428</v>
      </c>
    </row>
    <row r="226">
      <c r="A226" s="1">
        <v>643.0</v>
      </c>
      <c r="B226" s="1">
        <v>1.02838578E8</v>
      </c>
      <c r="C226" s="1">
        <v>4.42365791E8</v>
      </c>
      <c r="D226" s="1" t="s">
        <v>430</v>
      </c>
    </row>
    <row r="227">
      <c r="A227" s="1">
        <v>629.0</v>
      </c>
      <c r="B227" s="1">
        <v>1.02646856E8</v>
      </c>
      <c r="C227" s="1">
        <v>4.41190103E8</v>
      </c>
      <c r="D227" s="1" t="s">
        <v>432</v>
      </c>
    </row>
    <row r="228">
      <c r="A228" s="1">
        <v>630.0</v>
      </c>
      <c r="B228" s="1">
        <v>1.02589276E8</v>
      </c>
      <c r="C228" s="1">
        <v>4.41244578E8</v>
      </c>
      <c r="D228" s="1" t="s">
        <v>433</v>
      </c>
    </row>
    <row r="229">
      <c r="A229" s="1">
        <v>633.0</v>
      </c>
      <c r="B229" s="1">
        <v>1.02515279E8</v>
      </c>
      <c r="C229" s="1">
        <v>4.42470127E8</v>
      </c>
      <c r="D229" s="1" t="s">
        <v>435</v>
      </c>
    </row>
    <row r="230">
      <c r="A230" s="1">
        <v>656.0</v>
      </c>
      <c r="B230" s="1">
        <v>1.02511328E8</v>
      </c>
      <c r="C230" s="1">
        <v>4.40507619E8</v>
      </c>
      <c r="D230" s="1" t="s">
        <v>436</v>
      </c>
    </row>
    <row r="231">
      <c r="A231" s="1">
        <v>633.0</v>
      </c>
      <c r="B231" s="1">
        <v>1.02475884E8</v>
      </c>
      <c r="C231" s="1">
        <v>4.42176757E8</v>
      </c>
      <c r="D231" s="1" t="s">
        <v>438</v>
      </c>
    </row>
    <row r="232">
      <c r="A232" s="1">
        <v>455.0</v>
      </c>
      <c r="B232" s="1">
        <v>1.02465035E8</v>
      </c>
      <c r="C232" s="1">
        <v>4.40137092E8</v>
      </c>
      <c r="D232" s="1" t="s">
        <v>439</v>
      </c>
    </row>
    <row r="233">
      <c r="A233" s="1">
        <v>676.0</v>
      </c>
      <c r="B233" s="1">
        <v>1.02462736E8</v>
      </c>
      <c r="C233" s="1">
        <v>4.40531748E8</v>
      </c>
      <c r="D233" s="1" t="s">
        <v>441</v>
      </c>
    </row>
    <row r="234">
      <c r="A234" s="1">
        <v>409.0</v>
      </c>
      <c r="B234" s="1">
        <v>1.02393375E8</v>
      </c>
      <c r="C234" s="1">
        <v>4.39866099E8</v>
      </c>
      <c r="D234" s="1" t="s">
        <v>443</v>
      </c>
    </row>
    <row r="235">
      <c r="A235" s="1">
        <v>630.0</v>
      </c>
      <c r="B235" s="1">
        <v>1.02390685E8</v>
      </c>
      <c r="C235" s="1">
        <v>4.4034822E8</v>
      </c>
      <c r="D235" s="1" t="s">
        <v>445</v>
      </c>
    </row>
    <row r="236">
      <c r="A236" s="1">
        <v>671.0</v>
      </c>
      <c r="B236" s="1">
        <v>1.02390045E8</v>
      </c>
      <c r="C236" s="1">
        <v>4.40226024E8</v>
      </c>
      <c r="D236" s="1" t="s">
        <v>446</v>
      </c>
    </row>
    <row r="237">
      <c r="A237" s="1">
        <v>353.0</v>
      </c>
      <c r="B237" s="1">
        <v>1.02365748E8</v>
      </c>
      <c r="C237" s="1">
        <v>4.39930649E8</v>
      </c>
      <c r="D237" s="1" t="s">
        <v>448</v>
      </c>
    </row>
    <row r="238">
      <c r="A238" s="1">
        <v>173.0</v>
      </c>
      <c r="B238" s="1">
        <v>1.02203998E8</v>
      </c>
      <c r="C238" s="1">
        <v>4.39061824E8</v>
      </c>
      <c r="D238" s="1" t="s">
        <v>450</v>
      </c>
    </row>
    <row r="239">
      <c r="A239" s="1">
        <v>639.0</v>
      </c>
      <c r="B239" s="1">
        <v>1.02200975E8</v>
      </c>
      <c r="C239" s="1">
        <v>4.38912031E8</v>
      </c>
      <c r="D239" s="1" t="s">
        <v>452</v>
      </c>
    </row>
    <row r="240">
      <c r="A240" s="1">
        <v>578.0</v>
      </c>
      <c r="B240" s="1">
        <v>1.02164483E8</v>
      </c>
      <c r="C240" s="1">
        <v>4.38899735E8</v>
      </c>
      <c r="D240" s="1" t="s">
        <v>453</v>
      </c>
    </row>
    <row r="241">
      <c r="A241" s="1">
        <v>173.0</v>
      </c>
      <c r="B241" s="1">
        <v>1.02119768E8</v>
      </c>
      <c r="C241" s="1">
        <v>4.3867058E8</v>
      </c>
      <c r="D241" s="1" t="s">
        <v>454</v>
      </c>
    </row>
    <row r="242">
      <c r="A242" s="1">
        <v>571.0</v>
      </c>
      <c r="B242" s="1">
        <v>1.02097895E8</v>
      </c>
      <c r="C242" s="1">
        <v>4.3902871E8</v>
      </c>
      <c r="D242" s="1" t="s">
        <v>456</v>
      </c>
    </row>
    <row r="243">
      <c r="A243" s="1">
        <v>210.0</v>
      </c>
      <c r="B243" s="1">
        <v>1.0203253E8</v>
      </c>
      <c r="C243" s="1">
        <v>4.39314318E8</v>
      </c>
      <c r="D243" s="1" t="s">
        <v>457</v>
      </c>
    </row>
    <row r="244">
      <c r="A244" s="1">
        <v>565.0</v>
      </c>
      <c r="B244" s="1">
        <v>1.02009991E8</v>
      </c>
      <c r="C244" s="1">
        <v>4.3892278E8</v>
      </c>
      <c r="D244" s="1" t="s">
        <v>458</v>
      </c>
    </row>
    <row r="245">
      <c r="A245" s="1">
        <v>678.0</v>
      </c>
      <c r="B245" s="1">
        <v>1.02008614E8</v>
      </c>
      <c r="C245" s="1">
        <v>4.37818652E8</v>
      </c>
      <c r="D245" s="1" t="s">
        <v>460</v>
      </c>
    </row>
    <row r="246">
      <c r="A246" s="1">
        <v>587.0</v>
      </c>
      <c r="B246" s="1">
        <v>1.01995635E8</v>
      </c>
      <c r="C246" s="1">
        <v>4.38207546E8</v>
      </c>
      <c r="D246" s="1" t="s">
        <v>462</v>
      </c>
    </row>
    <row r="247">
      <c r="A247" s="1">
        <v>484.0</v>
      </c>
      <c r="B247" s="1">
        <v>1.0199042E8</v>
      </c>
      <c r="C247" s="1">
        <v>4.38148936E8</v>
      </c>
      <c r="D247" s="1" t="s">
        <v>464</v>
      </c>
    </row>
    <row r="248">
      <c r="A248" s="1">
        <v>677.0</v>
      </c>
      <c r="B248" s="1">
        <v>1.01974953E8</v>
      </c>
      <c r="C248" s="1">
        <v>4.38159537E8</v>
      </c>
      <c r="D248" s="1" t="s">
        <v>465</v>
      </c>
    </row>
    <row r="249">
      <c r="A249" s="1">
        <v>570.0</v>
      </c>
      <c r="B249" s="1">
        <v>1.01974265E8</v>
      </c>
      <c r="C249" s="1">
        <v>4.37880211E8</v>
      </c>
      <c r="D249" s="1" t="s">
        <v>466</v>
      </c>
    </row>
    <row r="250">
      <c r="A250" s="1">
        <v>656.0</v>
      </c>
      <c r="B250" s="1">
        <v>1.01974083E8</v>
      </c>
      <c r="C250" s="1">
        <v>4.37891256E8</v>
      </c>
      <c r="D250" s="1" t="s">
        <v>468</v>
      </c>
    </row>
    <row r="251">
      <c r="A251" s="1">
        <v>215.0</v>
      </c>
      <c r="B251" s="1">
        <v>1.01959375E8</v>
      </c>
      <c r="C251" s="1">
        <v>4.38286923E8</v>
      </c>
      <c r="D251" s="1" t="s">
        <v>469</v>
      </c>
    </row>
    <row r="252">
      <c r="A252" s="1">
        <v>578.0</v>
      </c>
      <c r="B252" s="1">
        <v>1.01951392E8</v>
      </c>
      <c r="C252" s="1">
        <v>4.38528306E8</v>
      </c>
      <c r="D252" s="1" t="s">
        <v>470</v>
      </c>
    </row>
    <row r="253">
      <c r="A253" s="1">
        <v>671.0</v>
      </c>
      <c r="B253" s="1">
        <v>1.01929404E8</v>
      </c>
      <c r="C253" s="1">
        <v>4.37622079E8</v>
      </c>
      <c r="D253" s="1" t="s">
        <v>472</v>
      </c>
    </row>
    <row r="254">
      <c r="A254" s="1">
        <v>353.0</v>
      </c>
      <c r="B254" s="1">
        <v>1.01909854E8</v>
      </c>
      <c r="C254" s="1">
        <v>4.37598886E8</v>
      </c>
      <c r="D254" s="1" t="s">
        <v>474</v>
      </c>
    </row>
    <row r="255">
      <c r="A255" s="1">
        <v>671.0</v>
      </c>
      <c r="B255" s="1">
        <v>1.01876514E8</v>
      </c>
      <c r="C255" s="1">
        <v>4.37315317E8</v>
      </c>
      <c r="D255" s="1" t="s">
        <v>476</v>
      </c>
    </row>
    <row r="256">
      <c r="A256" s="1">
        <v>602.0</v>
      </c>
      <c r="B256" s="1">
        <v>1.01869033E8</v>
      </c>
      <c r="C256" s="1">
        <v>4.37514465E8</v>
      </c>
      <c r="D256" s="1" t="s">
        <v>478</v>
      </c>
    </row>
    <row r="257">
      <c r="A257" s="1">
        <v>488.0</v>
      </c>
      <c r="B257" s="1">
        <v>1.01813113E8</v>
      </c>
      <c r="C257" s="1">
        <v>4.37225229E8</v>
      </c>
      <c r="D257" s="1" t="s">
        <v>480</v>
      </c>
    </row>
    <row r="258">
      <c r="A258" s="1">
        <v>353.0</v>
      </c>
      <c r="B258" s="1">
        <v>1.01804677E8</v>
      </c>
      <c r="C258" s="1">
        <v>4.36958026E8</v>
      </c>
      <c r="D258" s="1" t="s">
        <v>481</v>
      </c>
    </row>
    <row r="259">
      <c r="A259" s="1">
        <v>129.0</v>
      </c>
      <c r="B259" s="1">
        <v>1.01777756E8</v>
      </c>
      <c r="C259" s="1">
        <v>4.36908499E8</v>
      </c>
      <c r="D259" s="1" t="s">
        <v>483</v>
      </c>
    </row>
    <row r="260">
      <c r="A260" s="1">
        <v>410.0</v>
      </c>
      <c r="B260" s="1">
        <v>1.01774799E8</v>
      </c>
      <c r="C260" s="1">
        <v>4.36949316E8</v>
      </c>
      <c r="D260" s="1" t="s">
        <v>486</v>
      </c>
    </row>
    <row r="261">
      <c r="A261" s="1">
        <v>410.0</v>
      </c>
      <c r="B261" s="1">
        <v>1.01743285E8</v>
      </c>
      <c r="C261" s="1">
        <v>4.36926807E8</v>
      </c>
      <c r="D261" s="1" t="s">
        <v>489</v>
      </c>
    </row>
    <row r="262">
      <c r="A262" s="1">
        <v>353.0</v>
      </c>
      <c r="B262" s="1">
        <v>1.01614193E8</v>
      </c>
      <c r="C262" s="1">
        <v>4.36152316E8</v>
      </c>
      <c r="D262" s="1" t="s">
        <v>491</v>
      </c>
    </row>
    <row r="263">
      <c r="A263" s="1">
        <v>173.0</v>
      </c>
      <c r="B263" s="1">
        <v>1.01563209E8</v>
      </c>
      <c r="C263" s="1">
        <v>4.35810108E8</v>
      </c>
      <c r="D263" s="1" t="s">
        <v>495</v>
      </c>
    </row>
    <row r="264">
      <c r="A264" s="1">
        <v>173.0</v>
      </c>
      <c r="B264" s="1">
        <v>1.01555963E8</v>
      </c>
      <c r="C264" s="1">
        <v>4.35826644E8</v>
      </c>
      <c r="D264" s="1" t="s">
        <v>497</v>
      </c>
    </row>
    <row r="265">
      <c r="A265" s="1">
        <v>484.0</v>
      </c>
      <c r="B265" s="1">
        <v>1.0147091E8</v>
      </c>
      <c r="C265" s="1">
        <v>4.36822374E8</v>
      </c>
      <c r="D265" s="1" t="s">
        <v>500</v>
      </c>
    </row>
    <row r="266">
      <c r="A266" s="1">
        <v>488.0</v>
      </c>
      <c r="B266" s="1">
        <v>1.01453042E8</v>
      </c>
      <c r="C266" s="1">
        <v>4.35163726E8</v>
      </c>
      <c r="D266" s="1" t="s">
        <v>501</v>
      </c>
    </row>
    <row r="267">
      <c r="A267" s="1">
        <v>571.0</v>
      </c>
      <c r="B267" s="1">
        <v>1.01411571E8</v>
      </c>
      <c r="C267" s="1">
        <v>4.35296818E8</v>
      </c>
      <c r="D267" s="1" t="s">
        <v>504</v>
      </c>
    </row>
    <row r="268">
      <c r="A268" s="1">
        <v>671.0</v>
      </c>
      <c r="B268" s="1">
        <v>1.01372386E8</v>
      </c>
      <c r="C268" s="1">
        <v>4.34858957E8</v>
      </c>
      <c r="D268" s="1" t="s">
        <v>507</v>
      </c>
    </row>
    <row r="269">
      <c r="A269" s="1">
        <v>485.0</v>
      </c>
      <c r="B269" s="1">
        <v>1.01320699E8</v>
      </c>
      <c r="C269" s="1">
        <v>4.34795606E8</v>
      </c>
      <c r="D269" s="1" t="s">
        <v>211</v>
      </c>
    </row>
    <row r="270">
      <c r="A270" s="1">
        <v>504.0</v>
      </c>
      <c r="B270" s="1">
        <v>1.01313857E8</v>
      </c>
      <c r="C270" s="1">
        <v>4.3440072E8</v>
      </c>
      <c r="D270" s="1" t="s">
        <v>510</v>
      </c>
    </row>
    <row r="271">
      <c r="A271" s="1">
        <v>531.0</v>
      </c>
      <c r="B271" s="1">
        <v>1.01308555E8</v>
      </c>
      <c r="C271" s="1">
        <v>4.35137185E8</v>
      </c>
      <c r="D271" s="1" t="s">
        <v>513</v>
      </c>
    </row>
    <row r="272">
      <c r="A272" s="1">
        <v>353.0</v>
      </c>
      <c r="B272" s="1">
        <v>1.01228044E8</v>
      </c>
      <c r="C272" s="1">
        <v>4.34183927E8</v>
      </c>
      <c r="D272" s="1" t="s">
        <v>516</v>
      </c>
    </row>
    <row r="273">
      <c r="A273" s="1">
        <v>593.0</v>
      </c>
      <c r="B273" s="1">
        <v>1.01173862E8</v>
      </c>
      <c r="C273" s="1">
        <v>4.34161024E8</v>
      </c>
      <c r="D273" s="1" t="s">
        <v>517</v>
      </c>
    </row>
    <row r="274">
      <c r="A274" s="1">
        <v>674.0</v>
      </c>
      <c r="B274" s="1">
        <v>1.01154334E8</v>
      </c>
      <c r="C274" s="1">
        <v>4.34109822E8</v>
      </c>
      <c r="D274" s="1" t="s">
        <v>519</v>
      </c>
    </row>
    <row r="275">
      <c r="A275" s="1">
        <v>194.0</v>
      </c>
      <c r="B275" s="1">
        <v>1.01138933E8</v>
      </c>
      <c r="C275" s="1">
        <v>4.336701E8</v>
      </c>
      <c r="D275" s="1" t="s">
        <v>522</v>
      </c>
    </row>
    <row r="276">
      <c r="A276" s="1">
        <v>671.0</v>
      </c>
      <c r="B276" s="1">
        <v>1.01137387E8</v>
      </c>
      <c r="C276" s="1">
        <v>4.34136226E8</v>
      </c>
      <c r="D276" s="1" t="s">
        <v>525</v>
      </c>
    </row>
    <row r="277">
      <c r="A277" s="1">
        <v>593.0</v>
      </c>
      <c r="B277" s="1">
        <v>1.01122596E8</v>
      </c>
      <c r="C277" s="1">
        <v>4.3367899E8</v>
      </c>
      <c r="D277" s="1" t="s">
        <v>527</v>
      </c>
    </row>
    <row r="278">
      <c r="A278" s="1">
        <v>587.0</v>
      </c>
      <c r="B278" s="1">
        <v>1.00996821E8</v>
      </c>
      <c r="C278" s="1">
        <v>4.33072471E8</v>
      </c>
      <c r="D278" s="1" t="s">
        <v>531</v>
      </c>
    </row>
    <row r="279">
      <c r="A279" s="1">
        <v>610.0</v>
      </c>
      <c r="B279" s="1">
        <v>1.00921712E8</v>
      </c>
      <c r="C279" s="1">
        <v>4.3333826E8</v>
      </c>
      <c r="D279" s="1" t="s">
        <v>532</v>
      </c>
    </row>
    <row r="280">
      <c r="A280" s="1">
        <v>571.0</v>
      </c>
      <c r="B280" s="1">
        <v>1.00910303E8</v>
      </c>
      <c r="C280" s="1">
        <v>4.33092657E8</v>
      </c>
      <c r="D280" s="1" t="s">
        <v>534</v>
      </c>
    </row>
    <row r="281">
      <c r="A281" s="1">
        <v>578.0</v>
      </c>
      <c r="B281" s="1">
        <v>1.00814642E8</v>
      </c>
      <c r="C281" s="1">
        <v>4.32679476E8</v>
      </c>
      <c r="D281" s="1" t="s">
        <v>536</v>
      </c>
    </row>
    <row r="282">
      <c r="A282" s="1">
        <v>409.0</v>
      </c>
      <c r="B282" s="1">
        <v>1.00729822E8</v>
      </c>
      <c r="C282" s="1">
        <v>4.32039373E8</v>
      </c>
      <c r="D282" s="1" t="s">
        <v>537</v>
      </c>
    </row>
    <row r="283">
      <c r="A283" s="1">
        <v>602.0</v>
      </c>
      <c r="B283" s="1">
        <v>1.00724355E8</v>
      </c>
      <c r="C283" s="1">
        <v>4.32717717E8</v>
      </c>
      <c r="D283" s="1" t="s">
        <v>540</v>
      </c>
    </row>
    <row r="284">
      <c r="A284" s="1">
        <v>244.0</v>
      </c>
      <c r="B284" s="1">
        <v>1.00716845E8</v>
      </c>
      <c r="C284" s="1">
        <v>4.32063884E8</v>
      </c>
      <c r="D284" s="1" t="s">
        <v>543</v>
      </c>
    </row>
    <row r="285">
      <c r="A285" s="1">
        <v>392.0</v>
      </c>
      <c r="B285" s="1">
        <v>1.00715483E8</v>
      </c>
      <c r="C285" s="1">
        <v>4.31753819E8</v>
      </c>
      <c r="D285" s="1" t="s">
        <v>546</v>
      </c>
    </row>
    <row r="286">
      <c r="A286" s="1">
        <v>215.0</v>
      </c>
      <c r="B286" s="1">
        <v>1.00700883E8</v>
      </c>
      <c r="C286" s="1">
        <v>4.32185919E8</v>
      </c>
      <c r="D286" s="1" t="s">
        <v>548</v>
      </c>
    </row>
    <row r="287">
      <c r="A287" s="1">
        <v>676.0</v>
      </c>
      <c r="B287" s="1">
        <v>1.00691605E8</v>
      </c>
      <c r="C287" s="1">
        <v>4.31708674E8</v>
      </c>
      <c r="D287" s="1" t="s">
        <v>550</v>
      </c>
    </row>
    <row r="288">
      <c r="A288" s="1">
        <v>654.0</v>
      </c>
      <c r="B288" s="1">
        <v>1.00685453E8</v>
      </c>
      <c r="C288" s="1">
        <v>4.3167611E8</v>
      </c>
      <c r="D288" s="1" t="s">
        <v>552</v>
      </c>
    </row>
    <row r="289">
      <c r="A289" s="1">
        <v>578.0</v>
      </c>
      <c r="B289" s="1">
        <v>1.00623047E8</v>
      </c>
      <c r="C289" s="1">
        <v>4.31283644E8</v>
      </c>
      <c r="D289" s="1" t="s">
        <v>554</v>
      </c>
    </row>
    <row r="290">
      <c r="A290" s="1">
        <v>173.0</v>
      </c>
      <c r="B290" s="1">
        <v>1.00566787E8</v>
      </c>
      <c r="C290" s="1">
        <v>4.31006549E8</v>
      </c>
      <c r="D290" s="1" t="s">
        <v>555</v>
      </c>
    </row>
    <row r="291">
      <c r="A291" s="1">
        <v>569.0</v>
      </c>
      <c r="B291" s="1">
        <v>1.00563402E8</v>
      </c>
      <c r="C291" s="1">
        <v>4.3094416E8</v>
      </c>
      <c r="D291" s="1" t="s">
        <v>556</v>
      </c>
    </row>
    <row r="292">
      <c r="A292" s="1">
        <v>546.0</v>
      </c>
      <c r="B292" s="1">
        <v>1.00556912E8</v>
      </c>
      <c r="C292" s="1">
        <v>4.30980283E8</v>
      </c>
      <c r="D292" s="1" t="s">
        <v>558</v>
      </c>
    </row>
    <row r="293">
      <c r="A293" s="1">
        <v>671.0</v>
      </c>
      <c r="B293" s="1">
        <v>1.00509403E8</v>
      </c>
      <c r="C293" s="1">
        <v>4.30651358E8</v>
      </c>
      <c r="D293" s="1" t="s">
        <v>560</v>
      </c>
    </row>
    <row r="294">
      <c r="A294" s="1">
        <v>644.0</v>
      </c>
      <c r="B294" s="1">
        <v>1.0050005E8</v>
      </c>
      <c r="C294" s="1">
        <v>4.30681088E8</v>
      </c>
      <c r="D294" s="1" t="s">
        <v>562</v>
      </c>
    </row>
    <row r="295">
      <c r="A295" s="1">
        <v>578.0</v>
      </c>
      <c r="B295" s="1">
        <v>1.00467543E8</v>
      </c>
      <c r="C295" s="1">
        <v>4.30560728E8</v>
      </c>
      <c r="D295" s="1" t="s">
        <v>564</v>
      </c>
    </row>
    <row r="296">
      <c r="A296" s="1">
        <v>504.0</v>
      </c>
      <c r="B296" s="1">
        <v>1.00454419E8</v>
      </c>
      <c r="C296" s="1">
        <v>4.30544746E8</v>
      </c>
      <c r="D296" s="1" t="s">
        <v>566</v>
      </c>
    </row>
    <row r="297">
      <c r="A297" s="1">
        <v>602.0</v>
      </c>
      <c r="B297" s="1">
        <v>1.00438431E8</v>
      </c>
      <c r="C297" s="1">
        <v>4.30258698E8</v>
      </c>
      <c r="D297" s="1" t="s">
        <v>567</v>
      </c>
    </row>
    <row r="298">
      <c r="A298" s="1">
        <v>671.0</v>
      </c>
      <c r="B298" s="1">
        <v>1.00356544E8</v>
      </c>
      <c r="C298" s="1">
        <v>4.30349091E8</v>
      </c>
      <c r="D298" s="1" t="s">
        <v>569</v>
      </c>
    </row>
    <row r="299">
      <c r="A299" s="1">
        <v>353.0</v>
      </c>
      <c r="B299" s="1">
        <v>1.00351381E8</v>
      </c>
      <c r="C299" s="1">
        <v>4.30010391E8</v>
      </c>
      <c r="D299" s="1" t="s">
        <v>571</v>
      </c>
    </row>
    <row r="300">
      <c r="A300" s="1">
        <v>392.0</v>
      </c>
      <c r="B300" s="1">
        <v>1.00340131E8</v>
      </c>
      <c r="C300" s="1">
        <v>4.29965963E8</v>
      </c>
      <c r="D300" s="1" t="s">
        <v>572</v>
      </c>
    </row>
    <row r="301">
      <c r="A301" s="1">
        <v>645.0</v>
      </c>
      <c r="B301" s="1">
        <v>1.00216185E8</v>
      </c>
      <c r="C301" s="1">
        <v>4.29226436E8</v>
      </c>
      <c r="D301" s="1" t="s">
        <v>575</v>
      </c>
    </row>
    <row r="302">
      <c r="A302" s="1">
        <v>403.0</v>
      </c>
      <c r="B302" s="1">
        <v>1.00196167E8</v>
      </c>
      <c r="C302" s="1">
        <v>4.29610227E8</v>
      </c>
      <c r="D302" s="1" t="s">
        <v>577</v>
      </c>
    </row>
    <row r="303">
      <c r="A303" s="1">
        <v>571.0</v>
      </c>
      <c r="B303" s="1">
        <v>1.00179615E8</v>
      </c>
      <c r="C303" s="1">
        <v>4.29948581E8</v>
      </c>
      <c r="D303" s="1" t="s">
        <v>578</v>
      </c>
    </row>
    <row r="304">
      <c r="A304" s="1">
        <v>410.0</v>
      </c>
      <c r="B304" s="1">
        <v>1.0017643E8</v>
      </c>
      <c r="C304" s="1">
        <v>4.29268451E8</v>
      </c>
      <c r="D304" s="1" t="s">
        <v>580</v>
      </c>
    </row>
    <row r="305">
      <c r="A305" s="1">
        <v>654.0</v>
      </c>
      <c r="B305" s="1">
        <v>1.0015255E8</v>
      </c>
      <c r="C305" s="1">
        <v>4.29201588E8</v>
      </c>
      <c r="D305" s="1" t="s">
        <v>581</v>
      </c>
    </row>
    <row r="306">
      <c r="A306" s="1">
        <v>244.0</v>
      </c>
      <c r="B306" s="1">
        <v>1.00149076E8</v>
      </c>
      <c r="C306" s="1">
        <v>4.2965865E8</v>
      </c>
      <c r="D306" s="1" t="s">
        <v>583</v>
      </c>
    </row>
    <row r="307">
      <c r="A307" s="1">
        <v>671.0</v>
      </c>
      <c r="B307" s="1">
        <v>1.00134958E8</v>
      </c>
      <c r="C307" s="1">
        <v>4.29259858E8</v>
      </c>
      <c r="D307" s="1" t="s">
        <v>585</v>
      </c>
    </row>
    <row r="308">
      <c r="A308" s="1">
        <v>587.0</v>
      </c>
      <c r="B308" s="1">
        <v>1.00110272E8</v>
      </c>
      <c r="C308" s="1">
        <v>4.29280925E8</v>
      </c>
      <c r="D308" s="1" t="s">
        <v>587</v>
      </c>
    </row>
    <row r="309">
      <c r="A309" s="1">
        <v>485.0</v>
      </c>
      <c r="B309" s="1">
        <v>9.9992145E7</v>
      </c>
      <c r="C309" s="1">
        <v>4.28209178E8</v>
      </c>
      <c r="D309" s="1" t="s">
        <v>589</v>
      </c>
    </row>
    <row r="310">
      <c r="A310" s="1">
        <v>565.0</v>
      </c>
      <c r="B310" s="1">
        <v>9.9977428E7</v>
      </c>
      <c r="C310" s="1">
        <v>4.29259687E8</v>
      </c>
      <c r="D310" s="1" t="s">
        <v>591</v>
      </c>
    </row>
    <row r="311">
      <c r="A311" s="1">
        <v>210.0</v>
      </c>
      <c r="B311" s="1">
        <v>9.9960596E7</v>
      </c>
      <c r="C311" s="1">
        <v>4.28268439E8</v>
      </c>
      <c r="D311" s="1" t="s">
        <v>593</v>
      </c>
    </row>
    <row r="312">
      <c r="A312" s="1">
        <v>173.0</v>
      </c>
      <c r="B312" s="1">
        <v>9.9953324E7</v>
      </c>
      <c r="C312" s="1">
        <v>4.27948771E8</v>
      </c>
      <c r="D312" s="1" t="s">
        <v>594</v>
      </c>
    </row>
    <row r="313">
      <c r="A313" s="1">
        <v>408.0</v>
      </c>
      <c r="B313" s="1">
        <v>9.9952541E7</v>
      </c>
      <c r="C313" s="1">
        <v>4.27918454E8</v>
      </c>
      <c r="D313" s="1" t="s">
        <v>596</v>
      </c>
    </row>
    <row r="314">
      <c r="A314" s="1">
        <v>173.0</v>
      </c>
      <c r="B314" s="1">
        <v>9.9927237E7</v>
      </c>
      <c r="C314" s="1">
        <v>4.27945488E8</v>
      </c>
      <c r="D314" s="1" t="s">
        <v>598</v>
      </c>
    </row>
    <row r="315">
      <c r="A315" s="1">
        <v>173.0</v>
      </c>
      <c r="B315" s="1">
        <v>9.9869489E7</v>
      </c>
      <c r="C315" s="1">
        <v>4.27997037E8</v>
      </c>
      <c r="D315" s="1" t="s">
        <v>600</v>
      </c>
    </row>
    <row r="316">
      <c r="A316" s="1">
        <v>602.0</v>
      </c>
      <c r="B316" s="1">
        <v>9.9840598E7</v>
      </c>
      <c r="C316" s="1">
        <v>4.27648626E8</v>
      </c>
      <c r="D316" s="1" t="s">
        <v>602</v>
      </c>
    </row>
    <row r="317">
      <c r="A317" s="1">
        <v>179.0</v>
      </c>
      <c r="B317" s="1">
        <v>9.9712716E7</v>
      </c>
      <c r="C317" s="1">
        <v>4.59936769E8</v>
      </c>
      <c r="D317" s="1" t="s">
        <v>603</v>
      </c>
    </row>
    <row r="318">
      <c r="A318" s="1">
        <v>661.0</v>
      </c>
      <c r="B318" s="1">
        <v>9.9707193E7</v>
      </c>
      <c r="C318" s="1">
        <v>4.49138569E8</v>
      </c>
      <c r="D318" s="1" t="s">
        <v>605</v>
      </c>
    </row>
    <row r="319">
      <c r="A319" s="1">
        <v>643.0</v>
      </c>
      <c r="B319" s="1">
        <v>9.9700843E7</v>
      </c>
      <c r="C319" s="1">
        <v>4.26993073E8</v>
      </c>
      <c r="D319" s="1" t="s">
        <v>607</v>
      </c>
    </row>
    <row r="320">
      <c r="A320" s="1">
        <v>676.0</v>
      </c>
      <c r="B320" s="1">
        <v>9.9697937E7</v>
      </c>
      <c r="C320" s="1">
        <v>4.26979135E8</v>
      </c>
      <c r="D320" s="1" t="s">
        <v>608</v>
      </c>
    </row>
    <row r="321">
      <c r="A321" s="1">
        <v>671.0</v>
      </c>
      <c r="B321" s="1">
        <v>9.9653808E7</v>
      </c>
      <c r="C321" s="1">
        <v>4.27062939E8</v>
      </c>
      <c r="D321" s="1" t="s">
        <v>611</v>
      </c>
    </row>
    <row r="322">
      <c r="A322" s="1">
        <v>173.0</v>
      </c>
      <c r="B322" s="1">
        <v>9.9637732E7</v>
      </c>
      <c r="C322" s="1">
        <v>4.2663924E8</v>
      </c>
      <c r="D322" s="1" t="s">
        <v>612</v>
      </c>
    </row>
    <row r="323">
      <c r="A323" s="1">
        <v>645.0</v>
      </c>
      <c r="B323" s="1">
        <v>9.9604438E7</v>
      </c>
      <c r="C323" s="1">
        <v>4.26282924E8</v>
      </c>
      <c r="D323" s="1" t="s">
        <v>614</v>
      </c>
    </row>
    <row r="324">
      <c r="A324" s="1">
        <v>571.0</v>
      </c>
      <c r="B324" s="1">
        <v>9.9569403E7</v>
      </c>
      <c r="C324" s="1">
        <v>4.26677838E8</v>
      </c>
      <c r="D324" s="1" t="s">
        <v>616</v>
      </c>
    </row>
    <row r="325">
      <c r="A325" s="1">
        <v>471.0</v>
      </c>
      <c r="B325" s="1">
        <v>9.9498838E7</v>
      </c>
      <c r="C325" s="1">
        <v>4.25977524E8</v>
      </c>
      <c r="D325" s="1" t="s">
        <v>617</v>
      </c>
    </row>
    <row r="326">
      <c r="A326" s="1">
        <v>651.0</v>
      </c>
      <c r="B326" s="1">
        <v>9.9452984E7</v>
      </c>
      <c r="C326" s="1">
        <v>4.25766918E8</v>
      </c>
      <c r="D326" s="1" t="s">
        <v>620</v>
      </c>
    </row>
    <row r="327">
      <c r="A327" s="1">
        <v>492.0</v>
      </c>
      <c r="B327" s="1">
        <v>9.9401187E7</v>
      </c>
      <c r="C327" s="1">
        <v>4.25764243E8</v>
      </c>
      <c r="D327" s="1" t="s">
        <v>621</v>
      </c>
    </row>
    <row r="328">
      <c r="A328" s="1">
        <v>475.0</v>
      </c>
      <c r="B328" s="1">
        <v>9.9389051E7</v>
      </c>
      <c r="C328" s="1">
        <v>4.25378092E8</v>
      </c>
      <c r="D328" s="1" t="s">
        <v>623</v>
      </c>
    </row>
    <row r="329">
      <c r="A329" s="1">
        <v>571.0</v>
      </c>
      <c r="B329" s="1">
        <v>9.9353756E7</v>
      </c>
      <c r="C329" s="1">
        <v>4.25168198E8</v>
      </c>
      <c r="D329" s="1" t="s">
        <v>625</v>
      </c>
    </row>
    <row r="330">
      <c r="A330" s="1">
        <v>557.0</v>
      </c>
      <c r="B330" s="1">
        <v>9.9264227E7</v>
      </c>
      <c r="C330" s="1">
        <v>4.25139382E8</v>
      </c>
      <c r="D330" s="1" t="s">
        <v>626</v>
      </c>
    </row>
    <row r="331">
      <c r="A331" s="1">
        <v>531.0</v>
      </c>
      <c r="B331" s="1">
        <v>9.9250427E7</v>
      </c>
      <c r="C331" s="1">
        <v>4.2512464E8</v>
      </c>
      <c r="D331" s="1" t="s">
        <v>628</v>
      </c>
    </row>
    <row r="332">
      <c r="A332" s="1">
        <v>204.0</v>
      </c>
      <c r="B332" s="1">
        <v>9.9247294E7</v>
      </c>
      <c r="C332" s="1">
        <v>4.24813479E8</v>
      </c>
      <c r="D332" s="1" t="s">
        <v>630</v>
      </c>
    </row>
    <row r="333">
      <c r="A333" s="1">
        <v>643.0</v>
      </c>
      <c r="B333" s="1">
        <v>9.9243676E7</v>
      </c>
      <c r="C333" s="1">
        <v>4.24782595E8</v>
      </c>
      <c r="D333" s="1" t="s">
        <v>633</v>
      </c>
    </row>
    <row r="334">
      <c r="A334" s="1">
        <v>194.0</v>
      </c>
      <c r="B334" s="1">
        <v>9.9218004E7</v>
      </c>
      <c r="C334" s="1">
        <v>4.24743028E8</v>
      </c>
      <c r="D334" s="1" t="s">
        <v>634</v>
      </c>
    </row>
    <row r="335">
      <c r="A335" s="1">
        <v>403.0</v>
      </c>
      <c r="B335" s="1">
        <v>9.9200659E7</v>
      </c>
      <c r="C335" s="1">
        <v>4.24772317E8</v>
      </c>
      <c r="D335" s="1" t="s">
        <v>636</v>
      </c>
    </row>
    <row r="336">
      <c r="A336" s="1">
        <v>488.0</v>
      </c>
      <c r="B336" s="1">
        <v>9.9166781E7</v>
      </c>
      <c r="C336" s="1">
        <v>4.24423542E8</v>
      </c>
      <c r="D336" s="1" t="s">
        <v>638</v>
      </c>
    </row>
    <row r="337">
      <c r="A337" s="1">
        <v>392.0</v>
      </c>
      <c r="B337" s="1">
        <v>9.916479E7</v>
      </c>
      <c r="C337" s="1">
        <v>4.24387886E8</v>
      </c>
      <c r="D337" s="1" t="s">
        <v>640</v>
      </c>
    </row>
    <row r="338">
      <c r="A338" s="1">
        <v>557.0</v>
      </c>
      <c r="B338" s="1">
        <v>9.9122381E7</v>
      </c>
      <c r="C338" s="1">
        <v>4.24383736E8</v>
      </c>
      <c r="D338" s="1" t="s">
        <v>641</v>
      </c>
    </row>
    <row r="339">
      <c r="A339" s="1">
        <v>565.0</v>
      </c>
      <c r="B339" s="1">
        <v>9.9103983E7</v>
      </c>
      <c r="C339" s="1">
        <v>4.24348461E8</v>
      </c>
      <c r="D339" s="1" t="s">
        <v>643</v>
      </c>
    </row>
    <row r="340">
      <c r="A340" s="1">
        <v>587.0</v>
      </c>
      <c r="B340" s="1">
        <v>9.9098944E7</v>
      </c>
      <c r="C340" s="1">
        <v>4.24084388E8</v>
      </c>
      <c r="D340" s="1" t="s">
        <v>646</v>
      </c>
    </row>
    <row r="341">
      <c r="A341" s="1">
        <v>492.0</v>
      </c>
      <c r="B341" s="1">
        <v>9.9089518E7</v>
      </c>
      <c r="C341" s="1">
        <v>4.24070702E8</v>
      </c>
      <c r="D341" s="1" t="s">
        <v>647</v>
      </c>
    </row>
    <row r="342">
      <c r="A342" s="1">
        <v>643.0</v>
      </c>
      <c r="B342" s="1">
        <v>9.9049829E7</v>
      </c>
      <c r="C342" s="1">
        <v>4.23735561E8</v>
      </c>
      <c r="D342" s="1" t="s">
        <v>649</v>
      </c>
    </row>
    <row r="343">
      <c r="A343" s="1">
        <v>492.0</v>
      </c>
      <c r="B343" s="1">
        <v>9.8998233E7</v>
      </c>
      <c r="C343" s="1">
        <v>4.24065076E8</v>
      </c>
      <c r="D343" s="1" t="s">
        <v>651</v>
      </c>
    </row>
    <row r="344">
      <c r="A344" s="1">
        <v>578.0</v>
      </c>
      <c r="B344" s="1">
        <v>9.8977647E7</v>
      </c>
      <c r="C344" s="1">
        <v>4.23757262E8</v>
      </c>
      <c r="D344" s="1" t="s">
        <v>653</v>
      </c>
    </row>
    <row r="345">
      <c r="A345" s="1">
        <v>256.0</v>
      </c>
      <c r="B345" s="1">
        <v>9.8977172E7</v>
      </c>
      <c r="C345" s="1">
        <v>4.23338663E8</v>
      </c>
      <c r="D345" s="1" t="s">
        <v>654</v>
      </c>
    </row>
    <row r="346">
      <c r="A346" s="1">
        <v>406.0</v>
      </c>
      <c r="B346" s="1">
        <v>9.897435E7</v>
      </c>
      <c r="C346" s="1">
        <v>4.24079239E8</v>
      </c>
      <c r="D346" s="1" t="s">
        <v>656</v>
      </c>
    </row>
    <row r="347">
      <c r="A347" s="1">
        <v>475.0</v>
      </c>
      <c r="B347" s="1">
        <v>9.8919473E7</v>
      </c>
      <c r="C347" s="1">
        <v>4.23370863E8</v>
      </c>
      <c r="D347" s="1" t="s">
        <v>657</v>
      </c>
    </row>
    <row r="348">
      <c r="A348" s="1">
        <v>630.0</v>
      </c>
      <c r="B348" s="1">
        <v>9.8867594E7</v>
      </c>
      <c r="C348" s="1">
        <v>4.23539826E8</v>
      </c>
      <c r="D348" s="1" t="s">
        <v>659</v>
      </c>
    </row>
    <row r="349">
      <c r="A349" s="1">
        <v>173.0</v>
      </c>
      <c r="B349" s="1">
        <v>9.8862056E7</v>
      </c>
      <c r="C349" s="1">
        <v>4.2278638E8</v>
      </c>
      <c r="D349" s="1" t="s">
        <v>661</v>
      </c>
    </row>
    <row r="350">
      <c r="A350" s="1">
        <v>587.0</v>
      </c>
      <c r="B350" s="1">
        <v>9.876241E7</v>
      </c>
      <c r="C350" s="1">
        <v>4.224219E8</v>
      </c>
      <c r="D350" s="1" t="s">
        <v>663</v>
      </c>
    </row>
    <row r="351">
      <c r="A351" s="1">
        <v>381.0</v>
      </c>
      <c r="B351" s="1">
        <v>9.8737558E7</v>
      </c>
      <c r="C351" s="1">
        <v>4.22326337E8</v>
      </c>
      <c r="D351" s="1" t="s">
        <v>665</v>
      </c>
    </row>
    <row r="352">
      <c r="A352" s="1">
        <v>654.0</v>
      </c>
      <c r="B352" s="1">
        <v>9.8728076E7</v>
      </c>
      <c r="C352" s="1">
        <v>4.22374738E8</v>
      </c>
      <c r="D352" s="1" t="s">
        <v>666</v>
      </c>
    </row>
    <row r="353">
      <c r="A353" s="1">
        <v>630.0</v>
      </c>
      <c r="B353" s="1">
        <v>9.8703252E7</v>
      </c>
      <c r="C353" s="1">
        <v>4.22916331E8</v>
      </c>
      <c r="D353" s="1" t="s">
        <v>668</v>
      </c>
    </row>
    <row r="354">
      <c r="A354" s="1">
        <v>410.0</v>
      </c>
      <c r="B354" s="1">
        <v>9.863264E7</v>
      </c>
      <c r="C354" s="1">
        <v>4.2161798E8</v>
      </c>
      <c r="D354" s="1" t="s">
        <v>670</v>
      </c>
    </row>
    <row r="355">
      <c r="A355" s="1">
        <v>571.0</v>
      </c>
      <c r="B355" s="1">
        <v>9.8601296E7</v>
      </c>
      <c r="C355" s="1">
        <v>4.22922528E8</v>
      </c>
      <c r="D355" s="1" t="s">
        <v>234</v>
      </c>
    </row>
    <row r="356">
      <c r="A356" s="1">
        <v>671.0</v>
      </c>
      <c r="B356" s="1">
        <v>9.8508175E7</v>
      </c>
      <c r="C356" s="1">
        <v>4.21729639E8</v>
      </c>
      <c r="D356" s="1" t="s">
        <v>673</v>
      </c>
    </row>
    <row r="357">
      <c r="A357" s="1">
        <v>353.0</v>
      </c>
      <c r="B357" s="1">
        <v>9.8499882E7</v>
      </c>
      <c r="C357" s="1">
        <v>4.21079527E8</v>
      </c>
      <c r="D357" s="1" t="s">
        <v>675</v>
      </c>
    </row>
    <row r="358">
      <c r="A358" s="1">
        <v>630.0</v>
      </c>
      <c r="B358" s="1">
        <v>9.8398342E7</v>
      </c>
      <c r="C358" s="1">
        <v>4.20812755E8</v>
      </c>
      <c r="D358" s="1" t="s">
        <v>677</v>
      </c>
    </row>
    <row r="359">
      <c r="A359" s="1">
        <v>475.0</v>
      </c>
      <c r="B359" s="1">
        <v>9.8379732E7</v>
      </c>
      <c r="C359" s="1">
        <v>4.20731739E8</v>
      </c>
      <c r="D359" s="1" t="s">
        <v>679</v>
      </c>
    </row>
    <row r="360">
      <c r="A360" s="1">
        <v>602.0</v>
      </c>
      <c r="B360" s="1">
        <v>9.8372362E7</v>
      </c>
      <c r="C360" s="1">
        <v>4.20525798E8</v>
      </c>
      <c r="D360" s="1" t="s">
        <v>680</v>
      </c>
    </row>
    <row r="361">
      <c r="A361" s="1">
        <v>475.0</v>
      </c>
      <c r="B361" s="1">
        <v>9.83538E7</v>
      </c>
      <c r="C361" s="1">
        <v>4.2046169E8</v>
      </c>
      <c r="D361" s="1" t="s">
        <v>682</v>
      </c>
    </row>
    <row r="362">
      <c r="A362" s="1">
        <v>173.0</v>
      </c>
      <c r="B362" s="1">
        <v>9.8245418E7</v>
      </c>
      <c r="C362" s="1">
        <v>4.20310216E8</v>
      </c>
      <c r="D362" s="1" t="s">
        <v>684</v>
      </c>
    </row>
    <row r="363">
      <c r="A363" s="1">
        <v>676.0</v>
      </c>
      <c r="B363" s="1">
        <v>9.8234341E7</v>
      </c>
      <c r="C363" s="1">
        <v>4.19795745E8</v>
      </c>
      <c r="D363" s="1" t="s">
        <v>686</v>
      </c>
    </row>
    <row r="364">
      <c r="A364" s="1">
        <v>570.0</v>
      </c>
      <c r="B364" s="1">
        <v>9.822722E7</v>
      </c>
      <c r="C364" s="1">
        <v>4.19762228E8</v>
      </c>
      <c r="D364" s="1" t="s">
        <v>688</v>
      </c>
    </row>
    <row r="365">
      <c r="A365" s="1">
        <v>504.0</v>
      </c>
      <c r="B365" s="1">
        <v>9.8216237E7</v>
      </c>
      <c r="C365" s="1">
        <v>4.19733125E8</v>
      </c>
      <c r="D365" s="1" t="s">
        <v>690</v>
      </c>
    </row>
    <row r="366">
      <c r="A366" s="1">
        <v>353.0</v>
      </c>
      <c r="B366" s="1">
        <v>9.8161473E7</v>
      </c>
      <c r="C366" s="1">
        <v>4.19877275E8</v>
      </c>
      <c r="D366" s="1" t="s">
        <v>691</v>
      </c>
    </row>
    <row r="367">
      <c r="A367" s="1">
        <v>385.0</v>
      </c>
      <c r="B367" s="1">
        <v>9.8112395E7</v>
      </c>
      <c r="C367" s="1">
        <v>4.19216023E8</v>
      </c>
      <c r="D367" s="1" t="s">
        <v>693</v>
      </c>
    </row>
    <row r="368">
      <c r="A368" s="1">
        <v>173.0</v>
      </c>
      <c r="B368" s="1">
        <v>9.8078151E7</v>
      </c>
      <c r="C368" s="1">
        <v>4.19024074E8</v>
      </c>
      <c r="D368" s="1" t="s">
        <v>696</v>
      </c>
    </row>
    <row r="369">
      <c r="A369" s="1">
        <v>406.0</v>
      </c>
      <c r="B369" s="1">
        <v>9.8075422E7</v>
      </c>
      <c r="C369" s="1">
        <v>4.23763236E8</v>
      </c>
      <c r="D369" s="1" t="s">
        <v>697</v>
      </c>
    </row>
    <row r="370">
      <c r="A370" s="1">
        <v>587.0</v>
      </c>
      <c r="B370" s="1">
        <v>9.8050766E7</v>
      </c>
      <c r="C370" s="1">
        <v>4.19314574E8</v>
      </c>
      <c r="D370" s="1" t="s">
        <v>700</v>
      </c>
    </row>
    <row r="371">
      <c r="A371" s="1">
        <v>664.0</v>
      </c>
      <c r="B371" s="1">
        <v>9.8017207E7</v>
      </c>
      <c r="C371" s="1">
        <v>4.187083E8</v>
      </c>
      <c r="D371" s="1" t="s">
        <v>702</v>
      </c>
    </row>
    <row r="372">
      <c r="A372" s="1">
        <v>578.0</v>
      </c>
      <c r="B372" s="1">
        <v>9.8000945E7</v>
      </c>
      <c r="C372" s="1">
        <v>4.3204374E8</v>
      </c>
      <c r="D372" s="1" t="s">
        <v>703</v>
      </c>
    </row>
    <row r="373">
      <c r="A373" s="1">
        <v>630.0</v>
      </c>
      <c r="B373" s="1">
        <v>9.8000678E7</v>
      </c>
      <c r="C373" s="1">
        <v>4.19322903E8</v>
      </c>
      <c r="D373" s="17" t="s">
        <v>705</v>
      </c>
    </row>
    <row r="374">
      <c r="A374" s="1">
        <v>455.0</v>
      </c>
      <c r="B374" s="1">
        <v>9.7997461E7</v>
      </c>
      <c r="C374" s="1">
        <v>4.18924557E8</v>
      </c>
      <c r="D374" s="1" t="s">
        <v>708</v>
      </c>
    </row>
    <row r="375">
      <c r="A375" s="1">
        <v>676.0</v>
      </c>
      <c r="B375" s="1">
        <v>9.7994459E7</v>
      </c>
      <c r="C375" s="1">
        <v>4.19240543E8</v>
      </c>
      <c r="D375" s="1" t="s">
        <v>710</v>
      </c>
    </row>
    <row r="376">
      <c r="A376" s="1">
        <v>661.0</v>
      </c>
      <c r="B376" s="1">
        <v>9.7975665E7</v>
      </c>
      <c r="C376" s="1">
        <v>4.18737018E8</v>
      </c>
      <c r="D376" s="1" t="s">
        <v>711</v>
      </c>
    </row>
    <row r="377">
      <c r="A377" s="1">
        <v>665.0</v>
      </c>
      <c r="B377" s="1">
        <v>9.7959473E7</v>
      </c>
      <c r="C377" s="1">
        <v>4.18449911E8</v>
      </c>
      <c r="D377" s="1" t="s">
        <v>713</v>
      </c>
    </row>
    <row r="378">
      <c r="A378" s="1">
        <v>210.0</v>
      </c>
      <c r="B378" s="1">
        <v>9.792189E7</v>
      </c>
      <c r="C378" s="1">
        <v>4.18486536E8</v>
      </c>
      <c r="D378" s="1" t="s">
        <v>715</v>
      </c>
    </row>
    <row r="379">
      <c r="A379" s="1">
        <v>571.0</v>
      </c>
      <c r="B379" s="1">
        <v>9.7913306E7</v>
      </c>
      <c r="C379" s="1">
        <v>4.19058064E8</v>
      </c>
      <c r="D379" s="1" t="s">
        <v>716</v>
      </c>
    </row>
    <row r="380">
      <c r="A380" s="1">
        <v>215.0</v>
      </c>
      <c r="B380" s="1">
        <v>9.7810993E7</v>
      </c>
      <c r="C380" s="1">
        <v>4.18206787E8</v>
      </c>
      <c r="D380" s="1" t="s">
        <v>719</v>
      </c>
    </row>
    <row r="381">
      <c r="A381" s="1">
        <v>671.0</v>
      </c>
      <c r="B381" s="1">
        <v>9.7803602E7</v>
      </c>
      <c r="C381" s="1">
        <v>4.18153466E8</v>
      </c>
      <c r="D381" s="1" t="s">
        <v>721</v>
      </c>
    </row>
    <row r="382">
      <c r="A382" s="1">
        <v>610.0</v>
      </c>
      <c r="B382" s="1">
        <v>9.7802282E7</v>
      </c>
      <c r="C382" s="1">
        <v>4.17779602E8</v>
      </c>
      <c r="D382" s="1" t="s">
        <v>722</v>
      </c>
    </row>
    <row r="383">
      <c r="A383" s="1">
        <v>570.0</v>
      </c>
      <c r="B383" s="1">
        <v>9.7747414E7</v>
      </c>
      <c r="C383" s="1">
        <v>4.17501691E8</v>
      </c>
      <c r="D383" s="1" t="s">
        <v>724</v>
      </c>
    </row>
    <row r="384">
      <c r="A384" s="1">
        <v>471.0</v>
      </c>
      <c r="B384" s="1">
        <v>9.7726875E7</v>
      </c>
      <c r="C384" s="1">
        <v>4.17510085E8</v>
      </c>
      <c r="D384" s="1" t="s">
        <v>726</v>
      </c>
    </row>
    <row r="385">
      <c r="A385" s="1">
        <v>471.0</v>
      </c>
      <c r="B385" s="1">
        <v>9.7726187E7</v>
      </c>
      <c r="C385" s="1">
        <v>4.17543681E8</v>
      </c>
      <c r="D385" s="1" t="s">
        <v>729</v>
      </c>
    </row>
    <row r="386">
      <c r="A386" s="1">
        <v>671.0</v>
      </c>
      <c r="B386" s="1">
        <v>9.7710669E7</v>
      </c>
      <c r="C386" s="1">
        <v>4.17297906E8</v>
      </c>
      <c r="D386" s="1" t="s">
        <v>730</v>
      </c>
    </row>
    <row r="387">
      <c r="A387" s="1">
        <v>671.0</v>
      </c>
      <c r="B387" s="1">
        <v>9.7707203E7</v>
      </c>
      <c r="C387" s="1">
        <v>4.17337589E8</v>
      </c>
      <c r="D387" s="1" t="s">
        <v>732</v>
      </c>
    </row>
    <row r="388">
      <c r="A388" s="1">
        <v>484.0</v>
      </c>
      <c r="B388" s="1">
        <v>9.7672709E7</v>
      </c>
      <c r="C388" s="1">
        <v>4.17474024E8</v>
      </c>
      <c r="D388" s="1" t="s">
        <v>733</v>
      </c>
    </row>
    <row r="389">
      <c r="A389" s="1">
        <v>587.0</v>
      </c>
      <c r="B389" s="1">
        <v>9.7658116E7</v>
      </c>
      <c r="C389" s="1">
        <v>4.17024707E8</v>
      </c>
      <c r="D389" s="1" t="s">
        <v>735</v>
      </c>
    </row>
    <row r="390">
      <c r="A390" s="1">
        <v>475.0</v>
      </c>
      <c r="B390" s="1">
        <v>9.7579818E7</v>
      </c>
      <c r="C390" s="1">
        <v>4.17002204E8</v>
      </c>
      <c r="D390" s="1" t="s">
        <v>737</v>
      </c>
    </row>
    <row r="391">
      <c r="A391" s="1">
        <v>504.0</v>
      </c>
      <c r="B391" s="1">
        <v>9.7500192E7</v>
      </c>
      <c r="C391" s="1">
        <v>4.16461874E8</v>
      </c>
      <c r="D391" s="1" t="s">
        <v>739</v>
      </c>
    </row>
    <row r="392">
      <c r="A392" s="1">
        <v>610.0</v>
      </c>
      <c r="B392" s="1">
        <v>9.7475744E7</v>
      </c>
      <c r="C392" s="1">
        <v>4.16199697E8</v>
      </c>
      <c r="D392" s="1" t="s">
        <v>742</v>
      </c>
    </row>
    <row r="393">
      <c r="A393" s="1">
        <v>571.0</v>
      </c>
      <c r="B393" s="1">
        <v>9.7452378E7</v>
      </c>
      <c r="C393" s="1">
        <v>4.1684645E8</v>
      </c>
      <c r="D393" s="1" t="s">
        <v>744</v>
      </c>
    </row>
    <row r="394">
      <c r="A394" s="1">
        <v>557.0</v>
      </c>
      <c r="B394" s="1">
        <v>9.7452239E7</v>
      </c>
      <c r="C394" s="1">
        <v>4.1651778E8</v>
      </c>
      <c r="D394" s="1" t="s">
        <v>745</v>
      </c>
    </row>
    <row r="395">
      <c r="A395" s="1">
        <v>244.0</v>
      </c>
      <c r="B395" s="1">
        <v>9.7426842E7</v>
      </c>
      <c r="C395" s="1">
        <v>4.16182092E8</v>
      </c>
      <c r="D395" s="1" t="s">
        <v>747</v>
      </c>
    </row>
    <row r="396">
      <c r="A396" s="1">
        <v>353.0</v>
      </c>
      <c r="B396" s="1">
        <v>9.7414321E7</v>
      </c>
      <c r="C396" s="1">
        <v>4.16557075E8</v>
      </c>
      <c r="D396" s="1" t="s">
        <v>749</v>
      </c>
    </row>
    <row r="397">
      <c r="A397" s="1">
        <v>353.0</v>
      </c>
      <c r="B397" s="1">
        <v>9.732485E7</v>
      </c>
      <c r="C397" s="1">
        <v>4.15658055E8</v>
      </c>
      <c r="D397" s="1" t="s">
        <v>752</v>
      </c>
    </row>
    <row r="398">
      <c r="A398" s="1">
        <v>194.0</v>
      </c>
      <c r="B398" s="1">
        <v>9.7316347E7</v>
      </c>
      <c r="C398" s="1">
        <v>4.15710871E8</v>
      </c>
      <c r="D398" s="1" t="s">
        <v>753</v>
      </c>
    </row>
    <row r="399">
      <c r="A399" s="1">
        <v>504.0</v>
      </c>
      <c r="B399" s="1">
        <v>9.7275294E7</v>
      </c>
      <c r="C399" s="1">
        <v>4.15859091E8</v>
      </c>
      <c r="D399" s="1" t="s">
        <v>755</v>
      </c>
    </row>
    <row r="400">
      <c r="A400" s="1">
        <v>673.0</v>
      </c>
      <c r="B400" s="1">
        <v>9.7253514E7</v>
      </c>
      <c r="C400" s="1">
        <v>4.15158793E8</v>
      </c>
      <c r="D400" s="1" t="s">
        <v>757</v>
      </c>
    </row>
    <row r="401">
      <c r="A401" s="1">
        <v>488.0</v>
      </c>
      <c r="B401" s="1">
        <v>9.7223181E7</v>
      </c>
      <c r="C401" s="1">
        <v>4.15381167E8</v>
      </c>
      <c r="D401" s="1" t="s">
        <v>759</v>
      </c>
    </row>
    <row r="402">
      <c r="A402" s="1">
        <v>504.0</v>
      </c>
      <c r="B402" s="1">
        <v>9.7130244E7</v>
      </c>
      <c r="C402" s="1">
        <v>4.14558254E8</v>
      </c>
      <c r="D402" s="1" t="s">
        <v>760</v>
      </c>
    </row>
    <row r="403">
      <c r="A403" s="1">
        <v>129.0</v>
      </c>
      <c r="B403" s="1">
        <v>9.7068858E7</v>
      </c>
      <c r="C403" s="1">
        <v>4.14361032E8</v>
      </c>
      <c r="D403" s="1" t="s">
        <v>762</v>
      </c>
    </row>
    <row r="404">
      <c r="A404" s="1">
        <v>173.0</v>
      </c>
      <c r="B404" s="1">
        <v>9.7050296E7</v>
      </c>
      <c r="C404" s="1">
        <v>4.14377056E8</v>
      </c>
      <c r="D404" s="1" t="s">
        <v>765</v>
      </c>
    </row>
    <row r="405">
      <c r="A405" s="1">
        <v>644.0</v>
      </c>
      <c r="B405" s="1">
        <v>9.6898449E7</v>
      </c>
      <c r="C405" s="1">
        <v>4.13573931E8</v>
      </c>
      <c r="D405" s="1" t="s">
        <v>766</v>
      </c>
    </row>
    <row r="406">
      <c r="A406" s="1">
        <v>173.0</v>
      </c>
      <c r="B406" s="1">
        <v>9.6890986E7</v>
      </c>
      <c r="C406" s="1">
        <v>4.1354929E8</v>
      </c>
      <c r="D406" s="1" t="s">
        <v>768</v>
      </c>
    </row>
    <row r="407">
      <c r="A407" s="1">
        <v>392.0</v>
      </c>
      <c r="B407" s="1">
        <v>9.6890934E7</v>
      </c>
      <c r="C407" s="1">
        <v>4.13765808E8</v>
      </c>
      <c r="D407" s="1" t="s">
        <v>769</v>
      </c>
    </row>
    <row r="408">
      <c r="A408" s="1">
        <v>380.0</v>
      </c>
      <c r="B408" s="1">
        <v>9.6817337E7</v>
      </c>
      <c r="C408" s="1">
        <v>4.13304433E8</v>
      </c>
      <c r="D408" s="1" t="s">
        <v>771</v>
      </c>
    </row>
    <row r="409">
      <c r="A409" s="1">
        <v>215.0</v>
      </c>
      <c r="B409" s="1">
        <v>9.6788589E7</v>
      </c>
      <c r="C409" s="1">
        <v>4.13622905E8</v>
      </c>
      <c r="D409" s="1" t="s">
        <v>772</v>
      </c>
    </row>
    <row r="410">
      <c r="A410" s="1">
        <v>671.0</v>
      </c>
      <c r="B410" s="1">
        <v>9.6739204E7</v>
      </c>
      <c r="C410" s="1">
        <v>4.1279051E8</v>
      </c>
      <c r="D410" s="25" t="str">
        <f>+10 have a blessed day!</f>
        <v>#ERROR!</v>
      </c>
    </row>
    <row r="411">
      <c r="A411" s="1">
        <v>630.0</v>
      </c>
      <c r="B411" s="1">
        <v>9.672455E7</v>
      </c>
      <c r="C411" s="1">
        <v>4.12842867E8</v>
      </c>
      <c r="D411" s="1" t="s">
        <v>777</v>
      </c>
    </row>
    <row r="412">
      <c r="A412" s="1">
        <v>173.0</v>
      </c>
      <c r="B412" s="1">
        <v>9.6708282E7</v>
      </c>
      <c r="C412" s="1">
        <v>4.1286206E8</v>
      </c>
      <c r="D412" s="1" t="s">
        <v>778</v>
      </c>
    </row>
    <row r="413">
      <c r="A413" s="1">
        <v>571.0</v>
      </c>
      <c r="B413" s="1">
        <v>9.6704857E7</v>
      </c>
      <c r="C413" s="1">
        <v>4.13373508E8</v>
      </c>
      <c r="D413" s="1" t="s">
        <v>780</v>
      </c>
    </row>
    <row r="414">
      <c r="A414" s="1">
        <v>672.0</v>
      </c>
      <c r="B414" s="1">
        <v>9.6704354E7</v>
      </c>
      <c r="C414" s="1">
        <v>4.12749807E8</v>
      </c>
      <c r="D414" s="1" t="s">
        <v>782</v>
      </c>
    </row>
    <row r="415">
      <c r="A415" s="1">
        <v>671.0</v>
      </c>
      <c r="B415" s="1">
        <v>9.6633332E7</v>
      </c>
      <c r="C415" s="1">
        <v>4.12505236E8</v>
      </c>
      <c r="D415" s="1" t="s">
        <v>784</v>
      </c>
    </row>
    <row r="416">
      <c r="A416" s="1">
        <v>120.0</v>
      </c>
      <c r="B416" s="1">
        <v>9.6624111E7</v>
      </c>
      <c r="C416" s="1">
        <v>4.12420002E8</v>
      </c>
      <c r="D416" s="1" t="s">
        <v>786</v>
      </c>
    </row>
    <row r="417">
      <c r="A417" s="1">
        <v>578.0</v>
      </c>
      <c r="B417" s="1">
        <v>9.6623087E7</v>
      </c>
      <c r="C417" s="1">
        <v>4.12456249E8</v>
      </c>
      <c r="D417" s="1" t="s">
        <v>787</v>
      </c>
    </row>
    <row r="418">
      <c r="A418" s="1">
        <v>392.0</v>
      </c>
      <c r="B418" s="1">
        <v>9.6591288E7</v>
      </c>
      <c r="C418" s="1">
        <v>4.12179597E8</v>
      </c>
      <c r="D418" s="1" t="s">
        <v>789</v>
      </c>
    </row>
    <row r="419">
      <c r="A419" s="1">
        <v>578.0</v>
      </c>
      <c r="B419" s="1">
        <v>9.652217E7</v>
      </c>
      <c r="C419" s="1">
        <v>4.12480688E8</v>
      </c>
      <c r="D419" s="1" t="s">
        <v>790</v>
      </c>
    </row>
    <row r="420">
      <c r="A420" s="1">
        <v>173.0</v>
      </c>
      <c r="B420" s="1">
        <v>9.6497655E7</v>
      </c>
      <c r="C420" s="1">
        <v>4.11718613E8</v>
      </c>
      <c r="D420" s="1" t="s">
        <v>792</v>
      </c>
    </row>
    <row r="421">
      <c r="A421" s="1">
        <v>173.0</v>
      </c>
      <c r="B421" s="1">
        <v>9.6481638E7</v>
      </c>
      <c r="C421" s="1">
        <v>4.11719759E8</v>
      </c>
      <c r="D421" s="1" t="s">
        <v>793</v>
      </c>
    </row>
    <row r="422">
      <c r="A422" s="1">
        <v>569.0</v>
      </c>
      <c r="B422" s="1">
        <v>9.6413352E7</v>
      </c>
      <c r="C422" s="1">
        <v>4.11488691E8</v>
      </c>
      <c r="D422" s="1" t="s">
        <v>796</v>
      </c>
    </row>
    <row r="423">
      <c r="A423" s="1">
        <v>244.0</v>
      </c>
      <c r="B423" s="1">
        <v>9.639529E7</v>
      </c>
      <c r="C423" s="1">
        <v>4.11428742E8</v>
      </c>
      <c r="D423" s="1" t="s">
        <v>798</v>
      </c>
    </row>
    <row r="424">
      <c r="A424" s="1">
        <v>602.0</v>
      </c>
      <c r="B424" s="1">
        <v>9.6390436E7</v>
      </c>
      <c r="C424" s="1">
        <v>4.11264939E8</v>
      </c>
      <c r="D424" s="1" t="s">
        <v>799</v>
      </c>
    </row>
    <row r="425">
      <c r="A425" s="1">
        <v>475.0</v>
      </c>
      <c r="B425" s="1">
        <v>9.6377967E7</v>
      </c>
      <c r="C425" s="1">
        <v>4.11453713E8</v>
      </c>
      <c r="D425" s="1" t="s">
        <v>801</v>
      </c>
    </row>
    <row r="426">
      <c r="A426" s="1">
        <v>532.0</v>
      </c>
      <c r="B426" s="1">
        <v>9.6304721E7</v>
      </c>
      <c r="C426" s="1">
        <v>4.90175468E8</v>
      </c>
      <c r="D426" s="1" t="s">
        <v>802</v>
      </c>
    </row>
    <row r="427">
      <c r="A427" s="1">
        <v>353.0</v>
      </c>
      <c r="B427" s="1">
        <v>9.6288358E7</v>
      </c>
      <c r="C427" s="1">
        <v>4.10723964E8</v>
      </c>
      <c r="D427" s="1" t="s">
        <v>804</v>
      </c>
    </row>
    <row r="428">
      <c r="A428" s="1">
        <v>353.0</v>
      </c>
      <c r="B428" s="1">
        <v>9.6279453E7</v>
      </c>
      <c r="C428" s="1">
        <v>4.10721155E8</v>
      </c>
      <c r="D428" s="1" t="s">
        <v>764</v>
      </c>
    </row>
    <row r="429">
      <c r="A429" s="1">
        <v>407.0</v>
      </c>
      <c r="B429" s="1">
        <v>9.6275279E7</v>
      </c>
      <c r="C429" s="1">
        <v>4.10738476E8</v>
      </c>
      <c r="D429" s="1" t="s">
        <v>806</v>
      </c>
    </row>
    <row r="430">
      <c r="A430" s="1">
        <v>571.0</v>
      </c>
      <c r="B430" s="1">
        <v>9.625918E7</v>
      </c>
      <c r="C430" s="1">
        <v>4.20601193E8</v>
      </c>
      <c r="D430" s="1" t="s">
        <v>808</v>
      </c>
    </row>
    <row r="431">
      <c r="A431" s="1">
        <v>571.0</v>
      </c>
      <c r="B431" s="1">
        <v>9.6227216E7</v>
      </c>
      <c r="C431" s="1">
        <v>4.10800779E8</v>
      </c>
      <c r="D431" s="1" t="s">
        <v>810</v>
      </c>
    </row>
    <row r="432">
      <c r="A432" s="1">
        <v>210.0</v>
      </c>
      <c r="B432" s="1">
        <v>9.6226883E7</v>
      </c>
      <c r="C432" s="1">
        <v>4.10462011E8</v>
      </c>
      <c r="D432" s="1" t="s">
        <v>811</v>
      </c>
    </row>
    <row r="433">
      <c r="A433" s="1">
        <v>531.0</v>
      </c>
      <c r="B433" s="1">
        <v>9.6214545E7</v>
      </c>
      <c r="C433" s="1">
        <v>4.10448563E8</v>
      </c>
      <c r="D433" s="1" t="s">
        <v>812</v>
      </c>
    </row>
    <row r="434">
      <c r="A434" s="1">
        <v>678.0</v>
      </c>
      <c r="B434" s="1">
        <v>9.6182163E7</v>
      </c>
      <c r="C434" s="1">
        <v>4.10160064E8</v>
      </c>
      <c r="D434" s="1" t="s">
        <v>813</v>
      </c>
    </row>
    <row r="435">
      <c r="A435" s="1">
        <v>129.0</v>
      </c>
      <c r="B435" s="1">
        <v>9.6130138E7</v>
      </c>
      <c r="C435" s="1">
        <v>4.09957535E8</v>
      </c>
      <c r="D435" s="1" t="s">
        <v>815</v>
      </c>
    </row>
    <row r="436">
      <c r="A436" s="1">
        <v>173.0</v>
      </c>
      <c r="B436" s="1">
        <v>9.6045367E7</v>
      </c>
      <c r="C436" s="1">
        <v>4.09533861E8</v>
      </c>
      <c r="D436" s="1" t="s">
        <v>816</v>
      </c>
    </row>
    <row r="437">
      <c r="A437" s="1">
        <v>571.0</v>
      </c>
      <c r="B437" s="1">
        <v>9.6007206E7</v>
      </c>
      <c r="C437" s="1">
        <v>4.09304614E8</v>
      </c>
      <c r="D437" s="1" t="s">
        <v>818</v>
      </c>
    </row>
    <row r="438">
      <c r="A438" s="1">
        <v>504.0</v>
      </c>
      <c r="B438" s="1">
        <v>9.599216E7</v>
      </c>
      <c r="C438" s="1">
        <v>4.09504119E8</v>
      </c>
      <c r="D438" s="1" t="s">
        <v>820</v>
      </c>
    </row>
    <row r="439">
      <c r="A439" s="1">
        <v>194.0</v>
      </c>
      <c r="B439" s="1">
        <v>9.5974594E7</v>
      </c>
      <c r="C439" s="1">
        <v>4.09226364E8</v>
      </c>
      <c r="D439" s="1" t="s">
        <v>821</v>
      </c>
    </row>
    <row r="440">
      <c r="A440" s="1">
        <v>557.0</v>
      </c>
      <c r="B440" s="1">
        <v>9.5970851E7</v>
      </c>
      <c r="C440" s="1">
        <v>4.09263253E8</v>
      </c>
      <c r="D440" s="1" t="s">
        <v>823</v>
      </c>
    </row>
    <row r="441">
      <c r="A441" s="1">
        <v>224.0</v>
      </c>
      <c r="B441" s="1">
        <v>9.5924679E7</v>
      </c>
      <c r="C441" s="1">
        <v>4.09210096E8</v>
      </c>
      <c r="D441" s="1" t="s">
        <v>825</v>
      </c>
    </row>
    <row r="442">
      <c r="A442" s="1">
        <v>455.0</v>
      </c>
      <c r="B442" s="1">
        <v>9.5918151E7</v>
      </c>
      <c r="C442" s="1">
        <v>4.08812577E8</v>
      </c>
      <c r="D442" s="1" t="s">
        <v>827</v>
      </c>
    </row>
    <row r="443">
      <c r="A443" s="1">
        <v>353.0</v>
      </c>
      <c r="B443" s="1">
        <v>9.5888347E7</v>
      </c>
      <c r="C443" s="1">
        <v>4.08894895E8</v>
      </c>
      <c r="D443" s="1" t="s">
        <v>829</v>
      </c>
    </row>
    <row r="444">
      <c r="A444" s="1">
        <v>504.0</v>
      </c>
      <c r="B444" s="1">
        <v>9.5881638E7</v>
      </c>
      <c r="C444" s="1">
        <v>4.08828784E8</v>
      </c>
      <c r="D444" s="1" t="s">
        <v>830</v>
      </c>
    </row>
    <row r="445">
      <c r="A445" s="1">
        <v>470.0</v>
      </c>
      <c r="B445" s="1">
        <v>9.5878727E7</v>
      </c>
      <c r="C445" s="1">
        <v>4.08841964E8</v>
      </c>
      <c r="D445" s="1" t="s">
        <v>831</v>
      </c>
    </row>
    <row r="446">
      <c r="A446" s="1">
        <v>484.0</v>
      </c>
      <c r="B446" s="1">
        <v>9.5863137E7</v>
      </c>
      <c r="C446" s="1">
        <v>4.08408291E8</v>
      </c>
      <c r="D446" s="1" t="s">
        <v>832</v>
      </c>
    </row>
    <row r="447">
      <c r="A447" s="1">
        <v>672.0</v>
      </c>
      <c r="B447" s="1">
        <v>9.5784106E7</v>
      </c>
      <c r="C447" s="1">
        <v>4.08861404E8</v>
      </c>
      <c r="D447" s="1" t="s">
        <v>834</v>
      </c>
    </row>
    <row r="448">
      <c r="A448" s="1">
        <v>571.0</v>
      </c>
      <c r="B448" s="1">
        <v>9.5735E7</v>
      </c>
      <c r="C448" s="1">
        <v>4.08146569E8</v>
      </c>
      <c r="D448" s="1" t="s">
        <v>835</v>
      </c>
    </row>
    <row r="449">
      <c r="A449" s="1">
        <v>504.0</v>
      </c>
      <c r="B449" s="1">
        <v>9.5640971E7</v>
      </c>
      <c r="C449" s="1">
        <v>4.07508952E8</v>
      </c>
      <c r="D449" s="1" t="s">
        <v>837</v>
      </c>
    </row>
    <row r="450">
      <c r="A450" s="1">
        <v>531.0</v>
      </c>
      <c r="B450" s="1">
        <v>9.5611794E7</v>
      </c>
      <c r="C450" s="1">
        <v>4.07559144E8</v>
      </c>
      <c r="D450" s="1" t="s">
        <v>839</v>
      </c>
    </row>
    <row r="451">
      <c r="A451" s="1">
        <v>319.0</v>
      </c>
      <c r="B451" s="1">
        <v>9.5610851E7</v>
      </c>
      <c r="C451" s="1">
        <v>4.07569227E8</v>
      </c>
      <c r="D451" s="1" t="s">
        <v>840</v>
      </c>
    </row>
    <row r="452">
      <c r="A452" s="1">
        <v>532.0</v>
      </c>
      <c r="B452" s="1">
        <v>9.559357E7</v>
      </c>
      <c r="C452" s="1">
        <v>4.0704121E8</v>
      </c>
      <c r="D452" s="1" t="s">
        <v>843</v>
      </c>
    </row>
    <row r="453">
      <c r="A453" s="1">
        <v>455.0</v>
      </c>
      <c r="B453" s="1">
        <v>9.558113E7</v>
      </c>
      <c r="C453" s="1">
        <v>4.09458982E8</v>
      </c>
      <c r="D453" s="1" t="s">
        <v>844</v>
      </c>
    </row>
    <row r="454">
      <c r="A454" s="1">
        <v>403.0</v>
      </c>
      <c r="B454" s="1">
        <v>9.556344E7</v>
      </c>
      <c r="C454" s="1">
        <v>4.0697924E8</v>
      </c>
      <c r="D454" s="1" t="s">
        <v>846</v>
      </c>
    </row>
    <row r="455">
      <c r="A455" s="1">
        <v>173.0</v>
      </c>
      <c r="B455" s="1">
        <v>9.5537379E7</v>
      </c>
      <c r="C455" s="1">
        <v>4.06842622E8</v>
      </c>
      <c r="D455" s="1" t="s">
        <v>848</v>
      </c>
    </row>
    <row r="456">
      <c r="A456" s="1">
        <v>571.0</v>
      </c>
      <c r="B456" s="1">
        <v>9.5528032E7</v>
      </c>
      <c r="C456" s="1">
        <v>4.06810368E8</v>
      </c>
      <c r="D456" s="1" t="s">
        <v>850</v>
      </c>
    </row>
    <row r="457">
      <c r="A457" s="1">
        <v>244.0</v>
      </c>
      <c r="B457" s="1">
        <v>9.5520135E7</v>
      </c>
      <c r="C457" s="1">
        <v>4.06995643E8</v>
      </c>
      <c r="D457" s="1" t="s">
        <v>851</v>
      </c>
    </row>
    <row r="458">
      <c r="A458" s="1">
        <v>671.0</v>
      </c>
      <c r="B458" s="1">
        <v>9.5518803E7</v>
      </c>
      <c r="C458" s="1">
        <v>4.06828946E8</v>
      </c>
      <c r="D458" s="1" t="s">
        <v>361</v>
      </c>
    </row>
    <row r="459">
      <c r="A459" s="1">
        <v>173.0</v>
      </c>
      <c r="B459" s="1">
        <v>9.5497386E7</v>
      </c>
      <c r="C459" s="1">
        <v>4.06854068E8</v>
      </c>
      <c r="D459" s="1" t="s">
        <v>854</v>
      </c>
    </row>
    <row r="460">
      <c r="A460" s="1">
        <v>492.0</v>
      </c>
      <c r="B460" s="1">
        <v>9.5473402E7</v>
      </c>
      <c r="C460" s="1">
        <v>4.07054059E8</v>
      </c>
      <c r="D460" s="1" t="s">
        <v>855</v>
      </c>
    </row>
    <row r="461">
      <c r="A461" s="1">
        <v>210.0</v>
      </c>
      <c r="B461" s="1">
        <v>9.5468068E7</v>
      </c>
      <c r="C461" s="1">
        <v>4.06552624E8</v>
      </c>
      <c r="D461" s="1" t="s">
        <v>857</v>
      </c>
    </row>
    <row r="462">
      <c r="A462" s="1">
        <v>578.0</v>
      </c>
      <c r="B462" s="1">
        <v>9.5464956E7</v>
      </c>
      <c r="C462" s="1">
        <v>4.06513617E8</v>
      </c>
      <c r="D462" s="1" t="s">
        <v>858</v>
      </c>
    </row>
    <row r="463">
      <c r="A463" s="1">
        <v>504.0</v>
      </c>
      <c r="B463" s="1">
        <v>9.545952E7</v>
      </c>
      <c r="C463" s="1">
        <v>4.0645223E8</v>
      </c>
      <c r="D463" s="1" t="s">
        <v>860</v>
      </c>
    </row>
    <row r="464">
      <c r="A464" s="1">
        <v>498.0</v>
      </c>
      <c r="B464" s="1">
        <v>9.5454838E7</v>
      </c>
      <c r="C464" s="1">
        <v>4.07019535E8</v>
      </c>
      <c r="D464" s="1" t="s">
        <v>861</v>
      </c>
    </row>
    <row r="465">
      <c r="A465" s="1">
        <v>319.0</v>
      </c>
      <c r="B465" s="1">
        <v>9.5425739E7</v>
      </c>
      <c r="C465" s="1">
        <v>4.06464551E8</v>
      </c>
      <c r="D465" s="1" t="s">
        <v>863</v>
      </c>
    </row>
    <row r="466">
      <c r="A466" s="1">
        <v>394.0</v>
      </c>
      <c r="B466" s="1">
        <v>9.5354477E7</v>
      </c>
      <c r="C466" s="1">
        <v>4.05828293E8</v>
      </c>
      <c r="D466" s="1" t="s">
        <v>864</v>
      </c>
    </row>
    <row r="467">
      <c r="A467" s="1">
        <v>602.0</v>
      </c>
      <c r="B467" s="1">
        <v>9.5312343E7</v>
      </c>
      <c r="C467" s="1">
        <v>4.05524117E8</v>
      </c>
      <c r="D467" s="1" t="s">
        <v>866</v>
      </c>
    </row>
    <row r="468">
      <c r="A468" s="1">
        <v>504.0</v>
      </c>
      <c r="B468" s="1">
        <v>9.5253004E7</v>
      </c>
      <c r="C468" s="1">
        <v>4.05242231E8</v>
      </c>
      <c r="D468" s="1" t="s">
        <v>869</v>
      </c>
    </row>
    <row r="469">
      <c r="A469" s="1">
        <v>671.0</v>
      </c>
      <c r="B469" s="1">
        <v>9.5232063E7</v>
      </c>
      <c r="C469" s="1">
        <v>4.05563466E8</v>
      </c>
      <c r="D469" s="1" t="s">
        <v>870</v>
      </c>
    </row>
    <row r="470">
      <c r="A470" s="1">
        <v>665.0</v>
      </c>
      <c r="B470" s="1">
        <v>9.5157119E7</v>
      </c>
      <c r="C470" s="1">
        <v>4.05045175E8</v>
      </c>
      <c r="D470" s="1" t="s">
        <v>872</v>
      </c>
    </row>
    <row r="471">
      <c r="A471" s="1">
        <v>630.0</v>
      </c>
      <c r="B471" s="1">
        <v>9.5120723E7</v>
      </c>
      <c r="C471" s="1">
        <v>4.05136753E8</v>
      </c>
      <c r="D471" s="1" t="s">
        <v>873</v>
      </c>
    </row>
    <row r="472">
      <c r="A472" s="1">
        <v>173.0</v>
      </c>
      <c r="B472" s="1">
        <v>9.5001434E7</v>
      </c>
      <c r="C472" s="1">
        <v>4.04145908E8</v>
      </c>
      <c r="D472" s="1" t="s">
        <v>875</v>
      </c>
    </row>
    <row r="473">
      <c r="A473" s="1">
        <v>455.0</v>
      </c>
      <c r="B473" s="1">
        <v>9.4999659E7</v>
      </c>
      <c r="C473" s="1">
        <v>4.15070255E8</v>
      </c>
      <c r="D473" s="1" t="s">
        <v>877</v>
      </c>
    </row>
    <row r="474">
      <c r="A474" s="1">
        <v>557.0</v>
      </c>
      <c r="B474" s="1">
        <v>9.4996479E7</v>
      </c>
      <c r="C474" s="1">
        <v>4.04109567E8</v>
      </c>
      <c r="D474" s="1" t="s">
        <v>878</v>
      </c>
    </row>
    <row r="475">
      <c r="A475" s="1">
        <v>578.0</v>
      </c>
      <c r="B475" s="1">
        <v>9.4959042E7</v>
      </c>
      <c r="C475" s="1">
        <v>4.04948938E8</v>
      </c>
      <c r="D475" s="1" t="s">
        <v>879</v>
      </c>
    </row>
    <row r="476">
      <c r="A476" s="1">
        <v>353.0</v>
      </c>
      <c r="B476" s="1">
        <v>9.4924215E7</v>
      </c>
      <c r="C476" s="1">
        <v>4.03916202E8</v>
      </c>
      <c r="D476" s="1" t="s">
        <v>882</v>
      </c>
    </row>
    <row r="477">
      <c r="A477" s="1">
        <v>630.0</v>
      </c>
      <c r="B477" s="1">
        <v>9.4856208E7</v>
      </c>
      <c r="C477" s="1">
        <v>4.03448422E8</v>
      </c>
      <c r="D477" s="1" t="s">
        <v>884</v>
      </c>
    </row>
    <row r="478">
      <c r="A478" s="1">
        <v>244.0</v>
      </c>
      <c r="B478" s="1">
        <v>9.4847014E7</v>
      </c>
      <c r="C478" s="1">
        <v>4.03362511E8</v>
      </c>
      <c r="D478" s="1" t="s">
        <v>885</v>
      </c>
    </row>
    <row r="479">
      <c r="A479" s="1">
        <v>244.0</v>
      </c>
      <c r="B479" s="1">
        <v>9.4825802E7</v>
      </c>
      <c r="C479" s="1">
        <v>4.03393568E8</v>
      </c>
      <c r="D479" s="1" t="s">
        <v>887</v>
      </c>
    </row>
    <row r="480">
      <c r="A480" s="1">
        <v>319.0</v>
      </c>
      <c r="B480" s="1">
        <v>9.4813854E7</v>
      </c>
      <c r="C480" s="1">
        <v>4.03636271E8</v>
      </c>
      <c r="D480" s="1" t="s">
        <v>888</v>
      </c>
    </row>
    <row r="481">
      <c r="A481" s="1">
        <v>504.0</v>
      </c>
      <c r="B481" s="1">
        <v>9.4810828E7</v>
      </c>
      <c r="C481" s="1">
        <v>4.03335895E8</v>
      </c>
      <c r="D481" s="1" t="s">
        <v>890</v>
      </c>
    </row>
    <row r="482">
      <c r="A482" s="1">
        <v>587.0</v>
      </c>
      <c r="B482" s="1">
        <v>9.4761184E7</v>
      </c>
      <c r="C482" s="1">
        <v>4.03125603E8</v>
      </c>
      <c r="D482" s="1" t="s">
        <v>891</v>
      </c>
    </row>
    <row r="483">
      <c r="A483" s="1">
        <v>587.0</v>
      </c>
      <c r="B483" s="1">
        <v>9.4756038E7</v>
      </c>
      <c r="C483" s="1">
        <v>4.03143258E8</v>
      </c>
      <c r="D483" s="1" t="s">
        <v>893</v>
      </c>
    </row>
    <row r="484">
      <c r="A484" s="1">
        <v>504.0</v>
      </c>
      <c r="B484" s="1">
        <v>9.4676834E7</v>
      </c>
      <c r="C484" s="1">
        <v>4.02998952E8</v>
      </c>
      <c r="D484" s="1" t="s">
        <v>895</v>
      </c>
    </row>
    <row r="485">
      <c r="A485" s="1">
        <v>353.0</v>
      </c>
      <c r="B485" s="1">
        <v>9.465917E7</v>
      </c>
      <c r="C485" s="1">
        <v>4.02760464E8</v>
      </c>
      <c r="D485" s="1" t="s">
        <v>897</v>
      </c>
    </row>
    <row r="486">
      <c r="A486" s="1">
        <v>173.0</v>
      </c>
      <c r="B486" s="1">
        <v>9.4635113E7</v>
      </c>
      <c r="C486" s="1">
        <v>4.02533777E8</v>
      </c>
      <c r="D486" s="1" t="s">
        <v>898</v>
      </c>
    </row>
    <row r="487">
      <c r="A487" s="1">
        <v>504.0</v>
      </c>
      <c r="B487" s="1">
        <v>9.4610509E7</v>
      </c>
      <c r="C487" s="1">
        <v>4.02429879E8</v>
      </c>
      <c r="D487" s="1" t="s">
        <v>900</v>
      </c>
    </row>
    <row r="488">
      <c r="A488" s="1">
        <v>674.0</v>
      </c>
      <c r="B488" s="1">
        <v>9.4604032E7</v>
      </c>
      <c r="C488" s="1">
        <v>4.0241336E8</v>
      </c>
      <c r="D488" s="1" t="s">
        <v>901</v>
      </c>
    </row>
    <row r="489">
      <c r="A489" s="1">
        <v>410.0</v>
      </c>
      <c r="B489" s="1">
        <v>9.4591793E7</v>
      </c>
      <c r="C489" s="1">
        <v>4.24832987E8</v>
      </c>
      <c r="D489" s="1" t="s">
        <v>903</v>
      </c>
    </row>
    <row r="490">
      <c r="A490" s="1">
        <v>353.0</v>
      </c>
      <c r="B490" s="1">
        <v>9.4545907E7</v>
      </c>
      <c r="C490" s="1">
        <v>4.02244437E8</v>
      </c>
      <c r="D490" s="1" t="s">
        <v>904</v>
      </c>
    </row>
    <row r="491">
      <c r="A491" s="1">
        <v>129.0</v>
      </c>
      <c r="B491" s="1">
        <v>9.4541712E7</v>
      </c>
      <c r="C491" s="1">
        <v>4.01918931E8</v>
      </c>
      <c r="D491" s="1" t="s">
        <v>907</v>
      </c>
    </row>
    <row r="492">
      <c r="A492" s="1">
        <v>671.0</v>
      </c>
      <c r="B492" s="1">
        <v>9.4525689E7</v>
      </c>
      <c r="C492" s="1">
        <v>4.01949482E8</v>
      </c>
      <c r="D492" s="1" t="s">
        <v>909</v>
      </c>
    </row>
    <row r="493">
      <c r="A493" s="1">
        <v>403.0</v>
      </c>
      <c r="B493" s="1">
        <v>9.4501259E7</v>
      </c>
      <c r="C493" s="1">
        <v>4.01877177E8</v>
      </c>
      <c r="D493" s="1" t="s">
        <v>910</v>
      </c>
    </row>
    <row r="494">
      <c r="A494" s="1">
        <v>673.0</v>
      </c>
      <c r="B494" s="1">
        <v>9.4445053E7</v>
      </c>
      <c r="C494" s="1">
        <v>4.08569271E8</v>
      </c>
      <c r="D494" s="1" t="s">
        <v>912</v>
      </c>
    </row>
    <row r="495">
      <c r="A495" s="1">
        <v>173.0</v>
      </c>
      <c r="B495" s="1">
        <v>9.4391734E7</v>
      </c>
      <c r="C495" s="1">
        <v>4.0194857E8</v>
      </c>
      <c r="D495" s="1" t="s">
        <v>914</v>
      </c>
    </row>
    <row r="496">
      <c r="A496" s="1">
        <v>504.0</v>
      </c>
      <c r="B496" s="1">
        <v>9.4377707E7</v>
      </c>
      <c r="C496" s="1">
        <v>4.01305391E8</v>
      </c>
      <c r="D496" s="1" t="s">
        <v>915</v>
      </c>
    </row>
    <row r="497">
      <c r="A497" s="1">
        <v>492.0</v>
      </c>
      <c r="B497" s="1">
        <v>9.4351494E7</v>
      </c>
      <c r="C497" s="1">
        <v>4.01047671E8</v>
      </c>
      <c r="D497" s="1" t="s">
        <v>917</v>
      </c>
    </row>
    <row r="498">
      <c r="A498" s="1">
        <v>353.0</v>
      </c>
      <c r="B498" s="1">
        <v>9.4321464E7</v>
      </c>
      <c r="C498" s="1">
        <v>4.01080718E8</v>
      </c>
      <c r="D498" s="1" t="s">
        <v>919</v>
      </c>
    </row>
    <row r="499">
      <c r="A499" s="1">
        <v>667.0</v>
      </c>
      <c r="B499" s="1">
        <v>9.4287437E7</v>
      </c>
      <c r="C499" s="1">
        <v>4.01065852E8</v>
      </c>
      <c r="D499" s="1" t="s">
        <v>921</v>
      </c>
    </row>
    <row r="500">
      <c r="A500" s="1">
        <v>521.0</v>
      </c>
      <c r="B500" s="1">
        <v>9.420914E7</v>
      </c>
      <c r="C500" s="1">
        <v>4.00409154E8</v>
      </c>
      <c r="D500" s="1" t="s">
        <v>923</v>
      </c>
    </row>
    <row r="501">
      <c r="A501" s="1">
        <v>129.0</v>
      </c>
      <c r="B501" s="1">
        <v>9.4180402E7</v>
      </c>
      <c r="C501" s="1">
        <v>4.00467938E8</v>
      </c>
      <c r="D501" s="1" t="s">
        <v>924</v>
      </c>
    </row>
    <row r="502">
      <c r="A502" s="1">
        <v>674.0</v>
      </c>
      <c r="B502" s="1">
        <v>9.4036009E7</v>
      </c>
      <c r="C502" s="1">
        <v>3.99692296E8</v>
      </c>
      <c r="D502" s="1" t="s">
        <v>926</v>
      </c>
    </row>
    <row r="503">
      <c r="A503" s="1">
        <v>129.0</v>
      </c>
      <c r="B503" s="1">
        <v>9.3992907E7</v>
      </c>
      <c r="C503" s="1">
        <v>3.99452155E8</v>
      </c>
      <c r="D503" s="1" t="s">
        <v>928</v>
      </c>
    </row>
    <row r="504">
      <c r="A504" s="1">
        <v>380.0</v>
      </c>
      <c r="B504" s="1">
        <v>9.3988862E7</v>
      </c>
      <c r="C504" s="1">
        <v>3.99688498E8</v>
      </c>
      <c r="D504" s="1" t="s">
        <v>929</v>
      </c>
    </row>
    <row r="505">
      <c r="A505" s="1">
        <v>173.0</v>
      </c>
      <c r="B505" s="1">
        <v>9.3947653E7</v>
      </c>
      <c r="C505" s="1">
        <v>3.99217049E8</v>
      </c>
      <c r="D505" s="1" t="s">
        <v>931</v>
      </c>
    </row>
    <row r="506">
      <c r="A506" s="1">
        <v>565.0</v>
      </c>
      <c r="B506" s="1">
        <v>9.3905658E7</v>
      </c>
      <c r="C506" s="1">
        <v>3.99500853E8</v>
      </c>
      <c r="D506" s="1" t="s">
        <v>933</v>
      </c>
    </row>
    <row r="507">
      <c r="A507" s="1">
        <v>484.0</v>
      </c>
      <c r="B507" s="1">
        <v>9.3893747E7</v>
      </c>
      <c r="C507" s="1">
        <v>4.63497726E8</v>
      </c>
      <c r="D507" s="1" t="s">
        <v>934</v>
      </c>
    </row>
    <row r="508">
      <c r="A508" s="1">
        <v>671.0</v>
      </c>
      <c r="B508" s="1">
        <v>9.3888137E7</v>
      </c>
      <c r="C508" s="1">
        <v>3.98911013E8</v>
      </c>
      <c r="D508" s="1" t="s">
        <v>935</v>
      </c>
    </row>
    <row r="509">
      <c r="A509" s="1">
        <v>630.0</v>
      </c>
      <c r="B509" s="1">
        <v>9.3815842E7</v>
      </c>
      <c r="C509" s="1">
        <v>3.98961788E8</v>
      </c>
      <c r="D509" s="1" t="s">
        <v>937</v>
      </c>
    </row>
    <row r="510">
      <c r="A510" s="1">
        <v>462.0</v>
      </c>
      <c r="B510" s="1">
        <v>9.3781878E7</v>
      </c>
      <c r="C510" s="1">
        <v>3.98405817E8</v>
      </c>
      <c r="D510" s="1" t="s">
        <v>939</v>
      </c>
    </row>
    <row r="511">
      <c r="A511" s="1">
        <v>353.0</v>
      </c>
      <c r="B511" s="1">
        <v>9.3758708E7</v>
      </c>
      <c r="C511" s="1">
        <v>4.31393747E8</v>
      </c>
      <c r="D511" s="1" t="s">
        <v>941</v>
      </c>
    </row>
    <row r="512">
      <c r="A512" s="1">
        <v>587.0</v>
      </c>
      <c r="B512" s="1">
        <v>9.3757502E7</v>
      </c>
      <c r="C512" s="1">
        <v>3.98374833E8</v>
      </c>
      <c r="D512" s="1" t="s">
        <v>942</v>
      </c>
    </row>
    <row r="513">
      <c r="A513" s="1">
        <v>522.0</v>
      </c>
      <c r="B513" s="1">
        <v>9.3744865E7</v>
      </c>
      <c r="C513" s="1">
        <v>3.98329739E8</v>
      </c>
      <c r="D513" s="1" t="s">
        <v>944</v>
      </c>
    </row>
    <row r="514">
      <c r="A514" s="1">
        <v>394.0</v>
      </c>
      <c r="B514" s="1">
        <v>9.3731783E7</v>
      </c>
      <c r="C514" s="1">
        <v>3.98128099E8</v>
      </c>
      <c r="D514" s="1" t="s">
        <v>945</v>
      </c>
    </row>
    <row r="515">
      <c r="A515" s="1">
        <v>644.0</v>
      </c>
      <c r="B515" s="1">
        <v>9.3728963E7</v>
      </c>
      <c r="C515" s="1">
        <v>3.98364727E8</v>
      </c>
      <c r="D515" s="1" t="s">
        <v>523</v>
      </c>
    </row>
    <row r="516">
      <c r="A516" s="1">
        <v>173.0</v>
      </c>
      <c r="B516" s="1">
        <v>9.3710373E7</v>
      </c>
      <c r="C516" s="1">
        <v>3.98393423E8</v>
      </c>
      <c r="D516" s="1" t="s">
        <v>947</v>
      </c>
    </row>
    <row r="517">
      <c r="A517" s="1">
        <v>462.0</v>
      </c>
      <c r="B517" s="1">
        <v>9.3692841E7</v>
      </c>
      <c r="C517" s="1">
        <v>3.9792389E8</v>
      </c>
      <c r="D517" s="1" t="s">
        <v>950</v>
      </c>
    </row>
    <row r="518">
      <c r="A518" s="1">
        <v>671.0</v>
      </c>
      <c r="B518" s="1">
        <v>9.3687126E7</v>
      </c>
      <c r="C518" s="1">
        <v>3.97927513E8</v>
      </c>
      <c r="D518" s="1" t="s">
        <v>952</v>
      </c>
    </row>
    <row r="519">
      <c r="A519" s="1">
        <v>215.0</v>
      </c>
      <c r="B519" s="1">
        <v>9.3677131E7</v>
      </c>
      <c r="C519" s="1">
        <v>3.97941475E8</v>
      </c>
      <c r="D519" s="1" t="s">
        <v>953</v>
      </c>
    </row>
    <row r="520">
      <c r="A520" s="1">
        <v>671.0</v>
      </c>
      <c r="B520" s="1">
        <v>9.3668612E7</v>
      </c>
      <c r="C520" s="1">
        <v>3.98158499E8</v>
      </c>
      <c r="D520" s="1" t="s">
        <v>955</v>
      </c>
    </row>
    <row r="521">
      <c r="A521" s="1">
        <v>664.0</v>
      </c>
      <c r="B521" s="1">
        <v>9.3659147E7</v>
      </c>
      <c r="C521" s="1">
        <v>3.97869493E8</v>
      </c>
      <c r="D521" s="1" t="s">
        <v>956</v>
      </c>
    </row>
    <row r="522">
      <c r="A522" s="1">
        <v>498.0</v>
      </c>
      <c r="B522" s="1">
        <v>9.3606427E7</v>
      </c>
      <c r="C522" s="1">
        <v>3.97869545E8</v>
      </c>
      <c r="D522" s="1" t="s">
        <v>958</v>
      </c>
    </row>
    <row r="523">
      <c r="A523" s="1">
        <v>504.0</v>
      </c>
      <c r="B523" s="1">
        <v>9.3589468E7</v>
      </c>
      <c r="C523" s="1">
        <v>3.97547206E8</v>
      </c>
      <c r="D523" s="1" t="s">
        <v>959</v>
      </c>
    </row>
    <row r="524">
      <c r="A524" s="1">
        <v>564.0</v>
      </c>
      <c r="B524" s="1">
        <v>9.3563321E7</v>
      </c>
      <c r="C524" s="1">
        <v>3.98085319E8</v>
      </c>
      <c r="D524" s="1" t="s">
        <v>962</v>
      </c>
    </row>
    <row r="525">
      <c r="A525" s="1">
        <v>244.0</v>
      </c>
      <c r="B525" s="1">
        <v>9.3501936E7</v>
      </c>
      <c r="C525" s="1">
        <v>3.96973824E8</v>
      </c>
      <c r="D525" s="1" t="s">
        <v>964</v>
      </c>
    </row>
    <row r="526">
      <c r="A526" s="1">
        <v>578.0</v>
      </c>
      <c r="B526" s="1">
        <v>9.3419803E7</v>
      </c>
      <c r="C526" s="1">
        <v>3.96689276E8</v>
      </c>
      <c r="D526" s="1" t="s">
        <v>965</v>
      </c>
    </row>
    <row r="527">
      <c r="A527" s="1">
        <v>455.0</v>
      </c>
      <c r="B527" s="1">
        <v>9.3372831E7</v>
      </c>
      <c r="C527" s="1">
        <v>3.96367937E8</v>
      </c>
      <c r="D527" s="1" t="s">
        <v>967</v>
      </c>
    </row>
    <row r="528">
      <c r="A528" s="1">
        <v>661.0</v>
      </c>
      <c r="B528" s="1">
        <v>9.3356889E7</v>
      </c>
      <c r="C528" s="1">
        <v>3.9641469E8</v>
      </c>
      <c r="D528" s="1" t="s">
        <v>968</v>
      </c>
    </row>
    <row r="529">
      <c r="A529" s="1">
        <v>394.0</v>
      </c>
      <c r="B529" s="1">
        <v>9.333996E7</v>
      </c>
      <c r="C529" s="1">
        <v>3.96402984E8</v>
      </c>
      <c r="D529" s="1" t="s">
        <v>344</v>
      </c>
    </row>
    <row r="530">
      <c r="A530" s="1">
        <v>484.0</v>
      </c>
      <c r="B530" s="1">
        <v>9.3335417E7</v>
      </c>
      <c r="C530" s="1">
        <v>3.9635577E8</v>
      </c>
      <c r="D530" s="1" t="s">
        <v>971</v>
      </c>
    </row>
    <row r="531">
      <c r="A531" s="1">
        <v>597.0</v>
      </c>
      <c r="B531" s="1">
        <v>9.3305697E7</v>
      </c>
      <c r="C531" s="1">
        <v>3.96126035E8</v>
      </c>
      <c r="D531" s="1" t="s">
        <v>973</v>
      </c>
    </row>
    <row r="532">
      <c r="A532" s="1">
        <v>215.0</v>
      </c>
      <c r="B532" s="1">
        <v>9.3256371E7</v>
      </c>
      <c r="C532" s="1">
        <v>3.9770857E8</v>
      </c>
      <c r="D532" s="1" t="s">
        <v>975</v>
      </c>
    </row>
    <row r="533">
      <c r="A533" s="1">
        <v>406.0</v>
      </c>
      <c r="B533" s="1">
        <v>9.3191026E7</v>
      </c>
      <c r="C533" s="1">
        <v>3.96169818E8</v>
      </c>
      <c r="D533" s="1" t="s">
        <v>976</v>
      </c>
    </row>
    <row r="534">
      <c r="A534" s="1">
        <v>403.0</v>
      </c>
      <c r="B534" s="1">
        <v>9.3147861E7</v>
      </c>
      <c r="C534" s="1">
        <v>4.09704636E8</v>
      </c>
      <c r="D534" s="1" t="s">
        <v>978</v>
      </c>
    </row>
    <row r="535">
      <c r="A535" s="1">
        <v>654.0</v>
      </c>
      <c r="B535" s="1">
        <v>9.3139721E7</v>
      </c>
      <c r="C535" s="1">
        <v>3.95586013E8</v>
      </c>
      <c r="D535" s="1" t="s">
        <v>980</v>
      </c>
    </row>
    <row r="536">
      <c r="A536" s="1">
        <v>597.0</v>
      </c>
      <c r="B536" s="1">
        <v>9.3032563E7</v>
      </c>
      <c r="C536" s="1">
        <v>3.94949765E8</v>
      </c>
      <c r="D536" s="1" t="s">
        <v>981</v>
      </c>
    </row>
    <row r="537">
      <c r="A537" s="1">
        <v>462.0</v>
      </c>
      <c r="B537" s="1">
        <v>9.2985982E7</v>
      </c>
      <c r="C537" s="1">
        <v>3.94960677E8</v>
      </c>
      <c r="D537" s="1" t="s">
        <v>983</v>
      </c>
    </row>
    <row r="538">
      <c r="A538" s="1">
        <v>715.0</v>
      </c>
      <c r="B538" s="1">
        <v>9.2926316E7</v>
      </c>
      <c r="C538" s="1">
        <v>3.94545343E8</v>
      </c>
      <c r="D538" s="1" t="s">
        <v>984</v>
      </c>
    </row>
    <row r="539">
      <c r="A539" s="1">
        <v>532.0</v>
      </c>
      <c r="B539" s="1">
        <v>9.2919815E7</v>
      </c>
      <c r="C539" s="1">
        <v>3.94586055E8</v>
      </c>
      <c r="D539" s="1" t="s">
        <v>986</v>
      </c>
    </row>
    <row r="540">
      <c r="A540" s="1">
        <v>461.0</v>
      </c>
      <c r="B540" s="1">
        <v>9.2860493E7</v>
      </c>
      <c r="C540" s="1">
        <v>3.94289522E8</v>
      </c>
      <c r="D540" s="1" t="s">
        <v>988</v>
      </c>
    </row>
    <row r="541">
      <c r="A541" s="1">
        <v>671.0</v>
      </c>
      <c r="B541" s="1">
        <v>9.2847206E7</v>
      </c>
      <c r="C541" s="1">
        <v>3.94385197E8</v>
      </c>
      <c r="D541" s="1" t="s">
        <v>990</v>
      </c>
    </row>
    <row r="542">
      <c r="A542" s="1">
        <v>571.0</v>
      </c>
      <c r="B542" s="1">
        <v>9.2822137E7</v>
      </c>
      <c r="C542" s="1">
        <v>4.50503595E8</v>
      </c>
      <c r="D542" s="1" t="s">
        <v>991</v>
      </c>
    </row>
    <row r="543">
      <c r="A543" s="1">
        <v>353.0</v>
      </c>
      <c r="B543" s="1">
        <v>9.2801666E7</v>
      </c>
      <c r="C543" s="1">
        <v>3.940179E8</v>
      </c>
      <c r="D543" s="1" t="s">
        <v>993</v>
      </c>
    </row>
    <row r="544">
      <c r="A544" s="1">
        <v>213.0</v>
      </c>
      <c r="B544" s="1">
        <v>9.2786567E7</v>
      </c>
      <c r="C544" s="1">
        <v>4.02985685E8</v>
      </c>
      <c r="D544" s="1" t="s">
        <v>994</v>
      </c>
    </row>
    <row r="545">
      <c r="A545" s="1">
        <v>578.0</v>
      </c>
      <c r="B545" s="1">
        <v>9.2655154E7</v>
      </c>
      <c r="C545" s="1">
        <v>3.93423919E8</v>
      </c>
      <c r="D545" s="1" t="s">
        <v>995</v>
      </c>
    </row>
    <row r="546">
      <c r="A546" s="1">
        <v>532.0</v>
      </c>
      <c r="B546" s="1">
        <v>9.2621329E7</v>
      </c>
      <c r="C546" s="1">
        <v>3.93154991E8</v>
      </c>
      <c r="D546" s="1" t="s">
        <v>997</v>
      </c>
    </row>
    <row r="547">
      <c r="A547" s="1">
        <v>461.0</v>
      </c>
      <c r="B547" s="1">
        <v>9.2597649E7</v>
      </c>
      <c r="C547" s="1">
        <v>4.48457244E8</v>
      </c>
      <c r="D547" s="1" t="s">
        <v>998</v>
      </c>
    </row>
    <row r="548">
      <c r="A548" s="1">
        <v>380.0</v>
      </c>
      <c r="B548" s="1">
        <v>9.2570541E7</v>
      </c>
      <c r="C548" s="1">
        <v>3.93230635E8</v>
      </c>
      <c r="D548" s="1" t="s">
        <v>1000</v>
      </c>
    </row>
    <row r="549">
      <c r="A549" s="1">
        <v>471.0</v>
      </c>
      <c r="B549" s="1">
        <v>9.2566182E7</v>
      </c>
      <c r="C549" s="1">
        <v>3.93106095E8</v>
      </c>
      <c r="D549" s="1" t="s">
        <v>1001</v>
      </c>
    </row>
    <row r="550">
      <c r="A550" s="1">
        <v>671.0</v>
      </c>
      <c r="B550" s="1">
        <v>9.2541487E7</v>
      </c>
      <c r="C550" s="1">
        <v>3.92835781E8</v>
      </c>
      <c r="D550" s="1" t="s">
        <v>1004</v>
      </c>
    </row>
    <row r="551">
      <c r="A551" s="1">
        <v>173.0</v>
      </c>
      <c r="B551" s="1">
        <v>9.2536373E7</v>
      </c>
      <c r="C551" s="1">
        <v>3.92808292E8</v>
      </c>
      <c r="D551" s="1" t="s">
        <v>1005</v>
      </c>
    </row>
    <row r="552">
      <c r="A552" s="1">
        <v>716.0</v>
      </c>
      <c r="B552" s="1">
        <v>9.2503841E7</v>
      </c>
      <c r="C552" s="1">
        <v>3.93120902E8</v>
      </c>
      <c r="D552" s="1" t="s">
        <v>1007</v>
      </c>
    </row>
    <row r="553">
      <c r="A553" s="1">
        <v>669.0</v>
      </c>
      <c r="B553" s="1">
        <v>9.2388707E7</v>
      </c>
      <c r="C553" s="1">
        <v>3.9223752E8</v>
      </c>
      <c r="D553" s="1" t="s">
        <v>1008</v>
      </c>
    </row>
    <row r="554">
      <c r="A554" s="1">
        <v>210.0</v>
      </c>
      <c r="B554" s="1">
        <v>9.2387608E7</v>
      </c>
      <c r="C554" s="1">
        <v>3.92288048E8</v>
      </c>
      <c r="D554" s="1" t="s">
        <v>1009</v>
      </c>
    </row>
    <row r="555">
      <c r="A555" s="1">
        <v>320.0</v>
      </c>
      <c r="B555" s="1">
        <v>9.2382898E7</v>
      </c>
      <c r="C555" s="1">
        <v>3.92227043E8</v>
      </c>
      <c r="D555" s="1" t="s">
        <v>1010</v>
      </c>
    </row>
    <row r="556">
      <c r="A556" s="1">
        <v>484.0</v>
      </c>
      <c r="B556" s="1">
        <v>9.2355493E7</v>
      </c>
      <c r="C556" s="1">
        <v>3.92233592E8</v>
      </c>
      <c r="D556" s="1" t="s">
        <v>1011</v>
      </c>
    </row>
    <row r="557">
      <c r="A557" s="1">
        <v>719.0</v>
      </c>
      <c r="B557" s="1">
        <v>9.232E7</v>
      </c>
      <c r="C557" s="1">
        <v>3.9203113E8</v>
      </c>
      <c r="D557" s="1" t="s">
        <v>1013</v>
      </c>
    </row>
    <row r="558">
      <c r="A558" s="1">
        <v>392.0</v>
      </c>
      <c r="B558" s="1">
        <v>9.2318194E7</v>
      </c>
      <c r="C558" s="1">
        <v>3.92258015E8</v>
      </c>
      <c r="D558" s="1" t="s">
        <v>1014</v>
      </c>
    </row>
    <row r="559">
      <c r="A559" s="1">
        <v>715.0</v>
      </c>
      <c r="B559" s="1">
        <v>9.2309986E7</v>
      </c>
      <c r="C559" s="1">
        <v>3.91728868E8</v>
      </c>
      <c r="D559" s="1" t="s">
        <v>1017</v>
      </c>
    </row>
    <row r="560">
      <c r="A560" s="1">
        <v>700.0</v>
      </c>
      <c r="B560" s="1">
        <v>9.2225511E7</v>
      </c>
      <c r="C560" s="1">
        <v>3.9154743E8</v>
      </c>
      <c r="D560" s="17" t="s">
        <v>1018</v>
      </c>
    </row>
    <row r="561">
      <c r="A561" s="1">
        <v>319.0</v>
      </c>
      <c r="B561" s="1">
        <v>9.2168511E7</v>
      </c>
      <c r="C561" s="1">
        <v>3.91593005E8</v>
      </c>
      <c r="D561" s="1" t="s">
        <v>1020</v>
      </c>
    </row>
    <row r="562">
      <c r="A562" s="1">
        <v>719.0</v>
      </c>
      <c r="B562" s="1">
        <v>9.2162766E7</v>
      </c>
      <c r="C562" s="1">
        <v>3.91301732E8</v>
      </c>
      <c r="D562" s="1" t="s">
        <v>1022</v>
      </c>
    </row>
    <row r="563">
      <c r="A563" s="1">
        <v>409.0</v>
      </c>
      <c r="B563" s="1">
        <v>9.2157875E7</v>
      </c>
      <c r="C563" s="1">
        <v>3.91245229E8</v>
      </c>
      <c r="D563" s="1" t="s">
        <v>1023</v>
      </c>
    </row>
    <row r="564">
      <c r="A564" s="1">
        <v>215.0</v>
      </c>
      <c r="B564" s="1">
        <v>9.2141588E7</v>
      </c>
      <c r="C564" s="1">
        <v>3.9134979E8</v>
      </c>
      <c r="D564" s="1" t="s">
        <v>1025</v>
      </c>
    </row>
    <row r="565">
      <c r="A565" s="1">
        <v>719.0</v>
      </c>
      <c r="B565" s="1">
        <v>9.2137421E7</v>
      </c>
      <c r="C565" s="1">
        <v>3.90940894E8</v>
      </c>
      <c r="D565" s="1" t="s">
        <v>1026</v>
      </c>
    </row>
    <row r="566">
      <c r="A566" s="1">
        <v>654.0</v>
      </c>
      <c r="B566" s="1">
        <v>9.2122326E7</v>
      </c>
      <c r="C566" s="1">
        <v>3.91599279E8</v>
      </c>
      <c r="D566" s="1" t="s">
        <v>119</v>
      </c>
    </row>
    <row r="567">
      <c r="A567" s="1">
        <v>696.0</v>
      </c>
      <c r="B567" s="1">
        <v>9.2108624E7</v>
      </c>
      <c r="C567" s="1">
        <v>3.9174777E8</v>
      </c>
      <c r="D567" s="1" t="s">
        <v>1030</v>
      </c>
    </row>
    <row r="568">
      <c r="A568" s="1">
        <v>213.0</v>
      </c>
      <c r="B568" s="1">
        <v>9.2083096E7</v>
      </c>
      <c r="C568" s="1">
        <v>3.91157112E8</v>
      </c>
      <c r="D568" s="1" t="s">
        <v>1032</v>
      </c>
    </row>
    <row r="569">
      <c r="A569" s="1">
        <v>531.0</v>
      </c>
      <c r="B569" s="1">
        <v>9.2067753E7</v>
      </c>
      <c r="C569" s="1">
        <v>3.91759252E8</v>
      </c>
      <c r="D569" s="1" t="s">
        <v>520</v>
      </c>
    </row>
    <row r="570">
      <c r="A570" s="1">
        <v>504.0</v>
      </c>
      <c r="B570" s="1">
        <v>9.2037302E7</v>
      </c>
      <c r="C570" s="1">
        <v>3.9058881E8</v>
      </c>
      <c r="D570" s="1" t="s">
        <v>1034</v>
      </c>
    </row>
    <row r="571">
      <c r="A571" s="1">
        <v>498.0</v>
      </c>
      <c r="B571" s="1">
        <v>9.2036417E7</v>
      </c>
      <c r="C571" s="1">
        <v>3.90885398E8</v>
      </c>
      <c r="D571" s="1" t="s">
        <v>1036</v>
      </c>
    </row>
    <row r="572">
      <c r="A572" s="1">
        <v>210.0</v>
      </c>
      <c r="B572" s="1">
        <v>9.1971642E7</v>
      </c>
      <c r="C572" s="1">
        <v>3.90417501E8</v>
      </c>
      <c r="D572" s="1" t="s">
        <v>1037</v>
      </c>
    </row>
    <row r="573">
      <c r="A573" s="1">
        <v>173.0</v>
      </c>
      <c r="B573" s="1">
        <v>9.1885111E7</v>
      </c>
      <c r="C573" s="1">
        <v>3.90110957E8</v>
      </c>
      <c r="D573" s="1" t="s">
        <v>1040</v>
      </c>
    </row>
    <row r="574">
      <c r="A574" s="1">
        <v>414.0</v>
      </c>
      <c r="B574" s="1">
        <v>9.1859252E7</v>
      </c>
      <c r="C574" s="1">
        <v>3.9034224E8</v>
      </c>
      <c r="D574" s="1" t="s">
        <v>1041</v>
      </c>
    </row>
    <row r="575">
      <c r="A575" s="1">
        <v>215.0</v>
      </c>
      <c r="B575" s="1">
        <v>9.1824275E7</v>
      </c>
      <c r="C575" s="1">
        <v>3.90451595E8</v>
      </c>
      <c r="D575" s="1" t="s">
        <v>1042</v>
      </c>
    </row>
    <row r="576">
      <c r="A576" s="1">
        <v>673.0</v>
      </c>
      <c r="B576" s="1">
        <v>9.1760742E7</v>
      </c>
      <c r="C576" s="1">
        <v>3.89172777E8</v>
      </c>
      <c r="D576" s="1" t="s">
        <v>1044</v>
      </c>
    </row>
    <row r="577">
      <c r="A577" s="1">
        <v>667.0</v>
      </c>
      <c r="B577" s="1">
        <v>9.1732849E7</v>
      </c>
      <c r="C577" s="1">
        <v>3.89193986E8</v>
      </c>
      <c r="D577" s="1" t="s">
        <v>1045</v>
      </c>
    </row>
    <row r="578">
      <c r="A578" s="1">
        <v>593.0</v>
      </c>
      <c r="B578" s="1">
        <v>9.1714923E7</v>
      </c>
      <c r="C578" s="1">
        <v>3.89493735E8</v>
      </c>
      <c r="D578" s="1" t="s">
        <v>1047</v>
      </c>
    </row>
    <row r="579">
      <c r="A579" s="1">
        <v>458.0</v>
      </c>
      <c r="B579" s="1">
        <v>9.1636073E7</v>
      </c>
      <c r="C579" s="1">
        <v>3.88849966E8</v>
      </c>
      <c r="D579" s="1" t="s">
        <v>1049</v>
      </c>
    </row>
    <row r="580">
      <c r="A580" s="1">
        <v>317.0</v>
      </c>
      <c r="B580" s="1">
        <v>9.1635441E7</v>
      </c>
      <c r="C580" s="1">
        <v>4.59578739E8</v>
      </c>
      <c r="D580" s="1" t="s">
        <v>1050</v>
      </c>
    </row>
    <row r="581">
      <c r="A581" s="1">
        <v>673.0</v>
      </c>
      <c r="B581" s="1">
        <v>9.1600637E7</v>
      </c>
      <c r="C581" s="1">
        <v>3.88512851E8</v>
      </c>
      <c r="D581" s="1" t="s">
        <v>1052</v>
      </c>
    </row>
    <row r="582">
      <c r="A582" s="1">
        <v>244.0</v>
      </c>
      <c r="B582" s="1">
        <v>9.1536009E7</v>
      </c>
      <c r="C582" s="1">
        <v>3.88202168E8</v>
      </c>
      <c r="D582" s="1" t="s">
        <v>1053</v>
      </c>
    </row>
    <row r="583">
      <c r="A583" s="1">
        <v>671.0</v>
      </c>
      <c r="B583" s="1">
        <v>9.151914E7</v>
      </c>
      <c r="C583" s="1">
        <v>3.88268587E8</v>
      </c>
      <c r="D583" s="1" t="s">
        <v>1055</v>
      </c>
    </row>
    <row r="584">
      <c r="A584" s="1">
        <v>173.0</v>
      </c>
      <c r="B584" s="1">
        <v>9.1436443E7</v>
      </c>
      <c r="C584" s="1">
        <v>3.88055065E8</v>
      </c>
      <c r="D584" s="1" t="s">
        <v>1056</v>
      </c>
    </row>
    <row r="585">
      <c r="A585" s="1">
        <v>677.0</v>
      </c>
      <c r="B585" s="1">
        <v>9.142617E7</v>
      </c>
      <c r="C585" s="1">
        <v>3.88244744E8</v>
      </c>
      <c r="D585" s="1" t="s">
        <v>1057</v>
      </c>
    </row>
    <row r="586">
      <c r="A586" s="1">
        <v>672.0</v>
      </c>
      <c r="B586" s="1">
        <v>9.1415732E7</v>
      </c>
      <c r="C586" s="1">
        <v>3.87920789E8</v>
      </c>
      <c r="D586" s="1" t="s">
        <v>1058</v>
      </c>
    </row>
    <row r="587">
      <c r="A587" s="1">
        <v>570.0</v>
      </c>
      <c r="B587" s="1">
        <v>9.139603E7</v>
      </c>
      <c r="C587" s="1">
        <v>3.8796277E8</v>
      </c>
      <c r="D587" s="1" t="s">
        <v>1061</v>
      </c>
    </row>
    <row r="588">
      <c r="A588" s="1">
        <v>471.0</v>
      </c>
      <c r="B588" s="1">
        <v>9.1336617E7</v>
      </c>
      <c r="C588" s="1">
        <v>3.8765125E8</v>
      </c>
      <c r="D588" s="1" t="s">
        <v>1063</v>
      </c>
    </row>
    <row r="589">
      <c r="A589" s="1">
        <v>697.0</v>
      </c>
      <c r="B589" s="1">
        <v>9.1282127E7</v>
      </c>
      <c r="C589" s="1">
        <v>3.87331772E8</v>
      </c>
      <c r="D589" s="1" t="s">
        <v>1064</v>
      </c>
    </row>
    <row r="590">
      <c r="A590" s="1">
        <v>173.0</v>
      </c>
      <c r="B590" s="1">
        <v>9.1252891E7</v>
      </c>
      <c r="C590" s="1">
        <v>3.87390025E8</v>
      </c>
      <c r="D590" s="1" t="s">
        <v>1066</v>
      </c>
    </row>
    <row r="591">
      <c r="A591" s="1">
        <v>455.0</v>
      </c>
      <c r="B591" s="1">
        <v>9.1213238E7</v>
      </c>
      <c r="C591" s="1">
        <v>3.87020447E8</v>
      </c>
      <c r="D591" s="1" t="s">
        <v>1067</v>
      </c>
    </row>
    <row r="592">
      <c r="A592" s="1">
        <v>700.0</v>
      </c>
      <c r="B592" s="1">
        <v>9.1183304E7</v>
      </c>
      <c r="C592" s="1">
        <v>3.87061898E8</v>
      </c>
      <c r="D592" s="1" t="s">
        <v>1069</v>
      </c>
    </row>
    <row r="593">
      <c r="A593" s="1">
        <v>712.0</v>
      </c>
      <c r="B593" s="1">
        <v>9.1155405E7</v>
      </c>
      <c r="C593" s="1">
        <v>3.86637969E8</v>
      </c>
      <c r="D593" s="1" t="s">
        <v>1071</v>
      </c>
    </row>
    <row r="594">
      <c r="A594" s="1">
        <v>394.0</v>
      </c>
      <c r="B594" s="1">
        <v>9.1149496E7</v>
      </c>
      <c r="C594" s="1">
        <v>3.86659223E8</v>
      </c>
      <c r="D594" s="1" t="s">
        <v>1072</v>
      </c>
    </row>
    <row r="595">
      <c r="A595" s="1">
        <v>173.0</v>
      </c>
      <c r="B595" s="1">
        <v>9.1143478E7</v>
      </c>
      <c r="C595" s="1">
        <v>3.86699056E8</v>
      </c>
      <c r="D595" s="1" t="s">
        <v>1074</v>
      </c>
    </row>
    <row r="596">
      <c r="A596" s="1">
        <v>204.0</v>
      </c>
      <c r="B596" s="1">
        <v>9.1103102E7</v>
      </c>
      <c r="C596" s="1">
        <v>3.86682754E8</v>
      </c>
      <c r="D596" s="1" t="s">
        <v>1076</v>
      </c>
    </row>
    <row r="597">
      <c r="A597" s="1">
        <v>455.0</v>
      </c>
      <c r="B597" s="1">
        <v>9.108835E7</v>
      </c>
      <c r="C597" s="1">
        <v>3.86295425E8</v>
      </c>
      <c r="D597" s="1" t="s">
        <v>1078</v>
      </c>
    </row>
    <row r="598">
      <c r="A598" s="1">
        <v>173.0</v>
      </c>
      <c r="B598" s="1">
        <v>9.1083134E7</v>
      </c>
      <c r="C598" s="1">
        <v>3.86371589E8</v>
      </c>
      <c r="D598" s="1" t="s">
        <v>1079</v>
      </c>
    </row>
    <row r="599">
      <c r="A599" s="1">
        <v>343.0</v>
      </c>
      <c r="B599" s="1">
        <v>9.1058309E7</v>
      </c>
      <c r="C599" s="1">
        <v>3.86374307E8</v>
      </c>
      <c r="D599" s="1" t="s">
        <v>1080</v>
      </c>
    </row>
    <row r="600">
      <c r="A600" s="1">
        <v>673.0</v>
      </c>
      <c r="B600" s="1">
        <v>9.0985022E7</v>
      </c>
      <c r="C600" s="1">
        <v>3.86035094E8</v>
      </c>
      <c r="D600" s="1" t="s">
        <v>1082</v>
      </c>
    </row>
    <row r="601">
      <c r="A601" s="1">
        <v>671.0</v>
      </c>
      <c r="B601" s="1">
        <v>9.0908436E7</v>
      </c>
      <c r="C601" s="1">
        <v>3.86127112E8</v>
      </c>
      <c r="D601" s="1" t="s">
        <v>1083</v>
      </c>
    </row>
    <row r="602">
      <c r="A602" s="1">
        <v>484.0</v>
      </c>
      <c r="B602" s="1">
        <v>9.088719E7</v>
      </c>
      <c r="C602" s="1">
        <v>3.85457862E8</v>
      </c>
      <c r="D602" s="1" t="s">
        <v>1085</v>
      </c>
    </row>
    <row r="603">
      <c r="A603" s="1">
        <v>129.0</v>
      </c>
      <c r="B603" s="1">
        <v>9.0852438E7</v>
      </c>
      <c r="C603" s="1">
        <v>3.85197367E8</v>
      </c>
      <c r="D603" s="1" t="s">
        <v>1087</v>
      </c>
    </row>
    <row r="604">
      <c r="A604" s="1">
        <v>656.0</v>
      </c>
      <c r="B604" s="1">
        <v>9.0789886E7</v>
      </c>
      <c r="C604" s="1">
        <v>4.33703531E8</v>
      </c>
      <c r="D604" s="1" t="s">
        <v>1089</v>
      </c>
    </row>
    <row r="605">
      <c r="A605" s="1">
        <v>462.0</v>
      </c>
      <c r="B605" s="1">
        <v>9.0788013E7</v>
      </c>
      <c r="C605" s="1">
        <v>3.85256343E8</v>
      </c>
      <c r="D605" s="1" t="s">
        <v>1090</v>
      </c>
    </row>
    <row r="606">
      <c r="A606" s="1">
        <v>608.0</v>
      </c>
      <c r="B606" s="1">
        <v>9.0755284E7</v>
      </c>
      <c r="C606" s="1">
        <v>3.84909826E8</v>
      </c>
      <c r="D606" s="1" t="s">
        <v>1092</v>
      </c>
    </row>
    <row r="607">
      <c r="A607" s="1">
        <v>586.0</v>
      </c>
      <c r="B607" s="1">
        <v>9.0738922E7</v>
      </c>
      <c r="C607" s="1">
        <v>3.84920313E8</v>
      </c>
      <c r="D607" s="1" t="s">
        <v>1094</v>
      </c>
    </row>
    <row r="608">
      <c r="A608" s="1">
        <v>644.0</v>
      </c>
      <c r="B608" s="1">
        <v>9.0689824E7</v>
      </c>
      <c r="C608" s="1">
        <v>3.8491485E8</v>
      </c>
      <c r="D608" s="1" t="s">
        <v>1095</v>
      </c>
    </row>
    <row r="609">
      <c r="A609" s="1">
        <v>656.0</v>
      </c>
      <c r="B609" s="1">
        <v>9.0663174E7</v>
      </c>
      <c r="C609" s="1">
        <v>3.84508333E8</v>
      </c>
      <c r="D609" s="1" t="s">
        <v>1098</v>
      </c>
    </row>
    <row r="610">
      <c r="A610" s="1">
        <v>210.0</v>
      </c>
      <c r="B610" s="1">
        <v>9.0655829E7</v>
      </c>
      <c r="C610" s="1">
        <v>3.84562305E8</v>
      </c>
      <c r="D610" s="1" t="s">
        <v>1099</v>
      </c>
    </row>
    <row r="611">
      <c r="A611" s="1">
        <v>406.0</v>
      </c>
      <c r="B611" s="1">
        <v>9.0637978E7</v>
      </c>
      <c r="C611" s="1">
        <v>3.8455655E8</v>
      </c>
      <c r="D611" s="1" t="s">
        <v>1100</v>
      </c>
    </row>
    <row r="612">
      <c r="A612" s="1">
        <v>698.0</v>
      </c>
      <c r="B612" s="1">
        <v>9.0604742E7</v>
      </c>
      <c r="C612" s="1">
        <v>3.84484981E8</v>
      </c>
      <c r="D612" s="1" t="s">
        <v>1101</v>
      </c>
    </row>
    <row r="613">
      <c r="A613" s="1">
        <v>667.0</v>
      </c>
      <c r="B613" s="1">
        <v>9.0593236E7</v>
      </c>
      <c r="C613" s="1">
        <v>3.84189093E8</v>
      </c>
      <c r="D613" s="1" t="s">
        <v>1103</v>
      </c>
    </row>
    <row r="614">
      <c r="A614" s="1">
        <v>587.0</v>
      </c>
      <c r="B614" s="1">
        <v>9.0570463E7</v>
      </c>
      <c r="C614" s="1">
        <v>3.8398687E8</v>
      </c>
      <c r="D614" s="1" t="s">
        <v>1104</v>
      </c>
    </row>
    <row r="615">
      <c r="A615" s="1">
        <v>215.0</v>
      </c>
      <c r="B615" s="1">
        <v>9.0511996E7</v>
      </c>
      <c r="C615" s="1">
        <v>3.84043191E8</v>
      </c>
      <c r="D615" s="1" t="s">
        <v>1106</v>
      </c>
    </row>
    <row r="616">
      <c r="A616" s="1">
        <v>571.0</v>
      </c>
      <c r="B616" s="1">
        <v>9.0502705E7</v>
      </c>
      <c r="C616" s="1">
        <v>3.84053311E8</v>
      </c>
      <c r="D616" s="1" t="s">
        <v>1108</v>
      </c>
    </row>
    <row r="617">
      <c r="A617" s="1">
        <v>651.0</v>
      </c>
      <c r="B617" s="1">
        <v>9.0492859E7</v>
      </c>
      <c r="C617" s="1">
        <v>3.83713434E8</v>
      </c>
      <c r="D617" s="1" t="s">
        <v>1109</v>
      </c>
    </row>
    <row r="618">
      <c r="A618" s="1">
        <v>597.0</v>
      </c>
      <c r="B618" s="1">
        <v>9.0475792E7</v>
      </c>
      <c r="C618" s="1">
        <v>3.83459987E8</v>
      </c>
      <c r="D618" s="1" t="s">
        <v>1110</v>
      </c>
    </row>
    <row r="619">
      <c r="A619" s="1">
        <v>504.0</v>
      </c>
      <c r="B619" s="1">
        <v>9.0437962E7</v>
      </c>
      <c r="C619" s="1">
        <v>3.83406238E8</v>
      </c>
      <c r="D619" s="1" t="s">
        <v>1112</v>
      </c>
    </row>
    <row r="620">
      <c r="A620" s="1">
        <v>215.0</v>
      </c>
      <c r="B620" s="1">
        <v>9.0414926E7</v>
      </c>
      <c r="C620" s="1">
        <v>3.83296692E8</v>
      </c>
      <c r="D620" s="1" t="s">
        <v>1113</v>
      </c>
    </row>
    <row r="621">
      <c r="A621" s="1">
        <v>317.0</v>
      </c>
      <c r="B621" s="1">
        <v>9.0414899E7</v>
      </c>
      <c r="C621" s="1">
        <v>3.83203097E8</v>
      </c>
      <c r="D621" s="1" t="s">
        <v>1114</v>
      </c>
    </row>
    <row r="622">
      <c r="A622" s="1">
        <v>213.0</v>
      </c>
      <c r="B622" s="1">
        <v>9.0407263E7</v>
      </c>
      <c r="C622" s="1">
        <v>3.83864229E8</v>
      </c>
      <c r="D622" s="1" t="s">
        <v>1116</v>
      </c>
    </row>
    <row r="623">
      <c r="A623" s="1">
        <v>586.0</v>
      </c>
      <c r="B623" s="1">
        <v>9.0398201E7</v>
      </c>
      <c r="C623" s="1">
        <v>3.83454531E8</v>
      </c>
      <c r="D623" s="1" t="s">
        <v>1117</v>
      </c>
    </row>
    <row r="624">
      <c r="A624" s="1">
        <v>667.0</v>
      </c>
      <c r="B624" s="1">
        <v>9.0394694E7</v>
      </c>
      <c r="C624" s="1">
        <v>3.8325076E8</v>
      </c>
      <c r="D624" s="1" t="s">
        <v>1120</v>
      </c>
    </row>
    <row r="625">
      <c r="A625" s="1">
        <v>353.0</v>
      </c>
      <c r="B625" s="1">
        <v>9.0322829E7</v>
      </c>
      <c r="C625" s="1">
        <v>4.48495726E8</v>
      </c>
      <c r="D625" s="1" t="s">
        <v>1121</v>
      </c>
    </row>
    <row r="626">
      <c r="A626" s="1">
        <v>715.0</v>
      </c>
      <c r="B626" s="1">
        <v>9.0296708E7</v>
      </c>
      <c r="C626" s="1">
        <v>3.82875276E8</v>
      </c>
      <c r="D626" s="1" t="s">
        <v>1123</v>
      </c>
    </row>
    <row r="627">
      <c r="A627" s="1">
        <v>671.0</v>
      </c>
      <c r="B627" s="1">
        <v>9.0260098E7</v>
      </c>
      <c r="C627" s="1">
        <v>3.83015748E8</v>
      </c>
      <c r="D627" s="1" t="s">
        <v>1124</v>
      </c>
    </row>
    <row r="628">
      <c r="A628" s="1">
        <v>421.0</v>
      </c>
      <c r="B628" s="1">
        <v>9.0254271E7</v>
      </c>
      <c r="C628" s="1">
        <v>3.8322093E8</v>
      </c>
      <c r="D628" s="1" t="s">
        <v>1126</v>
      </c>
    </row>
    <row r="629">
      <c r="A629" s="1">
        <v>504.0</v>
      </c>
      <c r="B629" s="1">
        <v>9.0247598E7</v>
      </c>
      <c r="C629" s="1">
        <v>3.82864575E8</v>
      </c>
      <c r="D629" s="1" t="s">
        <v>1127</v>
      </c>
    </row>
    <row r="630">
      <c r="A630" s="1">
        <v>630.0</v>
      </c>
      <c r="B630" s="1">
        <v>9.0223872E7</v>
      </c>
      <c r="C630" s="1">
        <v>3.82994112E8</v>
      </c>
      <c r="D630" s="1" t="s">
        <v>1129</v>
      </c>
    </row>
    <row r="631">
      <c r="A631" s="1">
        <v>630.0</v>
      </c>
      <c r="B631" s="1">
        <v>9.0155405E7</v>
      </c>
      <c r="C631" s="1">
        <v>3.83023783E8</v>
      </c>
      <c r="D631" s="1" t="s">
        <v>1131</v>
      </c>
    </row>
    <row r="632">
      <c r="A632" s="1">
        <v>380.0</v>
      </c>
      <c r="B632" s="1">
        <v>9.0152092E7</v>
      </c>
      <c r="C632" s="1">
        <v>3.82055964E8</v>
      </c>
      <c r="D632" s="1" t="s">
        <v>1133</v>
      </c>
    </row>
    <row r="633">
      <c r="A633" s="1">
        <v>667.0</v>
      </c>
      <c r="B633" s="1">
        <v>9.0111285E7</v>
      </c>
      <c r="C633" s="1">
        <v>3.82034808E8</v>
      </c>
      <c r="D633" s="1" t="s">
        <v>1135</v>
      </c>
    </row>
    <row r="634">
      <c r="A634" s="1">
        <v>129.0</v>
      </c>
      <c r="B634" s="1">
        <v>9.0097988E7</v>
      </c>
      <c r="C634" s="1">
        <v>4.58217141E8</v>
      </c>
      <c r="D634" s="1" t="s">
        <v>1137</v>
      </c>
    </row>
    <row r="635">
      <c r="A635" s="1">
        <v>380.0</v>
      </c>
      <c r="B635" s="1">
        <v>9.0081951E7</v>
      </c>
      <c r="C635" s="1">
        <v>3.82031273E8</v>
      </c>
      <c r="D635" s="1" t="s">
        <v>1138</v>
      </c>
    </row>
    <row r="636">
      <c r="A636" s="1">
        <v>215.0</v>
      </c>
      <c r="B636" s="1">
        <v>9.0011127E7</v>
      </c>
      <c r="C636" s="1">
        <v>3.81923805E8</v>
      </c>
      <c r="D636" s="1" t="s">
        <v>1140</v>
      </c>
    </row>
    <row r="637">
      <c r="A637" s="1">
        <v>421.0</v>
      </c>
      <c r="B637" s="1">
        <v>8.9961487E7</v>
      </c>
      <c r="C637" s="1">
        <v>3.81590351E8</v>
      </c>
      <c r="D637" s="1" t="s">
        <v>1142</v>
      </c>
    </row>
    <row r="638">
      <c r="A638" s="1">
        <v>471.0</v>
      </c>
      <c r="B638" s="1">
        <v>8.9951182E7</v>
      </c>
      <c r="C638" s="1">
        <v>3.81275542E8</v>
      </c>
      <c r="D638" s="1" t="s">
        <v>1143</v>
      </c>
    </row>
    <row r="639">
      <c r="A639" s="1">
        <v>593.0</v>
      </c>
      <c r="B639" s="1">
        <v>8.9935239E7</v>
      </c>
      <c r="C639" s="1">
        <v>3.80935904E8</v>
      </c>
      <c r="D639" s="1" t="s">
        <v>1145</v>
      </c>
    </row>
    <row r="640">
      <c r="A640" s="1">
        <v>669.0</v>
      </c>
      <c r="B640" s="1">
        <v>8.983818E7</v>
      </c>
      <c r="C640" s="1">
        <v>3.80626238E8</v>
      </c>
      <c r="D640" s="1" t="s">
        <v>1147</v>
      </c>
    </row>
    <row r="641">
      <c r="A641" s="1">
        <v>578.0</v>
      </c>
      <c r="B641" s="1">
        <v>8.981629E7</v>
      </c>
      <c r="C641" s="1">
        <v>3.80598604E8</v>
      </c>
      <c r="D641" s="1" t="s">
        <v>1149</v>
      </c>
    </row>
    <row r="642">
      <c r="A642" s="1">
        <v>700.0</v>
      </c>
      <c r="B642" s="1">
        <v>8.9814512E7</v>
      </c>
      <c r="C642" s="1">
        <v>3.80591238E8</v>
      </c>
      <c r="D642" s="1" t="s">
        <v>1150</v>
      </c>
    </row>
    <row r="643">
      <c r="A643" s="1">
        <v>597.0</v>
      </c>
      <c r="B643" s="1">
        <v>8.9770615E7</v>
      </c>
      <c r="C643" s="1">
        <v>3.80353282E8</v>
      </c>
      <c r="D643" s="1" t="s">
        <v>1152</v>
      </c>
    </row>
    <row r="644">
      <c r="A644" s="1">
        <v>602.0</v>
      </c>
      <c r="B644" s="1">
        <v>8.9765063E7</v>
      </c>
      <c r="C644" s="1">
        <v>3.80343902E8</v>
      </c>
      <c r="D644" s="1" t="s">
        <v>1153</v>
      </c>
    </row>
    <row r="645">
      <c r="A645" s="1">
        <v>643.0</v>
      </c>
      <c r="B645" s="1">
        <v>8.9748339E7</v>
      </c>
      <c r="C645" s="1">
        <v>3.80380912E8</v>
      </c>
      <c r="D645" s="1" t="s">
        <v>1155</v>
      </c>
    </row>
    <row r="646">
      <c r="A646" s="1">
        <v>671.0</v>
      </c>
      <c r="B646" s="1">
        <v>8.972633E7</v>
      </c>
      <c r="C646" s="1">
        <v>3.80113249E8</v>
      </c>
      <c r="D646" s="1" t="s">
        <v>1157</v>
      </c>
    </row>
    <row r="647">
      <c r="A647" s="1">
        <v>353.0</v>
      </c>
      <c r="B647" s="1">
        <v>8.971936E7</v>
      </c>
      <c r="C647" s="1">
        <v>3.80121275E8</v>
      </c>
      <c r="D647" s="1" t="s">
        <v>1158</v>
      </c>
    </row>
    <row r="648">
      <c r="A648" s="1">
        <v>564.0</v>
      </c>
      <c r="B648" s="1">
        <v>8.9660451E7</v>
      </c>
      <c r="C648" s="1">
        <v>3.80336002E8</v>
      </c>
      <c r="D648" s="1" t="s">
        <v>1160</v>
      </c>
    </row>
    <row r="649">
      <c r="A649" s="1">
        <v>587.0</v>
      </c>
      <c r="B649" s="1">
        <v>8.965049E7</v>
      </c>
      <c r="C649" s="1">
        <v>3.79843051E8</v>
      </c>
      <c r="D649" s="1" t="s">
        <v>1162</v>
      </c>
    </row>
    <row r="650">
      <c r="A650" s="1">
        <v>173.0</v>
      </c>
      <c r="B650" s="1">
        <v>8.9639128E7</v>
      </c>
      <c r="C650" s="1">
        <v>4.07630121E8</v>
      </c>
      <c r="D650" s="1" t="s">
        <v>1164</v>
      </c>
    </row>
    <row r="651">
      <c r="A651" s="1">
        <v>700.0</v>
      </c>
      <c r="B651" s="1">
        <v>8.9563283E7</v>
      </c>
      <c r="C651" s="1">
        <v>3.79527851E8</v>
      </c>
      <c r="D651" s="1" t="s">
        <v>521</v>
      </c>
    </row>
    <row r="652">
      <c r="A652" s="1">
        <v>664.0</v>
      </c>
      <c r="B652" s="1">
        <v>8.9423761E7</v>
      </c>
      <c r="C652" s="1">
        <v>3.78935451E8</v>
      </c>
      <c r="D652" s="1" t="s">
        <v>1166</v>
      </c>
    </row>
    <row r="653">
      <c r="A653" s="1">
        <v>173.0</v>
      </c>
      <c r="B653" s="1">
        <v>8.9386031E7</v>
      </c>
      <c r="C653" s="1">
        <v>3.78663104E8</v>
      </c>
      <c r="D653" s="1" t="s">
        <v>1167</v>
      </c>
    </row>
    <row r="654">
      <c r="A654" s="1">
        <v>498.0</v>
      </c>
      <c r="B654" s="1">
        <v>8.9353312E7</v>
      </c>
      <c r="C654" s="1">
        <v>3.78579416E8</v>
      </c>
      <c r="D654" s="1" t="s">
        <v>1168</v>
      </c>
    </row>
    <row r="655">
      <c r="A655" s="1">
        <v>484.0</v>
      </c>
      <c r="B655" s="1">
        <v>8.9306609E7</v>
      </c>
      <c r="C655" s="1">
        <v>3.78562278E8</v>
      </c>
      <c r="D655" s="1" t="s">
        <v>1170</v>
      </c>
    </row>
    <row r="656">
      <c r="A656" s="1">
        <v>475.0</v>
      </c>
      <c r="B656" s="1">
        <v>8.9287726E7</v>
      </c>
      <c r="C656" s="1">
        <v>3.78044742E8</v>
      </c>
      <c r="D656" s="1" t="s">
        <v>1172</v>
      </c>
    </row>
    <row r="657">
      <c r="A657" s="1">
        <v>194.0</v>
      </c>
      <c r="B657" s="1">
        <v>8.9207648E7</v>
      </c>
      <c r="C657" s="1">
        <v>3.78301128E8</v>
      </c>
      <c r="D657" s="1" t="s">
        <v>1174</v>
      </c>
    </row>
    <row r="658">
      <c r="A658" s="1">
        <v>593.0</v>
      </c>
      <c r="B658" s="1">
        <v>8.9181584E7</v>
      </c>
      <c r="C658" s="1">
        <v>3.77780098E8</v>
      </c>
      <c r="D658" s="1" t="s">
        <v>1175</v>
      </c>
    </row>
    <row r="659">
      <c r="A659" s="1">
        <v>630.0</v>
      </c>
      <c r="B659" s="1">
        <v>8.9091313E7</v>
      </c>
      <c r="C659" s="1">
        <v>3.77387069E8</v>
      </c>
      <c r="D659" s="1" t="s">
        <v>1180</v>
      </c>
    </row>
    <row r="660">
      <c r="A660" s="1">
        <v>353.0</v>
      </c>
      <c r="B660" s="1">
        <v>8.9086594E7</v>
      </c>
      <c r="C660" s="1">
        <v>3.77268449E8</v>
      </c>
      <c r="D660" s="1" t="s">
        <v>1182</v>
      </c>
    </row>
    <row r="661">
      <c r="A661" s="1">
        <v>337.0</v>
      </c>
      <c r="B661" s="1">
        <v>8.9084688E7</v>
      </c>
      <c r="C661" s="1">
        <v>3.77477632E8</v>
      </c>
      <c r="D661" s="1" t="s">
        <v>1184</v>
      </c>
    </row>
    <row r="662">
      <c r="A662" s="1">
        <v>414.0</v>
      </c>
      <c r="B662" s="1">
        <v>8.8983689E7</v>
      </c>
      <c r="C662" s="1">
        <v>3.7690814E8</v>
      </c>
      <c r="D662" s="1" t="s">
        <v>1185</v>
      </c>
    </row>
    <row r="663">
      <c r="A663" s="1">
        <v>601.0</v>
      </c>
      <c r="B663" s="1">
        <v>8.8982148E7</v>
      </c>
      <c r="C663" s="1">
        <v>3.76939904E8</v>
      </c>
      <c r="D663" s="1" t="s">
        <v>1187</v>
      </c>
    </row>
    <row r="664">
      <c r="A664" s="1">
        <v>571.0</v>
      </c>
      <c r="B664" s="1">
        <v>8.8976796E7</v>
      </c>
      <c r="C664" s="1">
        <v>3.77065195E8</v>
      </c>
      <c r="D664" s="1" t="s">
        <v>1188</v>
      </c>
    </row>
    <row r="665">
      <c r="A665" s="1">
        <v>353.0</v>
      </c>
      <c r="B665" s="1">
        <v>8.8956933E7</v>
      </c>
      <c r="C665" s="1">
        <v>3.76637921E8</v>
      </c>
      <c r="D665" s="1" t="s">
        <v>1189</v>
      </c>
    </row>
    <row r="666">
      <c r="A666" s="1">
        <v>194.0</v>
      </c>
      <c r="B666" s="1">
        <v>8.8914892E7</v>
      </c>
      <c r="C666" s="1">
        <v>3.76924823E8</v>
      </c>
      <c r="D666" s="1" t="s">
        <v>1191</v>
      </c>
    </row>
    <row r="667">
      <c r="A667" s="1">
        <v>716.0</v>
      </c>
      <c r="B667" s="1">
        <v>8.8912624E7</v>
      </c>
      <c r="C667" s="1">
        <v>3.76946905E8</v>
      </c>
      <c r="D667" s="1" t="s">
        <v>1193</v>
      </c>
    </row>
    <row r="668">
      <c r="A668" s="1">
        <v>676.0</v>
      </c>
      <c r="B668" s="1">
        <v>8.8887145E7</v>
      </c>
      <c r="C668" s="1">
        <v>3.77004154E8</v>
      </c>
      <c r="D668" s="1" t="s">
        <v>1195</v>
      </c>
    </row>
    <row r="669">
      <c r="A669" s="1">
        <v>550.0</v>
      </c>
      <c r="B669" s="1">
        <v>8.8883167E7</v>
      </c>
      <c r="C669" s="1">
        <v>3.76303946E8</v>
      </c>
      <c r="D669" s="1" t="s">
        <v>1196</v>
      </c>
    </row>
    <row r="670">
      <c r="A670" s="1">
        <v>484.0</v>
      </c>
      <c r="B670" s="1">
        <v>8.885545E7</v>
      </c>
      <c r="C670" s="1">
        <v>3.7655833E8</v>
      </c>
      <c r="D670" s="1" t="s">
        <v>1198</v>
      </c>
    </row>
    <row r="671">
      <c r="A671" s="1">
        <v>607.0</v>
      </c>
      <c r="B671" s="1">
        <v>8.8790278E7</v>
      </c>
      <c r="C671" s="1">
        <v>3.76336021E8</v>
      </c>
      <c r="D671" s="1" t="s">
        <v>1088</v>
      </c>
    </row>
    <row r="672">
      <c r="A672" s="1">
        <v>602.0</v>
      </c>
      <c r="B672" s="1">
        <v>8.8709806E7</v>
      </c>
      <c r="C672" s="1">
        <v>3.75554707E8</v>
      </c>
      <c r="D672" s="1" t="s">
        <v>1201</v>
      </c>
    </row>
    <row r="673">
      <c r="A673" s="1">
        <v>654.0</v>
      </c>
      <c r="B673" s="1">
        <v>8.8705039E7</v>
      </c>
      <c r="C673" s="1">
        <v>3.75572024E8</v>
      </c>
      <c r="D673" s="1" t="s">
        <v>1203</v>
      </c>
    </row>
    <row r="674">
      <c r="A674" s="1">
        <v>380.0</v>
      </c>
      <c r="B674" s="1">
        <v>8.8687421E7</v>
      </c>
      <c r="C674" s="1">
        <v>3.75598665E8</v>
      </c>
      <c r="D674" s="1" t="s">
        <v>1204</v>
      </c>
    </row>
    <row r="675">
      <c r="A675" s="1">
        <v>341.0</v>
      </c>
      <c r="B675" s="1">
        <v>8.8681031E7</v>
      </c>
      <c r="C675" s="1">
        <v>3.75663172E8</v>
      </c>
      <c r="D675" s="1" t="s">
        <v>1206</v>
      </c>
    </row>
    <row r="676">
      <c r="A676" s="1">
        <v>173.0</v>
      </c>
      <c r="B676" s="1">
        <v>8.8646446E7</v>
      </c>
      <c r="C676" s="1">
        <v>3.75318712E8</v>
      </c>
      <c r="D676" s="1" t="s">
        <v>1207</v>
      </c>
    </row>
    <row r="677">
      <c r="A677" s="1">
        <v>696.0</v>
      </c>
      <c r="B677" s="1">
        <v>8.864421E7</v>
      </c>
      <c r="C677" s="1">
        <v>3.75221522E8</v>
      </c>
      <c r="D677" s="1" t="s">
        <v>1209</v>
      </c>
    </row>
    <row r="678">
      <c r="A678" s="1">
        <v>571.0</v>
      </c>
      <c r="B678" s="1">
        <v>8.8636927E7</v>
      </c>
      <c r="C678" s="1">
        <v>3.75613747E8</v>
      </c>
      <c r="D678" s="1" t="s">
        <v>1211</v>
      </c>
    </row>
    <row r="679">
      <c r="A679" s="1">
        <v>194.0</v>
      </c>
      <c r="B679" s="1">
        <v>8.8635393E7</v>
      </c>
      <c r="C679" s="1">
        <v>3.7529813E8</v>
      </c>
      <c r="D679" s="1" t="s">
        <v>1212</v>
      </c>
    </row>
    <row r="680">
      <c r="A680" s="1">
        <v>475.0</v>
      </c>
      <c r="B680" s="1">
        <v>8.8634038E7</v>
      </c>
      <c r="C680" s="1">
        <v>3.75249643E8</v>
      </c>
      <c r="D680" s="1" t="s">
        <v>1215</v>
      </c>
    </row>
    <row r="681">
      <c r="A681" s="1">
        <v>210.0</v>
      </c>
      <c r="B681" s="1">
        <v>8.8600069E7</v>
      </c>
      <c r="C681" s="1">
        <v>3.74978298E8</v>
      </c>
      <c r="D681" s="1" t="s">
        <v>1216</v>
      </c>
    </row>
    <row r="682">
      <c r="A682" s="1">
        <v>210.0</v>
      </c>
      <c r="B682" s="1">
        <v>8.855205E7</v>
      </c>
      <c r="C682" s="1">
        <v>3.74977691E8</v>
      </c>
      <c r="D682" s="1" t="s">
        <v>1218</v>
      </c>
    </row>
    <row r="683">
      <c r="A683" s="1">
        <v>700.0</v>
      </c>
      <c r="B683" s="1">
        <v>8.8551167E7</v>
      </c>
      <c r="C683" s="1">
        <v>3.7486518E8</v>
      </c>
      <c r="D683" s="1" t="s">
        <v>1219</v>
      </c>
    </row>
    <row r="684">
      <c r="A684" s="1">
        <v>504.0</v>
      </c>
      <c r="B684" s="1">
        <v>8.8548384E7</v>
      </c>
      <c r="C684" s="1">
        <v>3.7487683E8</v>
      </c>
      <c r="D684" s="1" t="s">
        <v>1221</v>
      </c>
    </row>
    <row r="685">
      <c r="A685" s="1">
        <v>643.0</v>
      </c>
      <c r="B685" s="1">
        <v>8.8280383E7</v>
      </c>
      <c r="C685" s="1">
        <v>3.73573521E8</v>
      </c>
      <c r="D685" s="1" t="s">
        <v>1223</v>
      </c>
    </row>
    <row r="686">
      <c r="A686" s="1">
        <v>593.0</v>
      </c>
      <c r="B686" s="1">
        <v>8.818747E7</v>
      </c>
      <c r="C686" s="1">
        <v>3.73325473E8</v>
      </c>
      <c r="D686" s="1" t="s">
        <v>1224</v>
      </c>
    </row>
    <row r="687">
      <c r="A687" s="1">
        <v>394.0</v>
      </c>
      <c r="B687" s="1">
        <v>8.8178976E7</v>
      </c>
      <c r="C687" s="1">
        <v>3.72992141E8</v>
      </c>
      <c r="D687" s="1" t="s">
        <v>1226</v>
      </c>
    </row>
    <row r="688">
      <c r="A688" s="1">
        <v>571.0</v>
      </c>
      <c r="B688" s="1">
        <v>8.8154438E7</v>
      </c>
      <c r="C688" s="1">
        <v>3.73074469E8</v>
      </c>
      <c r="D688" s="1" t="s">
        <v>1227</v>
      </c>
    </row>
    <row r="689">
      <c r="A689" s="1">
        <v>644.0</v>
      </c>
      <c r="B689" s="1">
        <v>8.8131716E7</v>
      </c>
      <c r="C689" s="1">
        <v>3.72721566E8</v>
      </c>
      <c r="D689" s="1" t="s">
        <v>1230</v>
      </c>
    </row>
    <row r="690">
      <c r="A690" s="1">
        <v>602.0</v>
      </c>
      <c r="B690" s="1">
        <v>8.8107913E7</v>
      </c>
      <c r="C690" s="1">
        <v>3.73061186E8</v>
      </c>
      <c r="D690" s="1" t="s">
        <v>1231</v>
      </c>
    </row>
    <row r="691">
      <c r="A691" s="1">
        <v>394.0</v>
      </c>
      <c r="B691" s="1">
        <v>8.8075499E7</v>
      </c>
      <c r="C691" s="1">
        <v>3.72395224E8</v>
      </c>
      <c r="D691" s="1" t="s">
        <v>1233</v>
      </c>
    </row>
    <row r="692">
      <c r="A692" s="1">
        <v>409.0</v>
      </c>
      <c r="B692" s="1">
        <v>8.8075166E7</v>
      </c>
      <c r="C692" s="1">
        <v>3.72646642E8</v>
      </c>
      <c r="D692" s="1" t="s">
        <v>1235</v>
      </c>
    </row>
    <row r="693">
      <c r="A693" s="1">
        <v>565.0</v>
      </c>
      <c r="B693" s="1">
        <v>8.8069249E7</v>
      </c>
      <c r="C693" s="1">
        <v>3.72394295E8</v>
      </c>
      <c r="D693" s="1" t="s">
        <v>1236</v>
      </c>
    </row>
    <row r="694">
      <c r="A694" s="1">
        <v>204.0</v>
      </c>
      <c r="B694" s="1">
        <v>8.8058906E7</v>
      </c>
      <c r="C694" s="1">
        <v>3.72425286E8</v>
      </c>
      <c r="D694" s="1" t="s">
        <v>1238</v>
      </c>
    </row>
    <row r="695">
      <c r="A695" s="1">
        <v>700.0</v>
      </c>
      <c r="B695" s="1">
        <v>8.8042078E7</v>
      </c>
      <c r="C695" s="1">
        <v>3.72359753E8</v>
      </c>
      <c r="D695" s="1" t="s">
        <v>1239</v>
      </c>
    </row>
    <row r="696">
      <c r="A696" s="1">
        <v>458.0</v>
      </c>
      <c r="B696" s="1">
        <v>8.7953532E7</v>
      </c>
      <c r="C696" s="1">
        <v>3.71850337E8</v>
      </c>
      <c r="D696" s="1" t="s">
        <v>1241</v>
      </c>
    </row>
    <row r="697">
      <c r="A697" s="1">
        <v>173.0</v>
      </c>
      <c r="B697" s="1">
        <v>8.7945768E7</v>
      </c>
      <c r="C697" s="1">
        <v>3.71916312E8</v>
      </c>
      <c r="D697" s="1" t="s">
        <v>1243</v>
      </c>
    </row>
    <row r="698">
      <c r="A698" s="1">
        <v>180.0</v>
      </c>
      <c r="B698" s="1">
        <v>8.793769E7</v>
      </c>
      <c r="C698" s="1">
        <v>3.71888955E8</v>
      </c>
      <c r="D698" s="1" t="s">
        <v>1245</v>
      </c>
    </row>
    <row r="699">
      <c r="A699" s="1">
        <v>604.0</v>
      </c>
      <c r="B699" s="1">
        <v>8.788491E7</v>
      </c>
      <c r="C699" s="1">
        <v>3.7226978E8</v>
      </c>
      <c r="D699" s="1" t="s">
        <v>1247</v>
      </c>
    </row>
    <row r="700">
      <c r="A700" s="1">
        <v>526.0</v>
      </c>
      <c r="B700" s="1">
        <v>8.78642E7</v>
      </c>
      <c r="C700" s="1">
        <v>3.7159066E8</v>
      </c>
      <c r="D700" s="1" t="s">
        <v>1248</v>
      </c>
    </row>
    <row r="701">
      <c r="A701" s="1">
        <v>353.0</v>
      </c>
      <c r="B701" s="1">
        <v>8.7818927E7</v>
      </c>
      <c r="C701" s="1">
        <v>3.71370021E8</v>
      </c>
      <c r="D701" s="1" t="s">
        <v>1250</v>
      </c>
    </row>
    <row r="702">
      <c r="A702" s="1">
        <v>194.0</v>
      </c>
      <c r="B702" s="1">
        <v>8.7815653E7</v>
      </c>
      <c r="C702" s="1">
        <v>3.71605682E8</v>
      </c>
      <c r="D702" s="1" t="s">
        <v>1251</v>
      </c>
    </row>
    <row r="703">
      <c r="A703" s="1">
        <v>593.0</v>
      </c>
      <c r="B703" s="1">
        <v>8.7711181E7</v>
      </c>
      <c r="C703" s="1">
        <v>3.71007716E8</v>
      </c>
      <c r="D703" s="1" t="s">
        <v>514</v>
      </c>
    </row>
    <row r="704">
      <c r="A704" s="1">
        <v>337.0</v>
      </c>
      <c r="B704" s="1">
        <v>8.7695286E7</v>
      </c>
      <c r="C704" s="1">
        <v>3.71290074E8</v>
      </c>
      <c r="D704" s="1" t="s">
        <v>1254</v>
      </c>
    </row>
    <row r="705">
      <c r="A705" s="1">
        <v>414.0</v>
      </c>
      <c r="B705" s="1">
        <v>8.7668281E7</v>
      </c>
      <c r="C705" s="1">
        <v>3.70591913E8</v>
      </c>
      <c r="D705" s="1" t="s">
        <v>1255</v>
      </c>
    </row>
    <row r="706">
      <c r="A706" s="1">
        <v>667.0</v>
      </c>
      <c r="B706" s="1">
        <v>8.7634123E7</v>
      </c>
      <c r="C706" s="1">
        <v>3.70644721E8</v>
      </c>
      <c r="D706" s="1" t="s">
        <v>1256</v>
      </c>
    </row>
    <row r="707">
      <c r="A707" s="1">
        <v>194.0</v>
      </c>
      <c r="B707" s="1">
        <v>8.7619482E7</v>
      </c>
      <c r="C707" s="1">
        <v>4.75033249E8</v>
      </c>
      <c r="D707" s="1" t="s">
        <v>1258</v>
      </c>
    </row>
    <row r="708">
      <c r="A708" s="1">
        <v>380.0</v>
      </c>
      <c r="B708" s="1">
        <v>8.7612543E7</v>
      </c>
      <c r="C708" s="1">
        <v>3.7098106E8</v>
      </c>
      <c r="D708" s="1" t="s">
        <v>1259</v>
      </c>
    </row>
    <row r="709">
      <c r="A709" s="1">
        <v>656.0</v>
      </c>
      <c r="B709" s="1">
        <v>8.7598867E7</v>
      </c>
      <c r="C709" s="1">
        <v>3.80982646E8</v>
      </c>
      <c r="D709" s="1" t="s">
        <v>1260</v>
      </c>
    </row>
    <row r="710">
      <c r="A710" s="1">
        <v>504.0</v>
      </c>
      <c r="B710" s="1">
        <v>8.758253E7</v>
      </c>
      <c r="C710" s="1">
        <v>3.70944965E8</v>
      </c>
      <c r="D710" s="1" t="s">
        <v>1261</v>
      </c>
    </row>
    <row r="711">
      <c r="A711" s="1">
        <v>610.0</v>
      </c>
      <c r="B711" s="1">
        <v>8.7551945E7</v>
      </c>
      <c r="C711" s="1">
        <v>4.06976227E8</v>
      </c>
      <c r="D711" s="1" t="s">
        <v>1264</v>
      </c>
    </row>
    <row r="712">
      <c r="A712" s="1">
        <v>120.0</v>
      </c>
      <c r="B712" s="1">
        <v>8.7539182E7</v>
      </c>
      <c r="C712" s="1">
        <v>3.84824804E8</v>
      </c>
      <c r="D712" s="1" t="s">
        <v>1267</v>
      </c>
    </row>
    <row r="713">
      <c r="A713" s="1">
        <v>173.0</v>
      </c>
      <c r="B713" s="1">
        <v>8.75059E7</v>
      </c>
      <c r="C713" s="1">
        <v>3.70148448E8</v>
      </c>
      <c r="D713" s="1" t="s">
        <v>157</v>
      </c>
    </row>
    <row r="714">
      <c r="A714" s="1">
        <v>484.0</v>
      </c>
      <c r="B714" s="1">
        <v>8.7482812E7</v>
      </c>
      <c r="C714" s="1">
        <v>3.82258983E8</v>
      </c>
      <c r="D714" s="1" t="s">
        <v>1270</v>
      </c>
    </row>
    <row r="715">
      <c r="A715" s="1">
        <v>571.0</v>
      </c>
      <c r="B715" s="1">
        <v>8.7443908E7</v>
      </c>
      <c r="C715" s="1">
        <v>3.69570603E8</v>
      </c>
      <c r="D715" s="1" t="s">
        <v>1271</v>
      </c>
    </row>
    <row r="716">
      <c r="A716" s="1">
        <v>565.0</v>
      </c>
      <c r="B716" s="1">
        <v>8.7430462E7</v>
      </c>
      <c r="C716" s="1">
        <v>3.69838905E8</v>
      </c>
      <c r="D716" s="1" t="s">
        <v>1274</v>
      </c>
    </row>
    <row r="717">
      <c r="A717" s="1">
        <v>571.0</v>
      </c>
      <c r="B717" s="1">
        <v>8.7429159E7</v>
      </c>
      <c r="C717" s="1">
        <v>3.70223777E8</v>
      </c>
      <c r="D717" s="1" t="s">
        <v>1275</v>
      </c>
    </row>
    <row r="718">
      <c r="A718" s="1">
        <v>715.0</v>
      </c>
      <c r="B718" s="1">
        <v>8.7425494E7</v>
      </c>
      <c r="C718" s="1">
        <v>3.69825644E8</v>
      </c>
      <c r="D718" s="1" t="s">
        <v>1277</v>
      </c>
    </row>
    <row r="719">
      <c r="A719" s="1">
        <v>644.0</v>
      </c>
      <c r="B719" s="1">
        <v>8.7371238E7</v>
      </c>
      <c r="C719" s="1">
        <v>3.69387734E8</v>
      </c>
      <c r="D719" s="1" t="s">
        <v>1279</v>
      </c>
    </row>
    <row r="720">
      <c r="A720" s="1">
        <v>571.0</v>
      </c>
      <c r="B720" s="1">
        <v>8.7363855E7</v>
      </c>
      <c r="C720" s="1">
        <v>3.69880856E8</v>
      </c>
      <c r="D720" s="1" t="s">
        <v>1280</v>
      </c>
    </row>
    <row r="721">
      <c r="A721" s="1">
        <v>353.0</v>
      </c>
      <c r="B721" s="1">
        <v>8.7298391E7</v>
      </c>
      <c r="C721" s="1">
        <v>3.69071421E8</v>
      </c>
      <c r="D721" s="1" t="s">
        <v>1282</v>
      </c>
    </row>
    <row r="722">
      <c r="A722" s="1">
        <v>353.0</v>
      </c>
      <c r="B722" s="1">
        <v>8.7245924E7</v>
      </c>
      <c r="C722" s="1">
        <v>3.68751263E8</v>
      </c>
      <c r="D722" s="1" t="s">
        <v>1283</v>
      </c>
    </row>
    <row r="723">
      <c r="A723" s="1">
        <v>394.0</v>
      </c>
      <c r="B723" s="1">
        <v>8.7203161E7</v>
      </c>
      <c r="C723" s="1">
        <v>3.68395691E8</v>
      </c>
      <c r="D723" s="1" t="s">
        <v>1286</v>
      </c>
    </row>
    <row r="724">
      <c r="A724" s="1">
        <v>462.0</v>
      </c>
      <c r="B724" s="1">
        <v>8.7112367E7</v>
      </c>
      <c r="C724" s="1">
        <v>4.72080339E8</v>
      </c>
      <c r="D724" s="1" t="s">
        <v>1287</v>
      </c>
    </row>
    <row r="725">
      <c r="A725" s="1">
        <v>671.0</v>
      </c>
      <c r="B725" s="1">
        <v>8.7105757E7</v>
      </c>
      <c r="C725" s="1">
        <v>3.68436018E8</v>
      </c>
      <c r="D725" s="1" t="s">
        <v>1289</v>
      </c>
    </row>
    <row r="726">
      <c r="A726" s="1">
        <v>353.0</v>
      </c>
      <c r="B726" s="1">
        <v>8.7088811E7</v>
      </c>
      <c r="C726" s="1">
        <v>3.67947691E8</v>
      </c>
      <c r="D726" s="1" t="s">
        <v>1291</v>
      </c>
    </row>
    <row r="727">
      <c r="A727" s="1">
        <v>676.0</v>
      </c>
      <c r="B727" s="1">
        <v>8.7065976E7</v>
      </c>
      <c r="C727" s="1">
        <v>3.68142979E8</v>
      </c>
      <c r="D727" s="1" t="s">
        <v>1292</v>
      </c>
    </row>
    <row r="728">
      <c r="A728" s="1">
        <v>656.0</v>
      </c>
      <c r="B728" s="1">
        <v>8.7062634E7</v>
      </c>
      <c r="C728" s="1">
        <v>3.68141765E8</v>
      </c>
      <c r="D728" s="1" t="s">
        <v>1294</v>
      </c>
    </row>
    <row r="729">
      <c r="A729" s="1">
        <v>593.0</v>
      </c>
      <c r="B729" s="1">
        <v>8.7014191E7</v>
      </c>
      <c r="C729" s="1">
        <v>3.67633894E8</v>
      </c>
      <c r="D729" s="1" t="s">
        <v>1295</v>
      </c>
    </row>
    <row r="730">
      <c r="A730" s="1">
        <v>593.0</v>
      </c>
      <c r="B730" s="1">
        <v>8.6989706E7</v>
      </c>
      <c r="C730" s="1">
        <v>3.67648987E8</v>
      </c>
      <c r="D730" s="1" t="s">
        <v>1297</v>
      </c>
    </row>
    <row r="731">
      <c r="A731" s="1">
        <v>671.0</v>
      </c>
      <c r="B731" s="1">
        <v>8.6984279E7</v>
      </c>
      <c r="C731" s="1">
        <v>3.67377411E8</v>
      </c>
      <c r="D731" s="1" t="s">
        <v>1299</v>
      </c>
    </row>
    <row r="732">
      <c r="A732" s="1">
        <v>597.0</v>
      </c>
      <c r="B732" s="1">
        <v>8.6976529E7</v>
      </c>
      <c r="C732" s="1">
        <v>3.67620385E8</v>
      </c>
      <c r="D732" s="1" t="s">
        <v>1301</v>
      </c>
    </row>
    <row r="733">
      <c r="A733" s="1">
        <v>671.0</v>
      </c>
      <c r="B733" s="1">
        <v>8.6918132E7</v>
      </c>
      <c r="C733" s="1">
        <v>3.67357048E8</v>
      </c>
      <c r="D733" s="1" t="s">
        <v>1303</v>
      </c>
    </row>
    <row r="734">
      <c r="A734" s="1">
        <v>194.0</v>
      </c>
      <c r="B734" s="1">
        <v>8.6843713E7</v>
      </c>
      <c r="C734" s="1">
        <v>3.67060564E8</v>
      </c>
      <c r="D734" s="1" t="s">
        <v>1304</v>
      </c>
    </row>
    <row r="735">
      <c r="A735" s="1">
        <v>504.0</v>
      </c>
      <c r="B735" s="1">
        <v>8.6754036E7</v>
      </c>
      <c r="C735" s="1">
        <v>3.66639852E8</v>
      </c>
      <c r="D735" s="1" t="s">
        <v>1306</v>
      </c>
    </row>
    <row r="736">
      <c r="A736" s="1">
        <v>484.0</v>
      </c>
      <c r="B736" s="1">
        <v>8.6713913E7</v>
      </c>
      <c r="C736" s="1">
        <v>3.66298072E8</v>
      </c>
      <c r="D736" s="1" t="s">
        <v>1308</v>
      </c>
    </row>
    <row r="737">
      <c r="A737" s="1">
        <v>504.0</v>
      </c>
      <c r="B737" s="1">
        <v>8.6703539E7</v>
      </c>
      <c r="C737" s="1">
        <v>3.66089947E8</v>
      </c>
      <c r="D737" s="1" t="s">
        <v>1309</v>
      </c>
    </row>
    <row r="738">
      <c r="A738" s="1">
        <v>407.0</v>
      </c>
      <c r="B738" s="1">
        <v>8.6646165E7</v>
      </c>
      <c r="C738" s="1">
        <v>3.65848991E8</v>
      </c>
      <c r="D738" s="1" t="s">
        <v>1311</v>
      </c>
    </row>
    <row r="739">
      <c r="A739" s="1">
        <v>715.0</v>
      </c>
      <c r="B739" s="1">
        <v>8.6591287E7</v>
      </c>
      <c r="C739" s="1">
        <v>3.65507475E8</v>
      </c>
      <c r="D739" s="1" t="s">
        <v>1313</v>
      </c>
    </row>
    <row r="740">
      <c r="A740" s="1">
        <v>531.0</v>
      </c>
      <c r="B740" s="1">
        <v>8.6585383E7</v>
      </c>
      <c r="C740" s="1">
        <v>3.65563244E8</v>
      </c>
      <c r="D740" s="1" t="s">
        <v>1315</v>
      </c>
    </row>
    <row r="741">
      <c r="A741" s="1">
        <v>570.0</v>
      </c>
      <c r="B741" s="1">
        <v>8.6584106E7</v>
      </c>
      <c r="C741" s="1">
        <v>3.65852922E8</v>
      </c>
      <c r="D741" s="1" t="s">
        <v>1317</v>
      </c>
    </row>
    <row r="742">
      <c r="A742" s="1">
        <v>337.0</v>
      </c>
      <c r="B742" s="1">
        <v>8.6560733E7</v>
      </c>
      <c r="C742" s="1">
        <v>3.66105213E8</v>
      </c>
      <c r="D742" s="1" t="s">
        <v>1318</v>
      </c>
    </row>
    <row r="743">
      <c r="A743" s="1">
        <v>353.0</v>
      </c>
      <c r="B743" s="1">
        <v>8.6515283E7</v>
      </c>
      <c r="C743" s="1">
        <v>3.65325663E8</v>
      </c>
      <c r="D743" s="1" t="s">
        <v>1320</v>
      </c>
    </row>
    <row r="744">
      <c r="A744" s="1">
        <v>484.0</v>
      </c>
      <c r="B744" s="1">
        <v>8.6507357E7</v>
      </c>
      <c r="C744" s="1">
        <v>3.65518945E8</v>
      </c>
      <c r="D744" s="1" t="s">
        <v>1321</v>
      </c>
    </row>
    <row r="745">
      <c r="A745" s="1">
        <v>587.0</v>
      </c>
      <c r="B745" s="1">
        <v>8.6481519E7</v>
      </c>
      <c r="C745" s="1">
        <v>3.65023362E8</v>
      </c>
      <c r="D745" s="1" t="s">
        <v>1323</v>
      </c>
    </row>
    <row r="746">
      <c r="A746" s="1">
        <v>365.0</v>
      </c>
      <c r="B746" s="1">
        <v>8.6467301E7</v>
      </c>
      <c r="C746" s="1">
        <v>3.64960027E8</v>
      </c>
      <c r="D746" s="1" t="s">
        <v>1325</v>
      </c>
    </row>
    <row r="747">
      <c r="A747" s="1">
        <v>716.0</v>
      </c>
      <c r="B747" s="1">
        <v>8.6455822E7</v>
      </c>
      <c r="C747" s="1">
        <v>3.64957293E8</v>
      </c>
      <c r="D747" s="1" t="s">
        <v>1326</v>
      </c>
    </row>
    <row r="748">
      <c r="A748" s="1">
        <v>564.0</v>
      </c>
      <c r="B748" s="1">
        <v>8.6454034E7</v>
      </c>
      <c r="C748" s="1">
        <v>3.65302158E8</v>
      </c>
      <c r="D748" s="1" t="s">
        <v>1328</v>
      </c>
    </row>
    <row r="749">
      <c r="A749" s="1">
        <v>461.0</v>
      </c>
      <c r="B749" s="1">
        <v>8.6443687E7</v>
      </c>
      <c r="C749" s="1">
        <v>3.65279161E8</v>
      </c>
      <c r="D749" s="1" t="s">
        <v>1329</v>
      </c>
    </row>
    <row r="750">
      <c r="A750" s="1">
        <v>571.0</v>
      </c>
      <c r="B750" s="1">
        <v>8.6429771E7</v>
      </c>
      <c r="C750" s="1">
        <v>3.65571459E8</v>
      </c>
      <c r="D750" s="1" t="s">
        <v>1331</v>
      </c>
    </row>
    <row r="751">
      <c r="A751" s="1">
        <v>484.0</v>
      </c>
      <c r="B751" s="1">
        <v>8.6412302E7</v>
      </c>
      <c r="C751" s="1">
        <v>3.64902528E8</v>
      </c>
      <c r="D751" s="1" t="s">
        <v>1333</v>
      </c>
    </row>
    <row r="752">
      <c r="A752" s="1">
        <v>353.0</v>
      </c>
      <c r="B752" s="1">
        <v>8.6410615E7</v>
      </c>
      <c r="C752" s="1">
        <v>3.64642579E8</v>
      </c>
      <c r="D752" s="1" t="s">
        <v>1334</v>
      </c>
    </row>
    <row r="753">
      <c r="A753" s="1">
        <v>215.0</v>
      </c>
      <c r="B753" s="1">
        <v>8.6404964E7</v>
      </c>
      <c r="C753" s="1">
        <v>3.65092148E8</v>
      </c>
      <c r="D753" s="1" t="s">
        <v>1336</v>
      </c>
    </row>
    <row r="754">
      <c r="A754" s="1">
        <v>571.0</v>
      </c>
      <c r="B754" s="1">
        <v>8.6384606E7</v>
      </c>
      <c r="C754" s="1">
        <v>3.65145134E8</v>
      </c>
      <c r="D754" s="1" t="s">
        <v>1338</v>
      </c>
    </row>
    <row r="755">
      <c r="A755" s="1">
        <v>578.0</v>
      </c>
      <c r="B755" s="1">
        <v>8.6378494E7</v>
      </c>
      <c r="C755" s="1">
        <v>3.64599929E8</v>
      </c>
      <c r="D755" s="1" t="s">
        <v>1339</v>
      </c>
    </row>
    <row r="756">
      <c r="A756" s="1">
        <v>643.0</v>
      </c>
      <c r="B756" s="1">
        <v>8.631657E7</v>
      </c>
      <c r="C756" s="1">
        <v>3.6438136E8</v>
      </c>
      <c r="D756" s="1" t="s">
        <v>1342</v>
      </c>
    </row>
    <row r="757">
      <c r="A757" s="1">
        <v>194.0</v>
      </c>
      <c r="B757" s="1">
        <v>8.6306185E7</v>
      </c>
      <c r="C757" s="1">
        <v>3.64613495E8</v>
      </c>
      <c r="D757" s="1" t="s">
        <v>1343</v>
      </c>
    </row>
    <row r="758">
      <c r="A758" s="1">
        <v>671.0</v>
      </c>
      <c r="B758" s="1">
        <v>8.6294916E7</v>
      </c>
      <c r="C758" s="1">
        <v>3.69054967E8</v>
      </c>
      <c r="D758" s="1" t="s">
        <v>1345</v>
      </c>
    </row>
    <row r="759">
      <c r="A759" s="1">
        <v>492.0</v>
      </c>
      <c r="B759" s="1">
        <v>8.6288041E7</v>
      </c>
      <c r="C759" s="1">
        <v>3.6409848E8</v>
      </c>
      <c r="D759" s="1" t="s">
        <v>1347</v>
      </c>
    </row>
    <row r="760">
      <c r="A760" s="1">
        <v>173.0</v>
      </c>
      <c r="B760" s="1">
        <v>8.6240255E7</v>
      </c>
      <c r="C760" s="1">
        <v>3.64984431E8</v>
      </c>
      <c r="D760" s="1" t="s">
        <v>1348</v>
      </c>
    </row>
    <row r="761">
      <c r="A761" s="1">
        <v>587.0</v>
      </c>
      <c r="B761" s="1">
        <v>8.6204664E7</v>
      </c>
      <c r="C761" s="1">
        <v>3.63819608E8</v>
      </c>
      <c r="D761" s="1" t="s">
        <v>1350</v>
      </c>
    </row>
    <row r="762">
      <c r="A762" s="1">
        <v>669.0</v>
      </c>
      <c r="B762" s="1">
        <v>8.6202397E7</v>
      </c>
      <c r="C762" s="1">
        <v>3.63724859E8</v>
      </c>
      <c r="D762" s="1" t="s">
        <v>1351</v>
      </c>
    </row>
    <row r="763">
      <c r="A763" s="1">
        <v>256.0</v>
      </c>
      <c r="B763" s="1">
        <v>8.6181481E7</v>
      </c>
      <c r="C763" s="1">
        <v>3.63697318E8</v>
      </c>
      <c r="D763" s="1" t="s">
        <v>1353</v>
      </c>
    </row>
    <row r="764">
      <c r="A764" s="1">
        <v>630.0</v>
      </c>
      <c r="B764" s="1">
        <v>8.6170771E7</v>
      </c>
      <c r="C764" s="1">
        <v>3.63847064E8</v>
      </c>
      <c r="D764" s="1" t="s">
        <v>1356</v>
      </c>
    </row>
    <row r="765">
      <c r="A765" s="1">
        <v>531.0</v>
      </c>
      <c r="B765" s="1">
        <v>8.6142744E7</v>
      </c>
      <c r="C765" s="1">
        <v>3.63477358E8</v>
      </c>
      <c r="D765" s="1" t="s">
        <v>1357</v>
      </c>
    </row>
    <row r="766">
      <c r="A766" s="1">
        <v>213.0</v>
      </c>
      <c r="B766" s="1">
        <v>8.6117788E7</v>
      </c>
      <c r="C766" s="1">
        <v>3.63706226E8</v>
      </c>
      <c r="D766" s="1" t="s">
        <v>1359</v>
      </c>
    </row>
    <row r="767">
      <c r="A767" s="1">
        <v>645.0</v>
      </c>
      <c r="B767" s="1">
        <v>8.6103924E7</v>
      </c>
      <c r="C767" s="1">
        <v>3.63153616E8</v>
      </c>
      <c r="D767" s="1" t="s">
        <v>1361</v>
      </c>
    </row>
    <row r="768">
      <c r="A768" s="1">
        <v>593.0</v>
      </c>
      <c r="B768" s="1">
        <v>8.6076649E7</v>
      </c>
      <c r="C768" s="1">
        <v>3.63131348E8</v>
      </c>
      <c r="D768" s="1" t="s">
        <v>1362</v>
      </c>
    </row>
    <row r="769">
      <c r="A769" s="1">
        <v>654.0</v>
      </c>
      <c r="B769" s="1">
        <v>8.6051601E7</v>
      </c>
      <c r="C769" s="1">
        <v>3.63204475E8</v>
      </c>
      <c r="D769" s="1" t="s">
        <v>1364</v>
      </c>
    </row>
    <row r="770">
      <c r="A770" s="1">
        <v>674.0</v>
      </c>
      <c r="B770" s="1">
        <v>8.6048096E7</v>
      </c>
      <c r="C770" s="1">
        <v>3.6312454E8</v>
      </c>
      <c r="D770" s="1" t="s">
        <v>1366</v>
      </c>
    </row>
    <row r="771">
      <c r="A771" s="1">
        <v>674.0</v>
      </c>
      <c r="B771" s="1">
        <v>8.6047807E7</v>
      </c>
      <c r="C771" s="1">
        <v>3.63135295E8</v>
      </c>
      <c r="D771" s="1" t="s">
        <v>1367</v>
      </c>
    </row>
    <row r="772">
      <c r="A772" s="1">
        <v>392.0</v>
      </c>
      <c r="B772" s="1">
        <v>8.6043454E7</v>
      </c>
      <c r="C772" s="1">
        <v>3.62856888E8</v>
      </c>
      <c r="D772" s="1" t="s">
        <v>1369</v>
      </c>
    </row>
    <row r="773">
      <c r="A773" s="1">
        <v>492.0</v>
      </c>
      <c r="B773" s="1">
        <v>8.5969824E7</v>
      </c>
      <c r="C773" s="1">
        <v>3.62492619E8</v>
      </c>
      <c r="D773" s="1" t="s">
        <v>1371</v>
      </c>
    </row>
    <row r="774">
      <c r="A774" s="1">
        <v>656.0</v>
      </c>
      <c r="B774" s="1">
        <v>8.5960248E7</v>
      </c>
      <c r="C774" s="1">
        <v>3.62839545E8</v>
      </c>
      <c r="D774" s="1" t="s">
        <v>1372</v>
      </c>
    </row>
    <row r="775">
      <c r="A775" s="1">
        <v>672.0</v>
      </c>
      <c r="B775" s="1">
        <v>8.5949224E7</v>
      </c>
      <c r="C775" s="1">
        <v>3.62502875E8</v>
      </c>
      <c r="D775" s="1" t="s">
        <v>1373</v>
      </c>
    </row>
    <row r="776">
      <c r="A776" s="1">
        <v>421.0</v>
      </c>
      <c r="B776" s="1">
        <v>8.5923256E7</v>
      </c>
      <c r="C776" s="1">
        <v>3.62483111E8</v>
      </c>
      <c r="D776" s="1" t="s">
        <v>1374</v>
      </c>
    </row>
    <row r="777">
      <c r="A777" s="1">
        <v>194.0</v>
      </c>
      <c r="B777" s="1">
        <v>8.5922051E7</v>
      </c>
      <c r="C777" s="1">
        <v>3.62882429E8</v>
      </c>
      <c r="D777" s="1" t="s">
        <v>1375</v>
      </c>
    </row>
    <row r="778">
      <c r="A778" s="1">
        <v>586.0</v>
      </c>
      <c r="B778" s="1">
        <v>8.5893431E7</v>
      </c>
      <c r="C778" s="1">
        <v>3.62199524E8</v>
      </c>
      <c r="D778" s="1" t="s">
        <v>1376</v>
      </c>
    </row>
    <row r="779">
      <c r="A779" s="1">
        <v>380.0</v>
      </c>
      <c r="B779" s="1">
        <v>8.5812215E7</v>
      </c>
      <c r="C779" s="1">
        <v>3.61909108E8</v>
      </c>
      <c r="D779" s="1" t="s">
        <v>1377</v>
      </c>
    </row>
    <row r="780">
      <c r="A780" s="1">
        <v>194.0</v>
      </c>
      <c r="B780" s="1">
        <v>8.5714787E7</v>
      </c>
      <c r="C780" s="1">
        <v>3.61359431E8</v>
      </c>
      <c r="D780" s="1" t="s">
        <v>1379</v>
      </c>
    </row>
    <row r="781">
      <c r="A781" s="1">
        <v>578.0</v>
      </c>
      <c r="B781" s="1">
        <v>8.5710826E7</v>
      </c>
      <c r="C781" s="1">
        <v>3.61627112E8</v>
      </c>
      <c r="D781" s="1" t="s">
        <v>1381</v>
      </c>
    </row>
    <row r="782">
      <c r="A782" s="1">
        <v>565.0</v>
      </c>
      <c r="B782" s="1">
        <v>8.5686473E7</v>
      </c>
      <c r="C782" s="1">
        <v>3.61633802E8</v>
      </c>
      <c r="D782" s="1" t="s">
        <v>1382</v>
      </c>
    </row>
    <row r="783">
      <c r="A783" s="1">
        <v>671.0</v>
      </c>
      <c r="B783" s="1">
        <v>8.5654926E7</v>
      </c>
      <c r="C783" s="1">
        <v>3.61103116E8</v>
      </c>
      <c r="D783" s="1" t="s">
        <v>1385</v>
      </c>
    </row>
    <row r="784">
      <c r="A784" s="1">
        <v>173.0</v>
      </c>
      <c r="B784" s="1">
        <v>8.5649981E7</v>
      </c>
      <c r="C784" s="1">
        <v>3.61078055E8</v>
      </c>
      <c r="D784" s="1" t="s">
        <v>1386</v>
      </c>
    </row>
    <row r="785">
      <c r="A785" s="1">
        <v>353.0</v>
      </c>
      <c r="B785" s="1">
        <v>8.5643045E7</v>
      </c>
      <c r="C785" s="1">
        <v>3.61087043E8</v>
      </c>
      <c r="D785" s="1" t="s">
        <v>1387</v>
      </c>
    </row>
    <row r="786">
      <c r="A786" s="1">
        <v>403.0</v>
      </c>
      <c r="B786" s="1">
        <v>8.5539233E7</v>
      </c>
      <c r="C786" s="1">
        <v>3.60707851E8</v>
      </c>
      <c r="D786" s="1" t="s">
        <v>1389</v>
      </c>
    </row>
    <row r="787">
      <c r="A787" s="1">
        <v>565.0</v>
      </c>
      <c r="B787" s="1">
        <v>8.5508654E7</v>
      </c>
      <c r="C787" s="1">
        <v>3.60715958E8</v>
      </c>
      <c r="D787" s="1" t="s">
        <v>1390</v>
      </c>
    </row>
    <row r="788">
      <c r="A788" s="1">
        <v>194.0</v>
      </c>
      <c r="B788" s="1">
        <v>8.5507636E7</v>
      </c>
      <c r="C788" s="1">
        <v>3.60374511E8</v>
      </c>
      <c r="D788" s="1" t="s">
        <v>1392</v>
      </c>
    </row>
    <row r="789">
      <c r="A789" s="1">
        <v>210.0</v>
      </c>
      <c r="B789" s="1">
        <v>8.5491707E7</v>
      </c>
      <c r="C789" s="1">
        <v>3.60432222E8</v>
      </c>
      <c r="D789" s="1" t="s">
        <v>1394</v>
      </c>
    </row>
    <row r="790">
      <c r="A790" s="1">
        <v>696.0</v>
      </c>
      <c r="B790" s="1">
        <v>8.5490724E7</v>
      </c>
      <c r="C790" s="1">
        <v>3.60434936E8</v>
      </c>
      <c r="D790" s="1" t="s">
        <v>508</v>
      </c>
    </row>
    <row r="791">
      <c r="A791" s="1">
        <v>644.0</v>
      </c>
      <c r="B791" s="1">
        <v>8.5435426E7</v>
      </c>
      <c r="C791" s="1">
        <v>3.60142419E8</v>
      </c>
      <c r="D791" s="1" t="s">
        <v>1396</v>
      </c>
    </row>
    <row r="792">
      <c r="A792" s="1">
        <v>700.0</v>
      </c>
      <c r="B792" s="1">
        <v>8.542083E7</v>
      </c>
      <c r="C792" s="1">
        <v>3.60049793E8</v>
      </c>
      <c r="D792" s="1" t="s">
        <v>1398</v>
      </c>
    </row>
    <row r="793">
      <c r="A793" s="1">
        <v>602.0</v>
      </c>
      <c r="B793" s="1">
        <v>8.5396113E7</v>
      </c>
      <c r="C793" s="1">
        <v>3.59810145E8</v>
      </c>
      <c r="D793" s="1" t="s">
        <v>1399</v>
      </c>
    </row>
    <row r="794">
      <c r="A794" s="1">
        <v>696.0</v>
      </c>
      <c r="B794" s="1">
        <v>8.537431E7</v>
      </c>
      <c r="C794" s="1">
        <v>3.59540328E8</v>
      </c>
      <c r="D794" s="1" t="s">
        <v>1401</v>
      </c>
    </row>
    <row r="795">
      <c r="A795" s="1">
        <v>716.0</v>
      </c>
      <c r="B795" s="1">
        <v>8.537236E7</v>
      </c>
      <c r="C795" s="1">
        <v>3.59833516E8</v>
      </c>
      <c r="D795" s="1" t="s">
        <v>1402</v>
      </c>
    </row>
    <row r="796">
      <c r="A796" s="1">
        <v>715.0</v>
      </c>
      <c r="B796" s="1">
        <v>8.5350381E7</v>
      </c>
      <c r="C796" s="1">
        <v>3.59497811E8</v>
      </c>
      <c r="D796" s="1" t="s">
        <v>1404</v>
      </c>
    </row>
    <row r="797">
      <c r="A797" s="1">
        <v>380.0</v>
      </c>
      <c r="B797" s="1">
        <v>8.5342082E7</v>
      </c>
      <c r="C797" s="1">
        <v>3.59565131E8</v>
      </c>
      <c r="D797" s="1" t="s">
        <v>1406</v>
      </c>
    </row>
    <row r="798">
      <c r="A798" s="1">
        <v>484.0</v>
      </c>
      <c r="B798" s="1">
        <v>8.5331934E7</v>
      </c>
      <c r="C798" s="1">
        <v>3.71824494E8</v>
      </c>
      <c r="D798" s="1" t="s">
        <v>1408</v>
      </c>
    </row>
    <row r="799">
      <c r="A799" s="1">
        <v>571.0</v>
      </c>
      <c r="B799" s="1">
        <v>8.5316743E7</v>
      </c>
      <c r="C799" s="1">
        <v>3.59888183E8</v>
      </c>
      <c r="D799" s="1" t="s">
        <v>1410</v>
      </c>
    </row>
    <row r="800">
      <c r="A800" s="1">
        <v>337.0</v>
      </c>
      <c r="B800" s="1">
        <v>8.5248244E7</v>
      </c>
      <c r="C800" s="1">
        <v>3.60054002E8</v>
      </c>
      <c r="D800" s="1" t="s">
        <v>1411</v>
      </c>
    </row>
    <row r="801">
      <c r="A801" s="1">
        <v>458.0</v>
      </c>
      <c r="B801" s="1">
        <v>8.5229306E7</v>
      </c>
      <c r="C801" s="1">
        <v>3.58995344E8</v>
      </c>
      <c r="D801" s="1" t="s">
        <v>1186</v>
      </c>
    </row>
    <row r="802">
      <c r="A802" s="1">
        <v>654.0</v>
      </c>
      <c r="B802" s="1">
        <v>8.5203957E7</v>
      </c>
      <c r="C802" s="1">
        <v>3.5955366E8</v>
      </c>
      <c r="D802" s="1" t="s">
        <v>1414</v>
      </c>
    </row>
    <row r="803">
      <c r="A803" s="1">
        <v>317.0</v>
      </c>
      <c r="B803" s="1">
        <v>8.5191484E7</v>
      </c>
      <c r="C803" s="1">
        <v>3.5897066E8</v>
      </c>
      <c r="D803" s="1" t="s">
        <v>1415</v>
      </c>
    </row>
    <row r="804">
      <c r="A804" s="1">
        <v>504.0</v>
      </c>
      <c r="B804" s="1">
        <v>8.5182448E7</v>
      </c>
      <c r="C804" s="1">
        <v>3.58930261E8</v>
      </c>
      <c r="D804" s="1" t="s">
        <v>1417</v>
      </c>
    </row>
    <row r="805">
      <c r="A805" s="1">
        <v>455.0</v>
      </c>
      <c r="B805" s="1">
        <v>8.5123632E7</v>
      </c>
      <c r="C805" s="1">
        <v>3.58626524E8</v>
      </c>
      <c r="D805" s="1" t="s">
        <v>1419</v>
      </c>
    </row>
    <row r="806">
      <c r="A806" s="1">
        <v>392.0</v>
      </c>
      <c r="B806" s="1">
        <v>8.5121635E7</v>
      </c>
      <c r="C806" s="1">
        <v>3.95290545E8</v>
      </c>
      <c r="D806" s="17" t="s">
        <v>1421</v>
      </c>
    </row>
    <row r="807">
      <c r="A807" s="1">
        <v>343.0</v>
      </c>
      <c r="B807" s="1">
        <v>8.5112341E7</v>
      </c>
      <c r="C807" s="1">
        <v>3.58958337E8</v>
      </c>
      <c r="D807" s="1" t="s">
        <v>1423</v>
      </c>
    </row>
    <row r="808">
      <c r="A808" s="1">
        <v>671.0</v>
      </c>
      <c r="B808" s="1">
        <v>8.509915E7</v>
      </c>
      <c r="C808" s="1">
        <v>3.58767515E8</v>
      </c>
      <c r="D808" s="1" t="s">
        <v>1424</v>
      </c>
    </row>
    <row r="809">
      <c r="A809" s="1">
        <v>403.0</v>
      </c>
      <c r="B809" s="1">
        <v>8.5065044E7</v>
      </c>
      <c r="C809" s="1">
        <v>3.58304865E8</v>
      </c>
      <c r="D809" s="1" t="s">
        <v>1426</v>
      </c>
    </row>
    <row r="810">
      <c r="A810" s="1">
        <v>571.0</v>
      </c>
      <c r="B810" s="1">
        <v>8.5003789E7</v>
      </c>
      <c r="C810" s="1">
        <v>3.58140117E8</v>
      </c>
      <c r="D810" s="1" t="s">
        <v>1428</v>
      </c>
    </row>
    <row r="811">
      <c r="A811" s="1">
        <v>715.0</v>
      </c>
      <c r="B811" s="1">
        <v>8.4998683E7</v>
      </c>
      <c r="C811" s="1">
        <v>3.58945518E8</v>
      </c>
      <c r="D811" s="1" t="s">
        <v>1430</v>
      </c>
    </row>
    <row r="812">
      <c r="A812" s="1">
        <v>504.0</v>
      </c>
      <c r="B812" s="1">
        <v>8.4907036E7</v>
      </c>
      <c r="C812" s="1">
        <v>3.57508252E8</v>
      </c>
      <c r="D812" s="1" t="s">
        <v>1432</v>
      </c>
    </row>
    <row r="813">
      <c r="A813" s="1">
        <v>173.0</v>
      </c>
      <c r="B813" s="1">
        <v>8.488928E7</v>
      </c>
      <c r="C813" s="1">
        <v>3.5732401E8</v>
      </c>
      <c r="D813" s="1" t="s">
        <v>1434</v>
      </c>
    </row>
    <row r="814">
      <c r="A814" s="1">
        <v>654.0</v>
      </c>
      <c r="B814" s="1">
        <v>8.4869065E7</v>
      </c>
      <c r="C814" s="1">
        <v>3.57288498E8</v>
      </c>
      <c r="D814" s="1" t="s">
        <v>1435</v>
      </c>
    </row>
    <row r="815">
      <c r="A815" s="1">
        <v>630.0</v>
      </c>
      <c r="B815" s="1">
        <v>8.4839295E7</v>
      </c>
      <c r="C815" s="1">
        <v>3.57137221E8</v>
      </c>
      <c r="D815" s="1" t="s">
        <v>1437</v>
      </c>
    </row>
    <row r="816">
      <c r="A816" s="1">
        <v>604.0</v>
      </c>
      <c r="B816" s="1">
        <v>8.4812973E7</v>
      </c>
      <c r="C816" s="1">
        <v>3.57625228E8</v>
      </c>
      <c r="D816" s="1" t="s">
        <v>1438</v>
      </c>
    </row>
    <row r="817">
      <c r="A817" s="1">
        <v>597.0</v>
      </c>
      <c r="B817" s="1">
        <v>8.4806592E7</v>
      </c>
      <c r="C817" s="1">
        <v>3.57787002E8</v>
      </c>
      <c r="D817" s="1" t="s">
        <v>1440</v>
      </c>
    </row>
    <row r="818">
      <c r="A818" s="1">
        <v>129.0</v>
      </c>
      <c r="B818" s="1">
        <v>8.4803178E7</v>
      </c>
      <c r="C818" s="1">
        <v>3.91231161E8</v>
      </c>
      <c r="D818" s="1" t="s">
        <v>1442</v>
      </c>
    </row>
    <row r="819">
      <c r="A819" s="1">
        <v>511.0</v>
      </c>
      <c r="B819" s="1">
        <v>8.4802384E7</v>
      </c>
      <c r="C819" s="1">
        <v>4.07021228E8</v>
      </c>
      <c r="D819" s="1" t="s">
        <v>1444</v>
      </c>
    </row>
    <row r="820">
      <c r="A820" s="1">
        <v>671.0</v>
      </c>
      <c r="B820" s="1">
        <v>8.4779639E7</v>
      </c>
      <c r="C820" s="1">
        <v>3.57038373E8</v>
      </c>
      <c r="D820" s="1" t="s">
        <v>1446</v>
      </c>
    </row>
    <row r="821">
      <c r="A821" s="1">
        <v>564.0</v>
      </c>
      <c r="B821" s="1">
        <v>8.477195E7</v>
      </c>
      <c r="C821" s="1">
        <v>3.56609064E8</v>
      </c>
      <c r="D821" s="1" t="s">
        <v>1448</v>
      </c>
    </row>
    <row r="822">
      <c r="A822" s="1">
        <v>421.0</v>
      </c>
      <c r="B822" s="1">
        <v>8.4738017E7</v>
      </c>
      <c r="C822" s="1">
        <v>3.56622808E8</v>
      </c>
      <c r="D822" s="1" t="s">
        <v>1449</v>
      </c>
    </row>
    <row r="823">
      <c r="A823" s="1">
        <v>713.0</v>
      </c>
      <c r="B823" s="1">
        <v>8.4718082E7</v>
      </c>
      <c r="C823" s="1">
        <v>3.56662059E8</v>
      </c>
      <c r="D823" s="1" t="s">
        <v>1451</v>
      </c>
    </row>
    <row r="824">
      <c r="A824" s="1">
        <v>407.0</v>
      </c>
      <c r="B824" s="1">
        <v>8.4705579E7</v>
      </c>
      <c r="C824" s="1">
        <v>3.56342791E8</v>
      </c>
      <c r="D824" s="1" t="s">
        <v>1453</v>
      </c>
    </row>
    <row r="825">
      <c r="A825" s="1">
        <v>643.0</v>
      </c>
      <c r="B825" s="1">
        <v>8.4689099E7</v>
      </c>
      <c r="C825" s="1">
        <v>3.56317419E8</v>
      </c>
      <c r="D825" s="1" t="s">
        <v>1455</v>
      </c>
    </row>
    <row r="826">
      <c r="A826" s="1">
        <v>661.0</v>
      </c>
      <c r="B826" s="1">
        <v>8.4621848E7</v>
      </c>
      <c r="C826" s="1">
        <v>3.55994293E8</v>
      </c>
      <c r="D826" s="1" t="s">
        <v>1457</v>
      </c>
    </row>
    <row r="827">
      <c r="A827" s="1">
        <v>498.0</v>
      </c>
      <c r="B827" s="1">
        <v>8.4608549E7</v>
      </c>
      <c r="C827" s="1">
        <v>3.56259513E8</v>
      </c>
      <c r="D827" s="1" t="s">
        <v>1459</v>
      </c>
    </row>
    <row r="828">
      <c r="A828" s="1">
        <v>409.0</v>
      </c>
      <c r="B828" s="1">
        <v>8.4574404E7</v>
      </c>
      <c r="C828" s="1">
        <v>3.56661271E8</v>
      </c>
      <c r="D828" s="1" t="s">
        <v>1460</v>
      </c>
    </row>
    <row r="829">
      <c r="A829" s="1">
        <v>403.0</v>
      </c>
      <c r="B829" s="1">
        <v>8.4573434E7</v>
      </c>
      <c r="C829" s="1">
        <v>3.55688947E8</v>
      </c>
      <c r="D829" s="1" t="s">
        <v>1462</v>
      </c>
    </row>
    <row r="830">
      <c r="A830" s="1">
        <v>542.0</v>
      </c>
      <c r="B830" s="1">
        <v>8.4555043E7</v>
      </c>
      <c r="C830" s="1">
        <v>3.59225596E8</v>
      </c>
      <c r="D830" s="1" t="s">
        <v>1463</v>
      </c>
    </row>
    <row r="831">
      <c r="A831" s="1">
        <v>407.0</v>
      </c>
      <c r="B831" s="1">
        <v>8.4517128E7</v>
      </c>
      <c r="C831" s="1">
        <v>3.55546397E8</v>
      </c>
      <c r="D831" s="1" t="s">
        <v>664</v>
      </c>
    </row>
    <row r="832">
      <c r="A832" s="1">
        <v>571.0</v>
      </c>
      <c r="B832" s="1">
        <v>8.4510111E7</v>
      </c>
      <c r="C832" s="1">
        <v>3.55524723E8</v>
      </c>
      <c r="D832" s="1" t="s">
        <v>1465</v>
      </c>
    </row>
    <row r="833">
      <c r="A833" s="1">
        <v>129.0</v>
      </c>
      <c r="B833" s="1">
        <v>8.4464758E7</v>
      </c>
      <c r="C833" s="1">
        <v>3.55183068E8</v>
      </c>
      <c r="D833" s="1" t="s">
        <v>1467</v>
      </c>
    </row>
    <row r="834">
      <c r="A834" s="1">
        <v>531.0</v>
      </c>
      <c r="B834" s="1">
        <v>8.4463895E7</v>
      </c>
      <c r="C834" s="1">
        <v>3.55207002E8</v>
      </c>
      <c r="D834" s="1" t="s">
        <v>1469</v>
      </c>
    </row>
    <row r="835">
      <c r="A835" s="1">
        <v>654.0</v>
      </c>
      <c r="B835" s="1">
        <v>8.4450851E7</v>
      </c>
      <c r="C835" s="1">
        <v>3.55152699E8</v>
      </c>
      <c r="D835" s="1" t="s">
        <v>1471</v>
      </c>
    </row>
    <row r="836">
      <c r="A836" s="1">
        <v>570.0</v>
      </c>
      <c r="B836" s="1">
        <v>8.4412515E7</v>
      </c>
      <c r="C836" s="1">
        <v>3.55131719E8</v>
      </c>
      <c r="D836" s="1" t="s">
        <v>1473</v>
      </c>
    </row>
    <row r="837">
      <c r="A837" s="1">
        <v>353.0</v>
      </c>
      <c r="B837" s="1">
        <v>8.4387913E7</v>
      </c>
      <c r="C837" s="1">
        <v>3.54891818E8</v>
      </c>
      <c r="D837" s="1" t="s">
        <v>1474</v>
      </c>
    </row>
    <row r="838">
      <c r="A838" s="1">
        <v>645.0</v>
      </c>
      <c r="B838" s="1">
        <v>8.4350237E7</v>
      </c>
      <c r="C838" s="1">
        <v>3.545413E8</v>
      </c>
      <c r="D838" s="1" t="s">
        <v>1476</v>
      </c>
    </row>
    <row r="839">
      <c r="A839" s="1">
        <v>173.0</v>
      </c>
      <c r="B839" s="1">
        <v>8.4336163E7</v>
      </c>
      <c r="C839" s="1">
        <v>3.5458913E8</v>
      </c>
      <c r="D839" s="1" t="s">
        <v>1477</v>
      </c>
    </row>
    <row r="840">
      <c r="A840" s="1">
        <v>210.0</v>
      </c>
      <c r="B840" s="1">
        <v>8.4304288E7</v>
      </c>
      <c r="C840" s="1">
        <v>3.54611683E8</v>
      </c>
      <c r="D840" s="1" t="s">
        <v>1478</v>
      </c>
    </row>
    <row r="841">
      <c r="A841" s="1">
        <v>672.0</v>
      </c>
      <c r="B841" s="1">
        <v>8.427273E7</v>
      </c>
      <c r="C841" s="1">
        <v>3.54209136E8</v>
      </c>
      <c r="D841" s="1" t="s">
        <v>1480</v>
      </c>
    </row>
    <row r="842">
      <c r="A842" s="1">
        <v>173.0</v>
      </c>
      <c r="B842" s="1">
        <v>8.4261269E7</v>
      </c>
      <c r="C842" s="1">
        <v>3.54241973E8</v>
      </c>
      <c r="D842" s="1" t="s">
        <v>1482</v>
      </c>
    </row>
    <row r="843">
      <c r="A843" s="1">
        <v>578.0</v>
      </c>
      <c r="B843" s="1">
        <v>8.4258229E7</v>
      </c>
      <c r="C843" s="1">
        <v>3.542803E8</v>
      </c>
      <c r="D843" s="1" t="s">
        <v>1483</v>
      </c>
    </row>
    <row r="844">
      <c r="A844" s="1">
        <v>256.0</v>
      </c>
      <c r="B844" s="1">
        <v>8.4253076E7</v>
      </c>
      <c r="C844" s="1">
        <v>3.54173659E8</v>
      </c>
      <c r="D844" s="1" t="s">
        <v>1485</v>
      </c>
    </row>
    <row r="845">
      <c r="A845" s="1">
        <v>593.0</v>
      </c>
      <c r="B845" s="1">
        <v>8.4240026E7</v>
      </c>
      <c r="C845" s="1">
        <v>3.54230207E8</v>
      </c>
      <c r="D845" s="1" t="s">
        <v>1487</v>
      </c>
    </row>
    <row r="846">
      <c r="A846" s="1">
        <v>654.0</v>
      </c>
      <c r="B846" s="1">
        <v>8.4237651E7</v>
      </c>
      <c r="C846" s="1">
        <v>3.54210267E8</v>
      </c>
      <c r="D846" s="1" t="s">
        <v>1488</v>
      </c>
    </row>
    <row r="847">
      <c r="A847" s="1">
        <v>578.0</v>
      </c>
      <c r="B847" s="1">
        <v>8.4236396E7</v>
      </c>
      <c r="C847" s="1">
        <v>3.5418466E8</v>
      </c>
      <c r="D847" s="1" t="s">
        <v>1490</v>
      </c>
    </row>
    <row r="848">
      <c r="A848" s="1">
        <v>602.0</v>
      </c>
      <c r="B848" s="1">
        <v>8.4236207E7</v>
      </c>
      <c r="C848" s="1">
        <v>3.54579317E8</v>
      </c>
      <c r="D848" s="1" t="s">
        <v>1493</v>
      </c>
    </row>
    <row r="849">
      <c r="A849" s="1">
        <v>210.0</v>
      </c>
      <c r="B849" s="1">
        <v>8.4228495E7</v>
      </c>
      <c r="C849" s="1">
        <v>3.54269336E8</v>
      </c>
      <c r="D849" s="1" t="s">
        <v>1495</v>
      </c>
    </row>
    <row r="850">
      <c r="A850" s="1">
        <v>409.0</v>
      </c>
      <c r="B850" s="1">
        <v>8.4213767E7</v>
      </c>
      <c r="C850" s="1">
        <v>3.54529196E8</v>
      </c>
      <c r="D850" s="1" t="s">
        <v>586</v>
      </c>
    </row>
    <row r="851">
      <c r="A851" s="1">
        <v>194.0</v>
      </c>
      <c r="B851" s="1">
        <v>8.4193827E7</v>
      </c>
      <c r="C851" s="1">
        <v>3.53893821E8</v>
      </c>
      <c r="D851" s="1" t="s">
        <v>1497</v>
      </c>
    </row>
    <row r="852">
      <c r="A852" s="1">
        <v>194.0</v>
      </c>
      <c r="B852" s="1">
        <v>8.4184307E7</v>
      </c>
      <c r="C852" s="1">
        <v>3.53892798E8</v>
      </c>
      <c r="D852" s="1" t="s">
        <v>1499</v>
      </c>
    </row>
    <row r="853">
      <c r="A853" s="1">
        <v>407.0</v>
      </c>
      <c r="B853" s="1">
        <v>8.4172532E7</v>
      </c>
      <c r="C853" s="1">
        <v>3.53710253E8</v>
      </c>
      <c r="D853" s="1" t="s">
        <v>1500</v>
      </c>
    </row>
    <row r="854">
      <c r="A854" s="1">
        <v>656.0</v>
      </c>
      <c r="B854" s="1">
        <v>8.4125885E7</v>
      </c>
      <c r="C854" s="1">
        <v>3.53904208E8</v>
      </c>
      <c r="D854" s="1" t="s">
        <v>590</v>
      </c>
    </row>
    <row r="855">
      <c r="A855" s="1">
        <v>697.0</v>
      </c>
      <c r="B855" s="1">
        <v>8.4118447E7</v>
      </c>
      <c r="C855" s="1">
        <v>3.53868384E8</v>
      </c>
      <c r="D855" s="1" t="s">
        <v>1502</v>
      </c>
    </row>
    <row r="856">
      <c r="A856" s="1">
        <v>597.0</v>
      </c>
      <c r="B856" s="1">
        <v>8.4091961E7</v>
      </c>
      <c r="C856" s="1">
        <v>3.53636406E8</v>
      </c>
      <c r="D856" s="1" t="s">
        <v>1504</v>
      </c>
    </row>
    <row r="857">
      <c r="A857" s="1">
        <v>173.0</v>
      </c>
      <c r="B857" s="1">
        <v>8.4089426E7</v>
      </c>
      <c r="C857" s="1">
        <v>3.53661468E8</v>
      </c>
      <c r="D857" s="1" t="s">
        <v>1505</v>
      </c>
    </row>
    <row r="858">
      <c r="A858" s="1">
        <v>578.0</v>
      </c>
      <c r="B858" s="1">
        <v>8.4080517E7</v>
      </c>
      <c r="C858" s="1">
        <v>3.53657938E8</v>
      </c>
      <c r="D858" s="1" t="s">
        <v>1507</v>
      </c>
    </row>
    <row r="859">
      <c r="A859" s="1">
        <v>597.0</v>
      </c>
      <c r="B859" s="1">
        <v>8.4037155E7</v>
      </c>
      <c r="C859" s="1">
        <v>3.53406012E8</v>
      </c>
      <c r="D859" s="1" t="s">
        <v>1508</v>
      </c>
    </row>
    <row r="860">
      <c r="A860" s="1">
        <v>569.0</v>
      </c>
      <c r="B860" s="1">
        <v>8.4027624E7</v>
      </c>
      <c r="C860" s="1">
        <v>3.53103697E8</v>
      </c>
      <c r="D860" s="1" t="s">
        <v>1510</v>
      </c>
    </row>
    <row r="861">
      <c r="A861" s="1">
        <v>601.0</v>
      </c>
      <c r="B861" s="1">
        <v>8.4001841E7</v>
      </c>
      <c r="C861" s="1">
        <v>3.53625173E8</v>
      </c>
      <c r="D861" s="1" t="s">
        <v>1512</v>
      </c>
    </row>
    <row r="862">
      <c r="A862" s="1">
        <v>173.0</v>
      </c>
      <c r="B862" s="1">
        <v>8.3963441E7</v>
      </c>
      <c r="C862" s="1">
        <v>3.52824215E8</v>
      </c>
      <c r="D862" s="1" t="s">
        <v>1513</v>
      </c>
    </row>
    <row r="863">
      <c r="A863" s="1">
        <v>546.0</v>
      </c>
      <c r="B863" s="1">
        <v>8.3962846E7</v>
      </c>
      <c r="C863" s="1">
        <v>3.55479553E8</v>
      </c>
      <c r="D863" s="1" t="s">
        <v>1515</v>
      </c>
    </row>
    <row r="864">
      <c r="A864" s="1">
        <v>593.0</v>
      </c>
      <c r="B864" s="1">
        <v>8.3867671E7</v>
      </c>
      <c r="C864" s="1">
        <v>3.52430683E8</v>
      </c>
      <c r="D864" s="1" t="s">
        <v>1516</v>
      </c>
    </row>
    <row r="865">
      <c r="A865" s="1">
        <v>194.0</v>
      </c>
      <c r="B865" s="1">
        <v>8.3867267E7</v>
      </c>
      <c r="C865" s="1">
        <v>3.52787044E8</v>
      </c>
      <c r="D865" s="1" t="s">
        <v>1518</v>
      </c>
    </row>
    <row r="866">
      <c r="A866" s="1">
        <v>455.0</v>
      </c>
      <c r="B866" s="1">
        <v>8.3859898E7</v>
      </c>
      <c r="C866" s="1">
        <v>3.52439152E8</v>
      </c>
      <c r="D866" s="1" t="s">
        <v>1519</v>
      </c>
    </row>
    <row r="867">
      <c r="A867" s="1">
        <v>671.0</v>
      </c>
      <c r="B867" s="1">
        <v>8.3828253E7</v>
      </c>
      <c r="C867" s="1">
        <v>3.52160678E8</v>
      </c>
      <c r="D867" s="1" t="s">
        <v>1521</v>
      </c>
    </row>
    <row r="868">
      <c r="A868" s="1">
        <v>698.0</v>
      </c>
      <c r="B868" s="1">
        <v>8.3820725E7</v>
      </c>
      <c r="C868" s="1">
        <v>3.52531103E8</v>
      </c>
      <c r="D868" s="1" t="s">
        <v>1523</v>
      </c>
    </row>
    <row r="869">
      <c r="A869" s="1">
        <v>672.0</v>
      </c>
      <c r="B869" s="1">
        <v>8.381569E7</v>
      </c>
      <c r="C869" s="1">
        <v>3.53359736E8</v>
      </c>
      <c r="D869" s="1" t="s">
        <v>1524</v>
      </c>
    </row>
    <row r="870">
      <c r="A870" s="1">
        <v>421.0</v>
      </c>
      <c r="B870" s="1">
        <v>8.3812747E7</v>
      </c>
      <c r="C870" s="1">
        <v>3.52462403E8</v>
      </c>
      <c r="D870" s="1" t="s">
        <v>1526</v>
      </c>
    </row>
    <row r="871">
      <c r="A871" s="1">
        <v>455.0</v>
      </c>
      <c r="B871" s="1">
        <v>8.3756046E7</v>
      </c>
      <c r="C871" s="1">
        <v>3.52036768E8</v>
      </c>
      <c r="D871" s="1" t="s">
        <v>1528</v>
      </c>
    </row>
    <row r="872">
      <c r="A872" s="1">
        <v>173.0</v>
      </c>
      <c r="B872" s="1">
        <v>8.3720816E7</v>
      </c>
      <c r="C872" s="1">
        <v>3.51562289E8</v>
      </c>
      <c r="D872" s="1" t="s">
        <v>1530</v>
      </c>
    </row>
    <row r="873">
      <c r="A873" s="1">
        <v>644.0</v>
      </c>
      <c r="B873" s="1">
        <v>8.3717381E7</v>
      </c>
      <c r="C873" s="1">
        <v>3.51538616E8</v>
      </c>
      <c r="D873" s="1" t="s">
        <v>1531</v>
      </c>
    </row>
    <row r="874">
      <c r="A874" s="1">
        <v>408.0</v>
      </c>
      <c r="B874" s="1">
        <v>8.3715426E7</v>
      </c>
      <c r="C874" s="1">
        <v>3.51539723E8</v>
      </c>
      <c r="D874" s="1" t="s">
        <v>1533</v>
      </c>
    </row>
    <row r="875">
      <c r="A875" s="1">
        <v>403.0</v>
      </c>
      <c r="B875" s="1">
        <v>8.3712385E7</v>
      </c>
      <c r="C875" s="1">
        <v>3.51505642E8</v>
      </c>
      <c r="D875" s="1" t="s">
        <v>1534</v>
      </c>
    </row>
    <row r="876">
      <c r="A876" s="1">
        <v>488.0</v>
      </c>
      <c r="B876" s="1">
        <v>8.3710477E7</v>
      </c>
      <c r="C876" s="1">
        <v>3.52143832E8</v>
      </c>
      <c r="D876" s="1" t="s">
        <v>1535</v>
      </c>
    </row>
    <row r="877">
      <c r="A877" s="1">
        <v>601.0</v>
      </c>
      <c r="B877" s="1">
        <v>8.3638649E7</v>
      </c>
      <c r="C877" s="1">
        <v>3.51263313E8</v>
      </c>
      <c r="D877" s="1" t="s">
        <v>1536</v>
      </c>
    </row>
    <row r="878">
      <c r="A878" s="1">
        <v>408.0</v>
      </c>
      <c r="B878" s="1">
        <v>8.3631858E7</v>
      </c>
      <c r="C878" s="1">
        <v>3.51221883E8</v>
      </c>
      <c r="D878" s="1" t="s">
        <v>1538</v>
      </c>
    </row>
    <row r="879">
      <c r="A879" s="1">
        <v>462.0</v>
      </c>
      <c r="B879" s="1">
        <v>8.3617757E7</v>
      </c>
      <c r="C879" s="1">
        <v>3.51332081E8</v>
      </c>
      <c r="D879" s="1" t="s">
        <v>1539</v>
      </c>
    </row>
    <row r="880">
      <c r="A880" s="1">
        <v>458.0</v>
      </c>
      <c r="B880" s="1">
        <v>8.3582751E7</v>
      </c>
      <c r="C880" s="1">
        <v>3.50992567E8</v>
      </c>
      <c r="D880" s="1" t="s">
        <v>1540</v>
      </c>
    </row>
    <row r="881">
      <c r="A881" s="1">
        <v>173.0</v>
      </c>
      <c r="B881" s="1">
        <v>8.3582651E7</v>
      </c>
      <c r="C881" s="1">
        <v>3.51312654E8</v>
      </c>
      <c r="D881" s="1" t="s">
        <v>1543</v>
      </c>
    </row>
    <row r="882">
      <c r="A882" s="1">
        <v>461.0</v>
      </c>
      <c r="B882" s="1">
        <v>8.3566156E7</v>
      </c>
      <c r="C882" s="1">
        <v>3.51011766E8</v>
      </c>
      <c r="D882" s="1" t="s">
        <v>1544</v>
      </c>
    </row>
    <row r="883">
      <c r="A883" s="1">
        <v>671.0</v>
      </c>
      <c r="B883" s="1">
        <v>8.3560864E7</v>
      </c>
      <c r="C883" s="1">
        <v>3.51049752E8</v>
      </c>
      <c r="D883" s="1" t="s">
        <v>1546</v>
      </c>
    </row>
    <row r="884">
      <c r="A884" s="1">
        <v>602.0</v>
      </c>
      <c r="B884" s="1">
        <v>8.3529395E7</v>
      </c>
      <c r="C884" s="1">
        <v>3.5072409E8</v>
      </c>
      <c r="D884" s="1" t="s">
        <v>1547</v>
      </c>
    </row>
    <row r="885">
      <c r="A885" s="1">
        <v>319.0</v>
      </c>
      <c r="B885" s="1">
        <v>8.3524868E7</v>
      </c>
      <c r="C885" s="1">
        <v>3.5096807E8</v>
      </c>
      <c r="D885" s="1" t="s">
        <v>1549</v>
      </c>
    </row>
    <row r="886">
      <c r="A886" s="1">
        <v>173.0</v>
      </c>
      <c r="B886" s="1">
        <v>8.3524771E7</v>
      </c>
      <c r="C886" s="1">
        <v>3.5101989E8</v>
      </c>
      <c r="D886" s="1" t="s">
        <v>1550</v>
      </c>
    </row>
    <row r="887">
      <c r="A887" s="1">
        <v>380.0</v>
      </c>
      <c r="B887" s="1">
        <v>8.3491215E7</v>
      </c>
      <c r="C887" s="1">
        <v>3.50706512E8</v>
      </c>
      <c r="D887" s="1" t="s">
        <v>1551</v>
      </c>
    </row>
    <row r="888">
      <c r="A888" s="1">
        <v>671.0</v>
      </c>
      <c r="B888" s="1">
        <v>8.346926E7</v>
      </c>
      <c r="C888" s="1">
        <v>3.5043307E8</v>
      </c>
      <c r="D888" s="1" t="s">
        <v>505</v>
      </c>
    </row>
    <row r="889">
      <c r="A889" s="1">
        <v>671.0</v>
      </c>
      <c r="B889" s="1">
        <v>8.3447533E7</v>
      </c>
      <c r="C889" s="1">
        <v>3.5043293E8</v>
      </c>
      <c r="D889" s="1" t="s">
        <v>1554</v>
      </c>
    </row>
    <row r="890">
      <c r="A890" s="1">
        <v>414.0</v>
      </c>
      <c r="B890" s="1">
        <v>8.3424596E7</v>
      </c>
      <c r="C890" s="1">
        <v>3.50357696E8</v>
      </c>
      <c r="D890" s="1" t="s">
        <v>1556</v>
      </c>
    </row>
    <row r="891">
      <c r="A891" s="1">
        <v>355.0</v>
      </c>
      <c r="B891" s="1">
        <v>8.3238705E7</v>
      </c>
      <c r="C891" s="1">
        <v>3.4953294E8</v>
      </c>
      <c r="D891" s="1" t="s">
        <v>1557</v>
      </c>
    </row>
    <row r="892">
      <c r="A892" s="1">
        <v>578.0</v>
      </c>
      <c r="B892" s="1">
        <v>8.3198399E7</v>
      </c>
      <c r="C892" s="1">
        <v>3.49579829E8</v>
      </c>
      <c r="D892" s="1" t="s">
        <v>1558</v>
      </c>
    </row>
    <row r="893">
      <c r="A893" s="1">
        <v>630.0</v>
      </c>
      <c r="B893" s="1">
        <v>8.3169308E7</v>
      </c>
      <c r="C893" s="1">
        <v>3.4907821E8</v>
      </c>
      <c r="D893" s="1" t="s">
        <v>1559</v>
      </c>
    </row>
    <row r="894">
      <c r="A894" s="1">
        <v>355.0</v>
      </c>
      <c r="B894" s="1">
        <v>8.3117288E7</v>
      </c>
      <c r="C894" s="1">
        <v>3.48984444E8</v>
      </c>
      <c r="D894" s="1" t="s">
        <v>1560</v>
      </c>
    </row>
    <row r="895">
      <c r="A895" s="1">
        <v>355.0</v>
      </c>
      <c r="B895" s="1">
        <v>8.3065699E7</v>
      </c>
      <c r="C895" s="1">
        <v>3.48748163E8</v>
      </c>
      <c r="D895" s="1" t="s">
        <v>1562</v>
      </c>
    </row>
    <row r="896">
      <c r="A896" s="1">
        <v>610.0</v>
      </c>
      <c r="B896" s="1">
        <v>8.3059701E7</v>
      </c>
      <c r="C896" s="1">
        <v>3.48664548E8</v>
      </c>
      <c r="D896" s="1" t="s">
        <v>1563</v>
      </c>
    </row>
    <row r="897">
      <c r="A897" s="1">
        <v>215.0</v>
      </c>
      <c r="B897" s="1">
        <v>8.3039099E7</v>
      </c>
      <c r="C897" s="1">
        <v>3.49108682E8</v>
      </c>
      <c r="D897" s="1" t="s">
        <v>1564</v>
      </c>
    </row>
    <row r="898">
      <c r="A898" s="1">
        <v>602.0</v>
      </c>
      <c r="B898" s="1">
        <v>8.3020793E7</v>
      </c>
      <c r="C898" s="1">
        <v>3.4926063E8</v>
      </c>
      <c r="D898" s="1" t="s">
        <v>1565</v>
      </c>
    </row>
    <row r="899">
      <c r="A899" s="1">
        <v>587.0</v>
      </c>
      <c r="B899" s="1">
        <v>8.3004338E7</v>
      </c>
      <c r="C899" s="1">
        <v>3.48775833E8</v>
      </c>
      <c r="D899" s="1" t="s">
        <v>1566</v>
      </c>
    </row>
    <row r="900">
      <c r="A900" s="1">
        <v>532.0</v>
      </c>
      <c r="B900" s="1">
        <v>8.2998649E7</v>
      </c>
      <c r="C900" s="1">
        <v>4.02198996E8</v>
      </c>
      <c r="D900" s="1" t="s">
        <v>1567</v>
      </c>
    </row>
    <row r="901">
      <c r="A901" s="1">
        <v>571.0</v>
      </c>
      <c r="B901" s="1">
        <v>8.296701E7</v>
      </c>
      <c r="C901" s="1">
        <v>3.48258526E8</v>
      </c>
      <c r="D901" s="1" t="s">
        <v>1568</v>
      </c>
    </row>
    <row r="902">
      <c r="A902" s="1">
        <v>412.0</v>
      </c>
      <c r="B902" s="1">
        <v>8.2961169E7</v>
      </c>
      <c r="C902" s="1">
        <v>3.48680849E8</v>
      </c>
      <c r="D902" s="1" t="s">
        <v>503</v>
      </c>
    </row>
    <row r="903">
      <c r="A903" s="1">
        <v>602.0</v>
      </c>
      <c r="B903" s="1">
        <v>8.2957076E7</v>
      </c>
      <c r="C903" s="1">
        <v>3.48056417E8</v>
      </c>
      <c r="D903" s="1" t="s">
        <v>1570</v>
      </c>
    </row>
    <row r="904">
      <c r="A904" s="1">
        <v>504.0</v>
      </c>
      <c r="B904" s="1">
        <v>8.2940345E7</v>
      </c>
      <c r="C904" s="1">
        <v>3.48029327E8</v>
      </c>
      <c r="D904" s="1" t="s">
        <v>1571</v>
      </c>
    </row>
    <row r="905">
      <c r="A905" s="1">
        <v>504.0</v>
      </c>
      <c r="B905" s="1">
        <v>8.2935303E7</v>
      </c>
      <c r="C905" s="1">
        <v>3.89484751E8</v>
      </c>
      <c r="D905" s="1" t="s">
        <v>1573</v>
      </c>
    </row>
    <row r="906">
      <c r="A906" s="1">
        <v>380.0</v>
      </c>
      <c r="B906" s="1">
        <v>8.2913106E7</v>
      </c>
      <c r="C906" s="1">
        <v>3.48403143E8</v>
      </c>
      <c r="D906" s="1" t="s">
        <v>1576</v>
      </c>
    </row>
    <row r="907">
      <c r="A907" s="1">
        <v>173.0</v>
      </c>
      <c r="B907" s="1">
        <v>8.2856474E7</v>
      </c>
      <c r="C907" s="1">
        <v>3.47815682E8</v>
      </c>
      <c r="D907" s="1" t="s">
        <v>1577</v>
      </c>
    </row>
    <row r="908">
      <c r="A908" s="1">
        <v>593.0</v>
      </c>
      <c r="B908" s="1">
        <v>8.2832102E7</v>
      </c>
      <c r="C908" s="1">
        <v>3.47531108E8</v>
      </c>
      <c r="D908" s="1" t="s">
        <v>1579</v>
      </c>
    </row>
    <row r="909">
      <c r="A909" s="1">
        <v>319.0</v>
      </c>
      <c r="B909" s="1">
        <v>8.2799761E7</v>
      </c>
      <c r="C909" s="1">
        <v>3.47544129E8</v>
      </c>
      <c r="D909" s="1" t="s">
        <v>1580</v>
      </c>
    </row>
    <row r="910">
      <c r="A910" s="1">
        <v>715.0</v>
      </c>
      <c r="B910" s="1">
        <v>8.2764654E7</v>
      </c>
      <c r="C910" s="1">
        <v>3.471109E8</v>
      </c>
      <c r="D910" s="1" t="s">
        <v>1582</v>
      </c>
    </row>
    <row r="911">
      <c r="A911" s="1">
        <v>407.0</v>
      </c>
      <c r="B911" s="1">
        <v>8.2674982E7</v>
      </c>
      <c r="C911" s="1">
        <v>3.47141554E8</v>
      </c>
      <c r="D911" s="1" t="s">
        <v>1163</v>
      </c>
    </row>
    <row r="912">
      <c r="A912" s="1">
        <v>194.0</v>
      </c>
      <c r="B912" s="1">
        <v>8.2650607E7</v>
      </c>
      <c r="C912" s="1">
        <v>3.46495739E8</v>
      </c>
      <c r="D912" s="1" t="s">
        <v>1585</v>
      </c>
    </row>
    <row r="913">
      <c r="A913" s="1">
        <v>578.0</v>
      </c>
      <c r="B913" s="1">
        <v>8.2622591E7</v>
      </c>
      <c r="C913" s="1">
        <v>3.46467309E8</v>
      </c>
      <c r="D913" s="1" t="s">
        <v>1587</v>
      </c>
    </row>
    <row r="914">
      <c r="A914" s="1">
        <v>173.0</v>
      </c>
      <c r="B914" s="1">
        <v>8.2621472E7</v>
      </c>
      <c r="C914" s="1">
        <v>3.46595323E8</v>
      </c>
      <c r="D914" s="1" t="s">
        <v>1588</v>
      </c>
    </row>
    <row r="915">
      <c r="A915" s="1">
        <v>173.0</v>
      </c>
      <c r="B915" s="1">
        <v>8.2618061E7</v>
      </c>
      <c r="C915" s="1">
        <v>3.4652123E8</v>
      </c>
      <c r="D915" s="1" t="s">
        <v>1589</v>
      </c>
    </row>
    <row r="916">
      <c r="A916" s="1">
        <v>173.0</v>
      </c>
      <c r="B916" s="1">
        <v>8.2576932E7</v>
      </c>
      <c r="C916" s="1">
        <v>4.75585834E8</v>
      </c>
      <c r="D916" s="1" t="s">
        <v>1591</v>
      </c>
    </row>
    <row r="917">
      <c r="A917" s="1">
        <v>394.0</v>
      </c>
      <c r="B917" s="1">
        <v>8.2550102E7</v>
      </c>
      <c r="C917" s="1">
        <v>3.46452977E8</v>
      </c>
      <c r="D917" s="1" t="s">
        <v>1592</v>
      </c>
    </row>
    <row r="918">
      <c r="A918" s="1">
        <v>564.0</v>
      </c>
      <c r="B918" s="1">
        <v>8.2547905E7</v>
      </c>
      <c r="C918" s="1">
        <v>3.46088811E8</v>
      </c>
      <c r="D918" s="1" t="s">
        <v>1593</v>
      </c>
    </row>
    <row r="919">
      <c r="A919" s="1">
        <v>661.0</v>
      </c>
      <c r="B919" s="1">
        <v>8.254391E7</v>
      </c>
      <c r="C919" s="1">
        <v>3.4610627E8</v>
      </c>
      <c r="D919" s="1" t="s">
        <v>1596</v>
      </c>
    </row>
    <row r="920">
      <c r="A920" s="1">
        <v>546.0</v>
      </c>
      <c r="B920" s="1">
        <v>8.2529319E7</v>
      </c>
      <c r="C920" s="1">
        <v>3.45875921E8</v>
      </c>
      <c r="D920" s="1" t="s">
        <v>1012</v>
      </c>
    </row>
    <row r="921">
      <c r="A921" s="1">
        <v>569.0</v>
      </c>
      <c r="B921" s="1">
        <v>8.2515962E7</v>
      </c>
      <c r="C921" s="1">
        <v>3.45899782E8</v>
      </c>
      <c r="D921" s="1" t="s">
        <v>1597</v>
      </c>
    </row>
    <row r="922">
      <c r="A922" s="1">
        <v>353.0</v>
      </c>
      <c r="B922" s="1">
        <v>8.2507938E7</v>
      </c>
      <c r="C922" s="1">
        <v>3.45905252E8</v>
      </c>
      <c r="D922" s="1" t="s">
        <v>1598</v>
      </c>
    </row>
    <row r="923">
      <c r="A923" s="1">
        <v>593.0</v>
      </c>
      <c r="B923" s="1">
        <v>8.2485233E7</v>
      </c>
      <c r="C923" s="1">
        <v>3.45810419E8</v>
      </c>
      <c r="D923" s="1" t="s">
        <v>1599</v>
      </c>
    </row>
    <row r="924">
      <c r="A924" s="1">
        <v>355.0</v>
      </c>
      <c r="B924" s="1">
        <v>8.2435735E7</v>
      </c>
      <c r="C924" s="1">
        <v>3.45576538E8</v>
      </c>
      <c r="D924" s="1" t="s">
        <v>1602</v>
      </c>
    </row>
    <row r="925">
      <c r="A925" s="1">
        <v>601.0</v>
      </c>
      <c r="B925" s="1">
        <v>8.2407962E7</v>
      </c>
      <c r="C925" s="1">
        <v>3.45373779E8</v>
      </c>
      <c r="D925" s="1" t="s">
        <v>1604</v>
      </c>
    </row>
    <row r="926">
      <c r="A926" s="1">
        <v>671.0</v>
      </c>
      <c r="B926" s="1">
        <v>8.2396564E7</v>
      </c>
      <c r="C926" s="1">
        <v>3.45401261E8</v>
      </c>
      <c r="D926" s="1" t="s">
        <v>1606</v>
      </c>
    </row>
    <row r="927">
      <c r="A927" s="1">
        <v>484.0</v>
      </c>
      <c r="B927" s="1">
        <v>8.2385503E7</v>
      </c>
      <c r="C927" s="1">
        <v>3.45547376E8</v>
      </c>
      <c r="D927" s="1" t="s">
        <v>1607</v>
      </c>
    </row>
    <row r="928">
      <c r="A928" s="1">
        <v>671.0</v>
      </c>
      <c r="B928" s="1">
        <v>8.2376167E7</v>
      </c>
      <c r="C928" s="1">
        <v>3.45144686E8</v>
      </c>
      <c r="D928" s="1" t="s">
        <v>1609</v>
      </c>
    </row>
    <row r="929">
      <c r="A929" s="1">
        <v>173.0</v>
      </c>
      <c r="B929" s="1">
        <v>8.2357688E7</v>
      </c>
      <c r="C929" s="1">
        <v>3.45193494E8</v>
      </c>
      <c r="D929" s="1" t="s">
        <v>1611</v>
      </c>
    </row>
    <row r="930">
      <c r="A930" s="1">
        <v>593.0</v>
      </c>
      <c r="B930" s="1">
        <v>8.2330901E7</v>
      </c>
      <c r="C930" s="1">
        <v>3.45084174E8</v>
      </c>
      <c r="D930" s="1" t="s">
        <v>1612</v>
      </c>
    </row>
    <row r="931">
      <c r="A931" s="1">
        <v>194.0</v>
      </c>
      <c r="B931" s="1">
        <v>8.2309068E7</v>
      </c>
      <c r="C931" s="1">
        <v>3.44822442E8</v>
      </c>
      <c r="D931" s="1" t="s">
        <v>1615</v>
      </c>
    </row>
    <row r="932">
      <c r="A932" s="1">
        <v>587.0</v>
      </c>
      <c r="B932" s="1">
        <v>8.2230485E7</v>
      </c>
      <c r="C932" s="1">
        <v>3.44651351E8</v>
      </c>
      <c r="D932" s="1" t="s">
        <v>1617</v>
      </c>
    </row>
    <row r="933">
      <c r="A933" s="1">
        <v>601.0</v>
      </c>
      <c r="B933" s="1">
        <v>8.2196229E7</v>
      </c>
      <c r="C933" s="1">
        <v>3.44517513E8</v>
      </c>
      <c r="D933" s="1" t="s">
        <v>1619</v>
      </c>
    </row>
    <row r="934">
      <c r="A934" s="1">
        <v>173.0</v>
      </c>
      <c r="B934" s="1">
        <v>8.2189184E7</v>
      </c>
      <c r="C934" s="1">
        <v>3.45434351E8</v>
      </c>
      <c r="D934" s="1" t="s">
        <v>1541</v>
      </c>
    </row>
    <row r="935">
      <c r="A935" s="1">
        <v>353.0</v>
      </c>
      <c r="B935" s="1">
        <v>8.2165411E7</v>
      </c>
      <c r="C935" s="1">
        <v>3.44271436E8</v>
      </c>
      <c r="D935" s="1" t="s">
        <v>1620</v>
      </c>
    </row>
    <row r="936">
      <c r="A936" s="1">
        <v>458.0</v>
      </c>
      <c r="B936" s="1">
        <v>8.2122116E7</v>
      </c>
      <c r="C936" s="1">
        <v>3.44240388E8</v>
      </c>
      <c r="D936" s="1" t="s">
        <v>1621</v>
      </c>
    </row>
    <row r="937">
      <c r="A937" s="1">
        <v>667.0</v>
      </c>
      <c r="B937" s="1">
        <v>8.210741E7</v>
      </c>
      <c r="C937" s="1">
        <v>3.44189202E8</v>
      </c>
      <c r="D937" s="1" t="s">
        <v>1622</v>
      </c>
    </row>
    <row r="938">
      <c r="A938" s="1">
        <v>671.0</v>
      </c>
      <c r="B938" s="1">
        <v>8.2091695E7</v>
      </c>
      <c r="C938" s="1">
        <v>3.44641258E8</v>
      </c>
      <c r="D938" s="1" t="s">
        <v>1181</v>
      </c>
    </row>
    <row r="939">
      <c r="A939" s="1">
        <v>414.0</v>
      </c>
      <c r="B939" s="1">
        <v>8.2088731E7</v>
      </c>
      <c r="C939" s="1">
        <v>3.43944535E8</v>
      </c>
      <c r="D939" s="1" t="s">
        <v>1624</v>
      </c>
    </row>
    <row r="940">
      <c r="A940" s="1">
        <v>601.0</v>
      </c>
      <c r="B940" s="1">
        <v>8.2087496E7</v>
      </c>
      <c r="C940" s="1">
        <v>3.43947245E8</v>
      </c>
      <c r="D940" s="1" t="s">
        <v>1625</v>
      </c>
    </row>
    <row r="941">
      <c r="A941" s="1">
        <v>716.0</v>
      </c>
      <c r="B941" s="1">
        <v>8.2084208E7</v>
      </c>
      <c r="C941" s="1">
        <v>3.43925945E8</v>
      </c>
      <c r="D941" s="1" t="s">
        <v>1627</v>
      </c>
    </row>
    <row r="942">
      <c r="A942" s="1">
        <v>194.0</v>
      </c>
      <c r="B942" s="1">
        <v>8.2067364E7</v>
      </c>
      <c r="C942" s="1">
        <v>3.43691519E8</v>
      </c>
      <c r="D942" s="1" t="s">
        <v>803</v>
      </c>
    </row>
    <row r="943">
      <c r="A943" s="1">
        <v>210.0</v>
      </c>
      <c r="B943" s="1">
        <v>8.2029887E7</v>
      </c>
      <c r="C943" s="1">
        <v>3.437268E8</v>
      </c>
      <c r="D943" s="1" t="s">
        <v>1630</v>
      </c>
    </row>
    <row r="944">
      <c r="A944" s="1">
        <v>719.0</v>
      </c>
      <c r="B944" s="1">
        <v>8.1998643E7</v>
      </c>
      <c r="C944" s="1">
        <v>3.43502752E8</v>
      </c>
      <c r="D944" s="1" t="s">
        <v>1632</v>
      </c>
    </row>
    <row r="945">
      <c r="A945" s="1">
        <v>353.0</v>
      </c>
      <c r="B945" s="1">
        <v>8.1996602E7</v>
      </c>
      <c r="C945" s="1">
        <v>3.57331755E8</v>
      </c>
      <c r="D945" s="1" t="s">
        <v>1634</v>
      </c>
    </row>
    <row r="946">
      <c r="A946" s="1">
        <v>701.0</v>
      </c>
      <c r="B946" s="1">
        <v>8.1992444E7</v>
      </c>
      <c r="C946" s="1">
        <v>3.43672848E8</v>
      </c>
      <c r="D946" s="1" t="s">
        <v>247</v>
      </c>
    </row>
    <row r="947">
      <c r="A947" s="1">
        <v>504.0</v>
      </c>
      <c r="B947" s="1">
        <v>8.1980608E7</v>
      </c>
      <c r="C947" s="1">
        <v>3.44163522E8</v>
      </c>
      <c r="D947" s="1" t="s">
        <v>1637</v>
      </c>
    </row>
    <row r="948">
      <c r="A948" s="1">
        <v>120.0</v>
      </c>
      <c r="B948" s="1">
        <v>8.19279E7</v>
      </c>
      <c r="C948" s="1">
        <v>3.43151049E8</v>
      </c>
      <c r="D948" s="1" t="s">
        <v>1638</v>
      </c>
    </row>
    <row r="949">
      <c r="A949" s="1">
        <v>721.0</v>
      </c>
      <c r="B949" s="1">
        <v>8.1914857E7</v>
      </c>
      <c r="C949" s="1">
        <v>3.43201755E8</v>
      </c>
      <c r="D949" s="1" t="s">
        <v>584</v>
      </c>
    </row>
    <row r="950">
      <c r="A950" s="1">
        <v>462.0</v>
      </c>
      <c r="B950" s="1">
        <v>8.1890879E7</v>
      </c>
      <c r="C950" s="1">
        <v>3.43007301E8</v>
      </c>
      <c r="D950" s="17" t="s">
        <v>1641</v>
      </c>
    </row>
    <row r="951">
      <c r="A951" s="1">
        <v>671.0</v>
      </c>
      <c r="B951" s="1">
        <v>8.1886128E7</v>
      </c>
      <c r="C951" s="1">
        <v>3.42996766E8</v>
      </c>
      <c r="D951" s="1" t="s">
        <v>1644</v>
      </c>
    </row>
    <row r="952">
      <c r="A952" s="1">
        <v>601.0</v>
      </c>
      <c r="B952" s="1">
        <v>8.1872413E7</v>
      </c>
      <c r="C952" s="1">
        <v>3.4346677E8</v>
      </c>
      <c r="D952" s="1" t="s">
        <v>1646</v>
      </c>
    </row>
    <row r="953">
      <c r="A953" s="1">
        <v>713.0</v>
      </c>
      <c r="B953" s="1">
        <v>8.1858667E7</v>
      </c>
      <c r="C953" s="1">
        <v>3.42908526E8</v>
      </c>
      <c r="D953" s="1" t="s">
        <v>1647</v>
      </c>
    </row>
    <row r="954">
      <c r="A954" s="1">
        <v>224.0</v>
      </c>
      <c r="B954" s="1">
        <v>8.1836751E7</v>
      </c>
      <c r="C954" s="1">
        <v>3.42924437E8</v>
      </c>
      <c r="D954" s="1" t="s">
        <v>1649</v>
      </c>
    </row>
    <row r="955">
      <c r="A955" s="1">
        <v>571.0</v>
      </c>
      <c r="B955" s="1">
        <v>8.1830136E7</v>
      </c>
      <c r="C955" s="1">
        <v>3.42672971E8</v>
      </c>
      <c r="D955" s="1" t="s">
        <v>1650</v>
      </c>
    </row>
    <row r="956">
      <c r="A956" s="1">
        <v>353.0</v>
      </c>
      <c r="B956" s="1">
        <v>8.1791846E7</v>
      </c>
      <c r="C956" s="1">
        <v>3.42722682E8</v>
      </c>
      <c r="D956" s="1" t="s">
        <v>1651</v>
      </c>
    </row>
    <row r="957">
      <c r="A957" s="1">
        <v>213.0</v>
      </c>
      <c r="B957" s="1">
        <v>8.1788226E7</v>
      </c>
      <c r="C957" s="1">
        <v>3.4289462E8</v>
      </c>
      <c r="D957" s="1" t="s">
        <v>1653</v>
      </c>
    </row>
    <row r="958">
      <c r="A958" s="1">
        <v>593.0</v>
      </c>
      <c r="B958" s="1">
        <v>8.1762262E7</v>
      </c>
      <c r="C958" s="1">
        <v>3.42337544E8</v>
      </c>
      <c r="D958" s="1" t="s">
        <v>1654</v>
      </c>
    </row>
    <row r="959">
      <c r="A959" s="1">
        <v>504.0</v>
      </c>
      <c r="B959" s="1">
        <v>8.1737002E7</v>
      </c>
      <c r="C959" s="1">
        <v>3.42277943E8</v>
      </c>
      <c r="D959" s="1" t="s">
        <v>1656</v>
      </c>
    </row>
    <row r="960">
      <c r="A960" s="1">
        <v>403.0</v>
      </c>
      <c r="B960" s="1">
        <v>8.1732172E7</v>
      </c>
      <c r="C960" s="1">
        <v>3.42333644E8</v>
      </c>
      <c r="D960" s="1" t="s">
        <v>1658</v>
      </c>
    </row>
    <row r="961">
      <c r="A961" s="1">
        <v>129.0</v>
      </c>
      <c r="B961" s="1">
        <v>8.1708157E7</v>
      </c>
      <c r="C961" s="1">
        <v>3.42078738E8</v>
      </c>
      <c r="D961" s="1" t="s">
        <v>1660</v>
      </c>
    </row>
    <row r="962">
      <c r="A962" s="1">
        <v>550.0</v>
      </c>
      <c r="B962" s="1">
        <v>8.1661476E7</v>
      </c>
      <c r="C962" s="1">
        <v>3.41814589E8</v>
      </c>
      <c r="D962" s="1" t="s">
        <v>1662</v>
      </c>
    </row>
    <row r="963">
      <c r="A963" s="1">
        <v>129.0</v>
      </c>
      <c r="B963" s="1">
        <v>8.1640798E7</v>
      </c>
      <c r="C963" s="1">
        <v>3.41873926E8</v>
      </c>
      <c r="D963" s="1" t="s">
        <v>1663</v>
      </c>
    </row>
    <row r="964">
      <c r="A964" s="1">
        <v>578.0</v>
      </c>
      <c r="B964" s="1">
        <v>8.153762E7</v>
      </c>
      <c r="C964" s="1">
        <v>3.41581648E8</v>
      </c>
      <c r="D964" s="1" t="s">
        <v>1664</v>
      </c>
    </row>
    <row r="965">
      <c r="A965" s="1">
        <v>664.0</v>
      </c>
      <c r="B965" s="1">
        <v>8.1533622E7</v>
      </c>
      <c r="C965" s="1">
        <v>3.41325109E8</v>
      </c>
      <c r="D965" s="1" t="s">
        <v>1666</v>
      </c>
    </row>
    <row r="966">
      <c r="A966" s="1">
        <v>380.0</v>
      </c>
      <c r="B966" s="1">
        <v>8.1519368E7</v>
      </c>
      <c r="C966" s="1">
        <v>3.41587062E8</v>
      </c>
      <c r="D966" s="1" t="s">
        <v>1668</v>
      </c>
    </row>
    <row r="967">
      <c r="A967" s="1">
        <v>630.0</v>
      </c>
      <c r="B967" s="1">
        <v>8.149527E7</v>
      </c>
      <c r="C967" s="1">
        <v>3.81930074E8</v>
      </c>
      <c r="D967" s="1" t="s">
        <v>1670</v>
      </c>
    </row>
    <row r="968">
      <c r="A968" s="1">
        <v>210.0</v>
      </c>
      <c r="B968" s="1">
        <v>8.143703E7</v>
      </c>
      <c r="C968" s="1">
        <v>3.40888643E8</v>
      </c>
      <c r="D968" s="1" t="s">
        <v>1672</v>
      </c>
    </row>
    <row r="969">
      <c r="A969" s="1">
        <v>392.0</v>
      </c>
      <c r="B969" s="1">
        <v>8.1431905E7</v>
      </c>
      <c r="C969" s="1">
        <v>3.40825768E8</v>
      </c>
      <c r="D969" s="1" t="s">
        <v>1674</v>
      </c>
    </row>
    <row r="970">
      <c r="A970" s="1">
        <v>394.0</v>
      </c>
      <c r="B970" s="1">
        <v>8.1427791E7</v>
      </c>
      <c r="C970" s="1">
        <v>3.40854583E8</v>
      </c>
      <c r="D970" s="1" t="s">
        <v>1675</v>
      </c>
    </row>
    <row r="971">
      <c r="A971" s="1">
        <v>550.0</v>
      </c>
      <c r="B971" s="1">
        <v>8.1386071E7</v>
      </c>
      <c r="C971" s="1">
        <v>3.40852336E8</v>
      </c>
      <c r="D971" s="1" t="s">
        <v>1677</v>
      </c>
    </row>
    <row r="972">
      <c r="A972" s="1">
        <v>492.0</v>
      </c>
      <c r="B972" s="1">
        <v>8.1371738E7</v>
      </c>
      <c r="C972" s="1">
        <v>3.4054929E8</v>
      </c>
      <c r="D972" s="1" t="s">
        <v>1679</v>
      </c>
    </row>
    <row r="973">
      <c r="A973" s="1">
        <v>643.0</v>
      </c>
      <c r="B973" s="1">
        <v>8.1368467E7</v>
      </c>
      <c r="C973" s="1">
        <v>3.40530316E8</v>
      </c>
      <c r="D973" s="1" t="s">
        <v>650</v>
      </c>
    </row>
    <row r="974">
      <c r="A974" s="1">
        <v>353.0</v>
      </c>
      <c r="B974" s="1">
        <v>8.1289641E7</v>
      </c>
      <c r="C974" s="1">
        <v>3.40277549E8</v>
      </c>
      <c r="D974" s="1" t="s">
        <v>1682</v>
      </c>
    </row>
    <row r="975">
      <c r="A975" s="1">
        <v>492.0</v>
      </c>
      <c r="B975" s="1">
        <v>8.1270286E7</v>
      </c>
      <c r="C975" s="1">
        <v>3.40071083E8</v>
      </c>
      <c r="D975" s="1" t="s">
        <v>1684</v>
      </c>
    </row>
    <row r="976">
      <c r="A976" s="1">
        <v>353.0</v>
      </c>
      <c r="B976" s="1">
        <v>8.1251949E7</v>
      </c>
      <c r="C976" s="1">
        <v>3.40345399E8</v>
      </c>
      <c r="D976" s="1" t="s">
        <v>1685</v>
      </c>
    </row>
    <row r="977">
      <c r="A977" s="1">
        <v>602.0</v>
      </c>
      <c r="B977" s="1">
        <v>8.1185806E7</v>
      </c>
      <c r="C977" s="1">
        <v>3.39810261E8</v>
      </c>
      <c r="D977" s="1" t="s">
        <v>1687</v>
      </c>
    </row>
    <row r="978">
      <c r="A978" s="1">
        <v>671.0</v>
      </c>
      <c r="B978" s="1">
        <v>8.1164654E7</v>
      </c>
      <c r="C978" s="1">
        <v>3.39814913E8</v>
      </c>
      <c r="D978" s="1" t="s">
        <v>1688</v>
      </c>
    </row>
    <row r="979">
      <c r="A979" s="1">
        <v>654.0</v>
      </c>
      <c r="B979" s="1">
        <v>8.1064823E7</v>
      </c>
      <c r="C979" s="1">
        <v>3.39286079E8</v>
      </c>
      <c r="D979" s="1" t="s">
        <v>1690</v>
      </c>
    </row>
    <row r="980">
      <c r="A980" s="1">
        <v>565.0</v>
      </c>
      <c r="B980" s="1">
        <v>8.1048026E7</v>
      </c>
      <c r="C980" s="1">
        <v>3.39037055E8</v>
      </c>
      <c r="D980" s="1" t="s">
        <v>1691</v>
      </c>
    </row>
    <row r="981">
      <c r="A981" s="1">
        <v>654.0</v>
      </c>
      <c r="B981" s="1">
        <v>8.1036936E7</v>
      </c>
      <c r="C981" s="1">
        <v>3.39017741E8</v>
      </c>
      <c r="D981" s="1" t="s">
        <v>1692</v>
      </c>
    </row>
    <row r="982">
      <c r="A982" s="1">
        <v>712.0</v>
      </c>
      <c r="B982" s="1">
        <v>8.1030165E7</v>
      </c>
      <c r="C982" s="1">
        <v>3.38975479E8</v>
      </c>
      <c r="D982" s="1" t="s">
        <v>1694</v>
      </c>
    </row>
    <row r="983">
      <c r="A983" s="1">
        <v>498.0</v>
      </c>
      <c r="B983" s="1">
        <v>8.0987234E7</v>
      </c>
      <c r="C983" s="1">
        <v>3.39303514E8</v>
      </c>
      <c r="D983" s="1" t="s">
        <v>1695</v>
      </c>
    </row>
    <row r="984">
      <c r="A984" s="1">
        <v>215.0</v>
      </c>
      <c r="B984" s="1">
        <v>8.0970711E7</v>
      </c>
      <c r="C984" s="1">
        <v>3.3916553E8</v>
      </c>
      <c r="D984" s="1" t="s">
        <v>1697</v>
      </c>
    </row>
    <row r="985">
      <c r="A985" s="1">
        <v>545.0</v>
      </c>
      <c r="B985" s="1">
        <v>8.0857108E7</v>
      </c>
      <c r="C985" s="1">
        <v>3.38161424E8</v>
      </c>
      <c r="D985" s="1" t="s">
        <v>1698</v>
      </c>
    </row>
    <row r="986">
      <c r="A986" s="1">
        <v>601.0</v>
      </c>
      <c r="B986" s="1">
        <v>8.0836723E7</v>
      </c>
      <c r="C986" s="1">
        <v>3.56975587E8</v>
      </c>
      <c r="D986" s="1" t="s">
        <v>1701</v>
      </c>
    </row>
    <row r="987">
      <c r="A987" s="1">
        <v>671.0</v>
      </c>
      <c r="B987" s="1">
        <v>8.0816348E7</v>
      </c>
      <c r="C987" s="1">
        <v>3.3820242E8</v>
      </c>
      <c r="D987" s="1" t="s">
        <v>1702</v>
      </c>
    </row>
    <row r="988">
      <c r="A988" s="1">
        <v>610.0</v>
      </c>
      <c r="B988" s="1">
        <v>8.0805837E7</v>
      </c>
      <c r="C988" s="1">
        <v>3.38957624E8</v>
      </c>
      <c r="D988" s="1" t="s">
        <v>1703</v>
      </c>
    </row>
    <row r="989">
      <c r="A989" s="1">
        <v>394.0</v>
      </c>
      <c r="B989" s="1">
        <v>8.0794821E7</v>
      </c>
      <c r="C989" s="1">
        <v>3.37897889E8</v>
      </c>
      <c r="D989" s="1" t="s">
        <v>1704</v>
      </c>
    </row>
    <row r="990">
      <c r="A990" s="1">
        <v>601.0</v>
      </c>
      <c r="B990" s="1">
        <v>8.0794734E7</v>
      </c>
      <c r="C990" s="1">
        <v>3.37911548E8</v>
      </c>
      <c r="D990" s="1" t="s">
        <v>1706</v>
      </c>
    </row>
    <row r="991">
      <c r="A991" s="1">
        <v>319.0</v>
      </c>
      <c r="B991" s="1">
        <v>8.0774872E7</v>
      </c>
      <c r="C991" s="1">
        <v>3.38190204E8</v>
      </c>
      <c r="D991" s="1" t="s">
        <v>1707</v>
      </c>
    </row>
    <row r="992">
      <c r="A992" s="1">
        <v>673.0</v>
      </c>
      <c r="B992" s="1">
        <v>8.0762186E7</v>
      </c>
      <c r="C992" s="1">
        <v>3.38131553E8</v>
      </c>
      <c r="D992" s="1" t="s">
        <v>1709</v>
      </c>
    </row>
    <row r="993">
      <c r="A993" s="1">
        <v>116.0</v>
      </c>
      <c r="B993" s="1">
        <v>8.0714116E7</v>
      </c>
      <c r="C993" s="1">
        <v>3.37745835E8</v>
      </c>
      <c r="D993" s="1" t="s">
        <v>1713</v>
      </c>
    </row>
    <row r="994">
      <c r="A994" s="1">
        <v>602.0</v>
      </c>
      <c r="B994" s="1">
        <v>8.0657706E7</v>
      </c>
      <c r="C994" s="1">
        <v>3.38114695E8</v>
      </c>
      <c r="D994" s="1" t="s">
        <v>1715</v>
      </c>
    </row>
    <row r="995">
      <c r="A995" s="1">
        <v>713.0</v>
      </c>
      <c r="B995" s="1">
        <v>8.0626278E7</v>
      </c>
      <c r="C995" s="1">
        <v>3.37103543E8</v>
      </c>
      <c r="D995" s="1" t="s">
        <v>1716</v>
      </c>
    </row>
    <row r="996">
      <c r="A996" s="1">
        <v>578.0</v>
      </c>
      <c r="B996" s="1">
        <v>8.059943E7</v>
      </c>
      <c r="C996" s="1">
        <v>3.37383459E8</v>
      </c>
      <c r="D996" s="1" t="s">
        <v>1718</v>
      </c>
    </row>
    <row r="997">
      <c r="A997" s="1">
        <v>421.0</v>
      </c>
      <c r="B997" s="1">
        <v>8.0551018E7</v>
      </c>
      <c r="C997" s="1">
        <v>3.37107002E8</v>
      </c>
      <c r="D997" s="1" t="s">
        <v>1719</v>
      </c>
    </row>
    <row r="998">
      <c r="A998" s="1">
        <v>215.0</v>
      </c>
      <c r="B998" s="1">
        <v>8.0457703E7</v>
      </c>
      <c r="C998" s="1">
        <v>3.36873665E8</v>
      </c>
      <c r="D998" s="1" t="s">
        <v>1721</v>
      </c>
    </row>
    <row r="999">
      <c r="A999" s="1">
        <v>531.0</v>
      </c>
      <c r="B999" s="1">
        <v>8.0439774E7</v>
      </c>
      <c r="C999" s="1">
        <v>3.36512039E8</v>
      </c>
      <c r="D999" s="1" t="s">
        <v>1723</v>
      </c>
    </row>
    <row r="1000">
      <c r="A1000" s="1">
        <v>587.0</v>
      </c>
      <c r="B1000" s="1">
        <v>8.0432612E7</v>
      </c>
      <c r="C1000" s="1">
        <v>3.36271557E8</v>
      </c>
      <c r="D1000" s="1" t="s">
        <v>1725</v>
      </c>
    </row>
    <row r="1001">
      <c r="A1001" s="1">
        <v>644.0</v>
      </c>
      <c r="B1001" s="1">
        <v>8.0420772E7</v>
      </c>
      <c r="C1001" s="1">
        <v>3.36518574E8</v>
      </c>
      <c r="D1001" s="1" t="s">
        <v>1029</v>
      </c>
    </row>
    <row r="1002">
      <c r="A1002" s="1">
        <v>210.0</v>
      </c>
      <c r="B1002" s="1">
        <v>8.0417817E7</v>
      </c>
      <c r="C1002" s="1">
        <v>4.39597706E8</v>
      </c>
      <c r="D1002" s="1" t="s">
        <v>1727</v>
      </c>
    </row>
    <row r="1003">
      <c r="A1003" s="1">
        <v>630.0</v>
      </c>
      <c r="B1003" s="1">
        <v>8.0402935E7</v>
      </c>
      <c r="C1003" s="1">
        <v>3.36055767E8</v>
      </c>
      <c r="D1003" s="1" t="s">
        <v>1728</v>
      </c>
    </row>
    <row r="1004">
      <c r="A1004" s="1">
        <v>394.0</v>
      </c>
      <c r="B1004" s="1">
        <v>8.0371263E7</v>
      </c>
      <c r="C1004" s="1">
        <v>3.36266482E8</v>
      </c>
      <c r="D1004" s="1" t="s">
        <v>1729</v>
      </c>
    </row>
    <row r="1005">
      <c r="A1005" s="1">
        <v>571.0</v>
      </c>
      <c r="B1005" s="1">
        <v>8.0252106E7</v>
      </c>
      <c r="C1005" s="1">
        <v>3.35601238E8</v>
      </c>
      <c r="D1005" s="1" t="s">
        <v>1730</v>
      </c>
    </row>
    <row r="1006">
      <c r="A1006" s="1">
        <v>531.0</v>
      </c>
      <c r="B1006" s="1">
        <v>8.0217482E7</v>
      </c>
      <c r="C1006" s="1">
        <v>3.35239941E8</v>
      </c>
      <c r="D1006" s="1" t="s">
        <v>1733</v>
      </c>
    </row>
    <row r="1007">
      <c r="A1007" s="1">
        <v>353.0</v>
      </c>
      <c r="B1007" s="1">
        <v>8.0215061E7</v>
      </c>
      <c r="C1007" s="1">
        <v>3.35251125E8</v>
      </c>
      <c r="D1007" s="1" t="s">
        <v>1734</v>
      </c>
    </row>
    <row r="1008">
      <c r="A1008" s="1">
        <v>720.0</v>
      </c>
      <c r="B1008" s="1">
        <v>8.0194368E7</v>
      </c>
      <c r="C1008" s="1">
        <v>3.35299203E8</v>
      </c>
      <c r="D1008" s="1" t="s">
        <v>1736</v>
      </c>
    </row>
    <row r="1009">
      <c r="A1009" s="1">
        <v>602.0</v>
      </c>
      <c r="B1009" s="1">
        <v>8.0194017E7</v>
      </c>
      <c r="C1009" s="1">
        <v>3.35295259E8</v>
      </c>
      <c r="D1009" s="1" t="s">
        <v>1738</v>
      </c>
    </row>
    <row r="1010">
      <c r="A1010" s="1">
        <v>602.0</v>
      </c>
      <c r="B1010" s="1">
        <v>8.0157311E7</v>
      </c>
      <c r="C1010" s="1">
        <v>3.34899111E8</v>
      </c>
      <c r="D1010" s="1" t="s">
        <v>1739</v>
      </c>
    </row>
    <row r="1011">
      <c r="A1011" s="1">
        <v>244.0</v>
      </c>
      <c r="B1011" s="1">
        <v>8.0104049E7</v>
      </c>
      <c r="C1011" s="1">
        <v>3.35204856E8</v>
      </c>
      <c r="D1011" s="1" t="s">
        <v>498</v>
      </c>
    </row>
    <row r="1012">
      <c r="A1012" s="1">
        <v>173.0</v>
      </c>
      <c r="B1012" s="1">
        <v>8.0051254E7</v>
      </c>
      <c r="C1012" s="1">
        <v>3.34404032E8</v>
      </c>
      <c r="D1012" s="1" t="s">
        <v>1743</v>
      </c>
    </row>
    <row r="1013">
      <c r="A1013" s="1">
        <v>421.0</v>
      </c>
      <c r="B1013" s="1">
        <v>7.9907421E7</v>
      </c>
      <c r="C1013" s="1">
        <v>3.3386179E8</v>
      </c>
      <c r="D1013" s="1" t="s">
        <v>494</v>
      </c>
    </row>
    <row r="1014">
      <c r="A1014" s="1">
        <v>504.0</v>
      </c>
      <c r="B1014" s="1">
        <v>7.9861133E7</v>
      </c>
      <c r="C1014" s="1">
        <v>3.33550898E8</v>
      </c>
      <c r="D1014" s="1" t="s">
        <v>1744</v>
      </c>
    </row>
    <row r="1015">
      <c r="A1015" s="1">
        <v>427.0</v>
      </c>
      <c r="B1015" s="1">
        <v>7.982685E7</v>
      </c>
      <c r="C1015" s="1">
        <v>3.33543763E8</v>
      </c>
      <c r="D1015" s="1" t="s">
        <v>1746</v>
      </c>
    </row>
    <row r="1016">
      <c r="A1016" s="1">
        <v>664.0</v>
      </c>
      <c r="B1016" s="1">
        <v>7.9806509E7</v>
      </c>
      <c r="C1016" s="1">
        <v>3.33277944E8</v>
      </c>
      <c r="D1016" s="1" t="s">
        <v>1749</v>
      </c>
    </row>
    <row r="1017">
      <c r="A1017" s="1">
        <v>578.0</v>
      </c>
      <c r="B1017" s="1">
        <v>7.974508E7</v>
      </c>
      <c r="C1017" s="1">
        <v>3.32984244E8</v>
      </c>
      <c r="D1017" s="1" t="s">
        <v>1750</v>
      </c>
    </row>
    <row r="1018">
      <c r="A1018" s="1">
        <v>712.0</v>
      </c>
      <c r="B1018" s="1">
        <v>7.9741664E7</v>
      </c>
      <c r="C1018" s="1">
        <v>3.32962318E8</v>
      </c>
      <c r="D1018" s="1" t="s">
        <v>1752</v>
      </c>
    </row>
    <row r="1019">
      <c r="A1019" s="1">
        <v>194.0</v>
      </c>
      <c r="B1019" s="1">
        <v>7.9700612E7</v>
      </c>
      <c r="C1019" s="1">
        <v>3.3271455E8</v>
      </c>
      <c r="D1019" s="1" t="s">
        <v>1754</v>
      </c>
    </row>
    <row r="1020">
      <c r="A1020" s="1">
        <v>578.0</v>
      </c>
      <c r="B1020" s="1">
        <v>7.9694524E7</v>
      </c>
      <c r="C1020" s="1">
        <v>3.3266381E8</v>
      </c>
      <c r="D1020" s="1" t="s">
        <v>1755</v>
      </c>
    </row>
    <row r="1021">
      <c r="A1021" s="1">
        <v>337.0</v>
      </c>
      <c r="B1021" s="1">
        <v>7.9689153E7</v>
      </c>
      <c r="C1021" s="1">
        <v>3.33294194E8</v>
      </c>
      <c r="D1021" s="1" t="s">
        <v>1758</v>
      </c>
    </row>
    <row r="1022">
      <c r="A1022" s="1">
        <v>337.0</v>
      </c>
      <c r="B1022" s="1">
        <v>7.9670657E7</v>
      </c>
      <c r="C1022" s="1">
        <v>3.33293781E8</v>
      </c>
      <c r="D1022" s="1" t="s">
        <v>1759</v>
      </c>
    </row>
    <row r="1023">
      <c r="A1023" s="1">
        <v>319.0</v>
      </c>
      <c r="B1023" s="1">
        <v>7.959124E7</v>
      </c>
      <c r="C1023" s="1">
        <v>3.32445217E8</v>
      </c>
      <c r="D1023" s="1" t="s">
        <v>1761</v>
      </c>
    </row>
    <row r="1024">
      <c r="A1024" s="1">
        <v>355.0</v>
      </c>
      <c r="B1024" s="1">
        <v>7.9540648E7</v>
      </c>
      <c r="C1024" s="1">
        <v>3.31938335E8</v>
      </c>
      <c r="D1024" s="1" t="s">
        <v>1763</v>
      </c>
    </row>
    <row r="1025">
      <c r="A1025" s="1">
        <v>602.0</v>
      </c>
      <c r="B1025" s="1">
        <v>7.9522642E7</v>
      </c>
      <c r="C1025" s="1">
        <v>3.3222158E8</v>
      </c>
      <c r="D1025" s="1" t="s">
        <v>1764</v>
      </c>
    </row>
    <row r="1026">
      <c r="A1026" s="1">
        <v>408.0</v>
      </c>
      <c r="B1026" s="1">
        <v>7.9506186E7</v>
      </c>
      <c r="C1026" s="1">
        <v>3.33348659E8</v>
      </c>
      <c r="D1026" s="1" t="s">
        <v>896</v>
      </c>
    </row>
    <row r="1027">
      <c r="A1027" s="1">
        <v>210.0</v>
      </c>
      <c r="B1027" s="1">
        <v>7.9485328E7</v>
      </c>
      <c r="C1027" s="1">
        <v>4.47415222E8</v>
      </c>
      <c r="D1027" s="1" t="s">
        <v>1766</v>
      </c>
    </row>
    <row r="1028">
      <c r="A1028" s="1">
        <v>403.0</v>
      </c>
      <c r="B1028" s="1">
        <v>7.9442267E7</v>
      </c>
      <c r="C1028" s="1">
        <v>3.31365511E8</v>
      </c>
      <c r="D1028" s="1" t="s">
        <v>1768</v>
      </c>
    </row>
    <row r="1029">
      <c r="A1029" s="1">
        <v>462.0</v>
      </c>
      <c r="B1029" s="1">
        <v>7.9431736E7</v>
      </c>
      <c r="C1029" s="1">
        <v>3.31481656E8</v>
      </c>
      <c r="D1029" s="1" t="s">
        <v>1771</v>
      </c>
    </row>
    <row r="1030">
      <c r="A1030" s="1">
        <v>671.0</v>
      </c>
      <c r="B1030" s="1">
        <v>7.9422659E7</v>
      </c>
      <c r="C1030" s="1">
        <v>3.31494813E8</v>
      </c>
      <c r="D1030" s="1" t="s">
        <v>1772</v>
      </c>
    </row>
    <row r="1031">
      <c r="A1031" s="1">
        <v>403.0</v>
      </c>
      <c r="B1031" s="1">
        <v>7.940805E7</v>
      </c>
      <c r="C1031" s="1">
        <v>3.31371206E8</v>
      </c>
      <c r="D1031" s="1" t="s">
        <v>1774</v>
      </c>
    </row>
    <row r="1032">
      <c r="A1032" s="1">
        <v>129.0</v>
      </c>
      <c r="B1032" s="1">
        <v>7.9407502E7</v>
      </c>
      <c r="C1032" s="1">
        <v>3.31415969E8</v>
      </c>
      <c r="D1032" s="1" t="s">
        <v>1775</v>
      </c>
    </row>
    <row r="1033">
      <c r="A1033" s="1">
        <v>593.0</v>
      </c>
      <c r="B1033" s="1">
        <v>7.9406092E7</v>
      </c>
      <c r="C1033" s="1">
        <v>3.3143543E8</v>
      </c>
      <c r="D1033" s="1" t="s">
        <v>1776</v>
      </c>
    </row>
    <row r="1034">
      <c r="A1034" s="1">
        <v>394.0</v>
      </c>
      <c r="B1034" s="1">
        <v>7.9364754E7</v>
      </c>
      <c r="C1034" s="1">
        <v>3.31049294E8</v>
      </c>
      <c r="D1034" s="1" t="s">
        <v>1778</v>
      </c>
    </row>
    <row r="1035">
      <c r="A1035" s="1">
        <v>601.0</v>
      </c>
      <c r="B1035" s="1">
        <v>7.9333127E7</v>
      </c>
      <c r="C1035" s="1">
        <v>3.31103363E8</v>
      </c>
      <c r="D1035" s="1" t="s">
        <v>1780</v>
      </c>
    </row>
    <row r="1036">
      <c r="A1036" s="1">
        <v>542.0</v>
      </c>
      <c r="B1036" s="1">
        <v>7.9324154E7</v>
      </c>
      <c r="C1036" s="1">
        <v>3.31370404E8</v>
      </c>
      <c r="D1036" s="1" t="s">
        <v>1783</v>
      </c>
    </row>
    <row r="1037">
      <c r="A1037" s="1">
        <v>630.0</v>
      </c>
      <c r="B1037" s="1">
        <v>7.9320721E7</v>
      </c>
      <c r="C1037" s="1">
        <v>3.31763751E8</v>
      </c>
      <c r="D1037" s="1" t="s">
        <v>1784</v>
      </c>
    </row>
    <row r="1038">
      <c r="A1038" s="1">
        <v>462.0</v>
      </c>
      <c r="B1038" s="1">
        <v>7.9301644E7</v>
      </c>
      <c r="C1038" s="1">
        <v>3.30835701E8</v>
      </c>
      <c r="D1038" s="1" t="s">
        <v>1785</v>
      </c>
    </row>
    <row r="1039">
      <c r="A1039" s="1">
        <v>674.0</v>
      </c>
      <c r="B1039" s="1">
        <v>7.9212901E7</v>
      </c>
      <c r="C1039" s="1">
        <v>3.31067164E8</v>
      </c>
      <c r="D1039" s="1" t="s">
        <v>1787</v>
      </c>
    </row>
    <row r="1040">
      <c r="A1040" s="1">
        <v>664.0</v>
      </c>
      <c r="B1040" s="1">
        <v>7.9192505E7</v>
      </c>
      <c r="C1040" s="1">
        <v>3.30321658E8</v>
      </c>
      <c r="D1040" s="1" t="s">
        <v>1788</v>
      </c>
    </row>
    <row r="1041">
      <c r="A1041" s="1">
        <v>602.0</v>
      </c>
      <c r="B1041" s="1">
        <v>7.9169284E7</v>
      </c>
      <c r="C1041" s="1">
        <v>3.3013633E8</v>
      </c>
      <c r="D1041" s="1" t="s">
        <v>1789</v>
      </c>
    </row>
    <row r="1042">
      <c r="A1042" s="1">
        <v>353.0</v>
      </c>
      <c r="B1042" s="1">
        <v>7.913712E7</v>
      </c>
      <c r="C1042" s="1">
        <v>3.3009025E8</v>
      </c>
      <c r="D1042" s="1" t="s">
        <v>1608</v>
      </c>
    </row>
    <row r="1043">
      <c r="A1043" s="1">
        <v>210.0</v>
      </c>
      <c r="B1043" s="1">
        <v>7.9128379E7</v>
      </c>
      <c r="C1043" s="1">
        <v>3.30634361E8</v>
      </c>
      <c r="D1043" s="1" t="s">
        <v>568</v>
      </c>
    </row>
    <row r="1044">
      <c r="A1044" s="1">
        <v>173.0</v>
      </c>
      <c r="B1044" s="1">
        <v>7.9109136E7</v>
      </c>
      <c r="C1044" s="1">
        <v>3.29857426E8</v>
      </c>
      <c r="D1044" s="1" t="s">
        <v>1538</v>
      </c>
    </row>
    <row r="1045">
      <c r="A1045" s="1">
        <v>617.0</v>
      </c>
      <c r="B1045" s="1">
        <v>7.9079983E7</v>
      </c>
      <c r="C1045" s="1">
        <v>3.29794528E8</v>
      </c>
      <c r="D1045" s="1" t="s">
        <v>1794</v>
      </c>
    </row>
    <row r="1046">
      <c r="A1046" s="1">
        <v>492.0</v>
      </c>
      <c r="B1046" s="1">
        <v>7.9071178E7</v>
      </c>
      <c r="C1046" s="1">
        <v>4.31814015E8</v>
      </c>
      <c r="D1046" s="1" t="s">
        <v>1795</v>
      </c>
    </row>
    <row r="1047">
      <c r="A1047" s="1">
        <v>664.0</v>
      </c>
      <c r="B1047" s="1">
        <v>7.9065255E7</v>
      </c>
      <c r="C1047" s="1">
        <v>3.29860569E8</v>
      </c>
      <c r="D1047" s="1" t="s">
        <v>1797</v>
      </c>
    </row>
    <row r="1048">
      <c r="A1048" s="1">
        <v>644.0</v>
      </c>
      <c r="B1048" s="1">
        <v>7.9020209E7</v>
      </c>
      <c r="C1048" s="1">
        <v>3.29603397E8</v>
      </c>
      <c r="D1048" s="1" t="s">
        <v>1798</v>
      </c>
    </row>
    <row r="1049">
      <c r="A1049" s="1">
        <v>571.0</v>
      </c>
      <c r="B1049" s="1">
        <v>7.8947321E7</v>
      </c>
      <c r="C1049" s="1">
        <v>3.29254133E8</v>
      </c>
      <c r="D1049" s="1" t="s">
        <v>1800</v>
      </c>
    </row>
    <row r="1050">
      <c r="A1050" s="1">
        <v>380.0</v>
      </c>
      <c r="B1050" s="1">
        <v>7.89398E7</v>
      </c>
      <c r="C1050" s="1">
        <v>3.29551538E8</v>
      </c>
      <c r="D1050" s="1" t="s">
        <v>1802</v>
      </c>
    </row>
    <row r="1051">
      <c r="A1051" s="1">
        <v>671.0</v>
      </c>
      <c r="B1051" s="1">
        <v>7.8918383E7</v>
      </c>
      <c r="C1051" s="1">
        <v>3.28995929E8</v>
      </c>
      <c r="D1051" s="1" t="s">
        <v>1804</v>
      </c>
    </row>
    <row r="1052">
      <c r="A1052" s="1">
        <v>210.0</v>
      </c>
      <c r="B1052" s="1">
        <v>7.8897251E7</v>
      </c>
      <c r="C1052" s="1">
        <v>3.29013576E8</v>
      </c>
      <c r="D1052" s="1" t="s">
        <v>1806</v>
      </c>
    </row>
    <row r="1053">
      <c r="A1053" s="1">
        <v>409.0</v>
      </c>
      <c r="B1053" s="1">
        <v>7.889373E7</v>
      </c>
      <c r="C1053" s="1">
        <v>3.29171464E8</v>
      </c>
      <c r="D1053" s="1" t="s">
        <v>1807</v>
      </c>
    </row>
    <row r="1054">
      <c r="A1054" s="1">
        <v>715.0</v>
      </c>
      <c r="B1054" s="1">
        <v>7.8884808E7</v>
      </c>
      <c r="C1054" s="1">
        <v>3.28873814E8</v>
      </c>
      <c r="D1054" s="1">
        <v>10.0</v>
      </c>
    </row>
    <row r="1055">
      <c r="A1055" s="1">
        <v>504.0</v>
      </c>
      <c r="B1055" s="1">
        <v>7.8881937E7</v>
      </c>
      <c r="C1055" s="1">
        <v>3.28855201E8</v>
      </c>
      <c r="D1055" s="1" t="s">
        <v>1810</v>
      </c>
    </row>
    <row r="1056">
      <c r="A1056" s="1">
        <v>597.0</v>
      </c>
      <c r="B1056" s="1">
        <v>7.886441E7</v>
      </c>
      <c r="C1056" s="1">
        <v>3.28663141E8</v>
      </c>
      <c r="D1056" s="1" t="s">
        <v>1805</v>
      </c>
    </row>
    <row r="1057">
      <c r="A1057" s="1">
        <v>578.0</v>
      </c>
      <c r="B1057" s="1">
        <v>7.8820375E7</v>
      </c>
      <c r="C1057" s="1">
        <v>3.28434164E8</v>
      </c>
      <c r="D1057" s="1" t="s">
        <v>1813</v>
      </c>
    </row>
    <row r="1058">
      <c r="A1058" s="1">
        <v>194.0</v>
      </c>
      <c r="B1058" s="1">
        <v>7.8786069E7</v>
      </c>
      <c r="C1058" s="1">
        <v>3.28408152E8</v>
      </c>
      <c r="D1058" s="1" t="s">
        <v>1814</v>
      </c>
    </row>
    <row r="1059">
      <c r="A1059" s="1">
        <v>194.0</v>
      </c>
      <c r="B1059" s="1">
        <v>7.8785437E7</v>
      </c>
      <c r="C1059" s="1">
        <v>3.29217455E8</v>
      </c>
      <c r="D1059" s="1" t="s">
        <v>1816</v>
      </c>
    </row>
    <row r="1060">
      <c r="A1060" s="1">
        <v>587.0</v>
      </c>
      <c r="B1060" s="1">
        <v>7.8756214E7</v>
      </c>
      <c r="C1060" s="1">
        <v>3.28249837E8</v>
      </c>
      <c r="D1060" s="1" t="s">
        <v>1818</v>
      </c>
    </row>
    <row r="1061">
      <c r="A1061" s="1">
        <v>597.0</v>
      </c>
      <c r="B1061" s="1">
        <v>7.8719027E7</v>
      </c>
      <c r="C1061" s="1">
        <v>3.27911467E8</v>
      </c>
      <c r="D1061" s="1" t="s">
        <v>1820</v>
      </c>
    </row>
    <row r="1062">
      <c r="A1062" s="1">
        <v>587.0</v>
      </c>
      <c r="B1062" s="1">
        <v>7.8658098E7</v>
      </c>
      <c r="C1062" s="1">
        <v>3.28020514E8</v>
      </c>
      <c r="D1062" s="1" t="s">
        <v>1821</v>
      </c>
    </row>
    <row r="1063">
      <c r="A1063" s="1">
        <v>204.0</v>
      </c>
      <c r="B1063" s="1">
        <v>7.8473244E7</v>
      </c>
      <c r="C1063" s="1">
        <v>3.2672546E8</v>
      </c>
      <c r="D1063" s="1" t="s">
        <v>1823</v>
      </c>
    </row>
    <row r="1064">
      <c r="A1064" s="1">
        <v>713.0</v>
      </c>
      <c r="B1064" s="1">
        <v>7.847155E7</v>
      </c>
      <c r="C1064" s="1">
        <v>3.27236162E8</v>
      </c>
      <c r="D1064" s="1" t="s">
        <v>1825</v>
      </c>
    </row>
    <row r="1065">
      <c r="A1065" s="1">
        <v>602.0</v>
      </c>
      <c r="B1065" s="1">
        <v>7.8452611E7</v>
      </c>
      <c r="C1065" s="1">
        <v>3.26690967E8</v>
      </c>
      <c r="D1065" s="1" t="s">
        <v>1827</v>
      </c>
    </row>
    <row r="1066">
      <c r="A1066" s="1">
        <v>696.0</v>
      </c>
      <c r="B1066" s="1">
        <v>7.8392335E7</v>
      </c>
      <c r="C1066" s="1">
        <v>3.28942888E8</v>
      </c>
      <c r="D1066" s="1" t="s">
        <v>1829</v>
      </c>
    </row>
    <row r="1067">
      <c r="A1067" s="1">
        <v>531.0</v>
      </c>
      <c r="B1067" s="1">
        <v>7.8344774E7</v>
      </c>
      <c r="C1067" s="1">
        <v>3.26253642E8</v>
      </c>
      <c r="D1067" s="1" t="s">
        <v>1831</v>
      </c>
    </row>
    <row r="1068">
      <c r="A1068" s="1">
        <v>210.0</v>
      </c>
      <c r="B1068" s="1">
        <v>7.8332427E7</v>
      </c>
      <c r="C1068" s="1">
        <v>3.26770617E8</v>
      </c>
      <c r="D1068" s="1" t="s">
        <v>1833</v>
      </c>
    </row>
    <row r="1069">
      <c r="A1069" s="1">
        <v>504.0</v>
      </c>
      <c r="B1069" s="1">
        <v>7.8272164E7</v>
      </c>
      <c r="C1069" s="1">
        <v>3.2598008E8</v>
      </c>
      <c r="D1069" s="1" t="s">
        <v>1834</v>
      </c>
    </row>
    <row r="1070">
      <c r="A1070" s="1">
        <v>607.0</v>
      </c>
      <c r="B1070" s="1">
        <v>7.8245877E7</v>
      </c>
      <c r="C1070" s="1">
        <v>3.25732078E8</v>
      </c>
      <c r="D1070" s="1" t="s">
        <v>1835</v>
      </c>
    </row>
    <row r="1071">
      <c r="A1071" s="1">
        <v>511.0</v>
      </c>
      <c r="B1071" s="1">
        <v>7.8244224E7</v>
      </c>
      <c r="C1071" s="1">
        <v>3.25666591E8</v>
      </c>
      <c r="D1071" s="1" t="s">
        <v>1837</v>
      </c>
    </row>
    <row r="1072">
      <c r="A1072" s="1">
        <v>403.0</v>
      </c>
      <c r="B1072" s="1">
        <v>7.8223888E7</v>
      </c>
      <c r="C1072" s="1">
        <v>3.25663571E8</v>
      </c>
      <c r="D1072" s="1" t="s">
        <v>1839</v>
      </c>
    </row>
    <row r="1073">
      <c r="A1073" s="1">
        <v>671.0</v>
      </c>
      <c r="B1073" s="1">
        <v>7.8213062E7</v>
      </c>
      <c r="C1073" s="1">
        <v>3.2574948E8</v>
      </c>
      <c r="D1073" s="1" t="s">
        <v>1841</v>
      </c>
    </row>
    <row r="1074">
      <c r="A1074" s="1">
        <v>578.0</v>
      </c>
      <c r="B1074" s="1">
        <v>7.8182533E7</v>
      </c>
      <c r="C1074" s="1">
        <v>3.25982104E8</v>
      </c>
      <c r="D1074" s="1" t="s">
        <v>1843</v>
      </c>
    </row>
    <row r="1075">
      <c r="A1075" s="1">
        <v>461.0</v>
      </c>
      <c r="B1075" s="1">
        <v>7.816454E7</v>
      </c>
      <c r="C1075" s="1">
        <v>3.25716746E8</v>
      </c>
      <c r="D1075" s="1" t="s">
        <v>1845</v>
      </c>
    </row>
    <row r="1076">
      <c r="A1076" s="1">
        <v>173.0</v>
      </c>
      <c r="B1076" s="1">
        <v>7.8127405E7</v>
      </c>
      <c r="C1076" s="1">
        <v>3.25396945E8</v>
      </c>
      <c r="D1076" s="1" t="s">
        <v>1130</v>
      </c>
    </row>
    <row r="1077">
      <c r="A1077" s="1">
        <v>414.0</v>
      </c>
      <c r="B1077" s="1">
        <v>7.8120758E7</v>
      </c>
      <c r="C1077" s="1">
        <v>3.25649852E8</v>
      </c>
      <c r="D1077" s="1" t="s">
        <v>1847</v>
      </c>
    </row>
    <row r="1078">
      <c r="A1078" s="1">
        <v>601.0</v>
      </c>
      <c r="B1078" s="1">
        <v>7.8098591E7</v>
      </c>
      <c r="C1078" s="1">
        <v>3.2510558E8</v>
      </c>
      <c r="D1078" s="1" t="s">
        <v>1849</v>
      </c>
    </row>
    <row r="1079">
      <c r="A1079" s="1">
        <v>671.0</v>
      </c>
      <c r="B1079" s="1">
        <v>7.8084054E7</v>
      </c>
      <c r="C1079" s="1">
        <v>3.25154808E8</v>
      </c>
      <c r="D1079" s="1" t="s">
        <v>1850</v>
      </c>
    </row>
    <row r="1080">
      <c r="A1080" s="1">
        <v>671.0</v>
      </c>
      <c r="B1080" s="1">
        <v>7.807265E7</v>
      </c>
      <c r="C1080" s="1">
        <v>3.24897888E8</v>
      </c>
      <c r="D1080" s="1" t="s">
        <v>1853</v>
      </c>
    </row>
    <row r="1081">
      <c r="A1081" s="1">
        <v>484.0</v>
      </c>
      <c r="B1081" s="1">
        <v>7.8044408E7</v>
      </c>
      <c r="C1081" s="1">
        <v>3.25655208E8</v>
      </c>
      <c r="D1081" s="1" t="s">
        <v>1854</v>
      </c>
    </row>
    <row r="1082">
      <c r="A1082" s="1">
        <v>667.0</v>
      </c>
      <c r="B1082" s="1">
        <v>7.8016029E7</v>
      </c>
      <c r="C1082" s="1">
        <v>3.24866321E8</v>
      </c>
      <c r="D1082" s="1" t="s">
        <v>1856</v>
      </c>
    </row>
    <row r="1083">
      <c r="A1083" s="1">
        <v>602.0</v>
      </c>
      <c r="B1083" s="1">
        <v>7.8007897E7</v>
      </c>
      <c r="C1083" s="1">
        <v>3.24661528E8</v>
      </c>
      <c r="D1083" s="1" t="s">
        <v>1858</v>
      </c>
    </row>
    <row r="1084">
      <c r="A1084" s="1">
        <v>571.0</v>
      </c>
      <c r="B1084" s="1">
        <v>7.8005648E7</v>
      </c>
      <c r="C1084" s="1">
        <v>3.24851979E8</v>
      </c>
      <c r="D1084" s="1" t="s">
        <v>1859</v>
      </c>
    </row>
    <row r="1085">
      <c r="A1085" s="1">
        <v>461.0</v>
      </c>
      <c r="B1085" s="1">
        <v>7.7982652E7</v>
      </c>
      <c r="C1085" s="1">
        <v>3.24644311E8</v>
      </c>
      <c r="D1085" s="1" t="s">
        <v>1861</v>
      </c>
    </row>
    <row r="1086">
      <c r="A1086" s="1">
        <v>602.0</v>
      </c>
      <c r="B1086" s="1">
        <v>7.7969736E7</v>
      </c>
      <c r="C1086" s="1">
        <v>3.46148343E8</v>
      </c>
      <c r="D1086" s="1" t="s">
        <v>1864</v>
      </c>
    </row>
    <row r="1087">
      <c r="A1087" s="1">
        <v>319.0</v>
      </c>
      <c r="B1087" s="1">
        <v>7.7968662E7</v>
      </c>
      <c r="C1087" s="1">
        <v>3.24630631E8</v>
      </c>
      <c r="D1087" s="1" t="s">
        <v>1866</v>
      </c>
    </row>
    <row r="1088">
      <c r="A1088" s="1">
        <v>571.0</v>
      </c>
      <c r="B1088" s="1">
        <v>7.7961486E7</v>
      </c>
      <c r="C1088" s="1">
        <v>3.24505112E8</v>
      </c>
      <c r="D1088" s="1" t="s">
        <v>490</v>
      </c>
    </row>
    <row r="1089">
      <c r="A1089" s="1">
        <v>173.0</v>
      </c>
      <c r="B1089" s="1">
        <v>7.7854278E7</v>
      </c>
      <c r="C1089" s="1">
        <v>3.23963898E8</v>
      </c>
      <c r="D1089" s="1" t="s">
        <v>1511</v>
      </c>
    </row>
    <row r="1090">
      <c r="A1090" s="1">
        <v>403.0</v>
      </c>
      <c r="B1090" s="1">
        <v>7.7851252E7</v>
      </c>
      <c r="C1090" s="1">
        <v>3.35753656E8</v>
      </c>
      <c r="D1090" s="1" t="s">
        <v>1869</v>
      </c>
    </row>
    <row r="1091">
      <c r="A1091" s="1">
        <v>403.0</v>
      </c>
      <c r="B1091" s="1">
        <v>7.7851252E7</v>
      </c>
      <c r="C1091" s="1">
        <v>4.0698211E8</v>
      </c>
      <c r="D1091" s="1" t="s">
        <v>838</v>
      </c>
    </row>
    <row r="1092">
      <c r="A1092" s="1">
        <v>677.0</v>
      </c>
      <c r="B1092" s="1">
        <v>7.7838395E7</v>
      </c>
      <c r="C1092" s="1">
        <v>3.23931309E8</v>
      </c>
      <c r="D1092" s="1" t="s">
        <v>1872</v>
      </c>
    </row>
    <row r="1093">
      <c r="A1093" s="1">
        <v>644.0</v>
      </c>
      <c r="B1093" s="1">
        <v>7.7825569E7</v>
      </c>
      <c r="C1093" s="1">
        <v>3.23954583E8</v>
      </c>
      <c r="D1093" s="1" t="s">
        <v>1874</v>
      </c>
    </row>
    <row r="1094">
      <c r="A1094" s="1">
        <v>129.0</v>
      </c>
      <c r="B1094" s="1">
        <v>7.7797853E7</v>
      </c>
      <c r="C1094" s="1">
        <v>3.23718133E8</v>
      </c>
      <c r="D1094" s="1" t="s">
        <v>1875</v>
      </c>
    </row>
    <row r="1095">
      <c r="A1095" s="1">
        <v>593.0</v>
      </c>
      <c r="B1095" s="1">
        <v>7.7795844E7</v>
      </c>
      <c r="C1095" s="1">
        <v>3.79579221E8</v>
      </c>
      <c r="D1095" s="1" t="s">
        <v>1877</v>
      </c>
    </row>
    <row r="1096">
      <c r="A1096" s="1">
        <v>656.0</v>
      </c>
      <c r="B1096" s="1">
        <v>7.7782391E7</v>
      </c>
      <c r="C1096" s="1">
        <v>4.26603936E8</v>
      </c>
      <c r="D1096" s="1" t="s">
        <v>1879</v>
      </c>
    </row>
    <row r="1097">
      <c r="A1097" s="1">
        <v>565.0</v>
      </c>
      <c r="B1097" s="1">
        <v>7.7771197E7</v>
      </c>
      <c r="C1097" s="1">
        <v>4.33030198E8</v>
      </c>
      <c r="D1097" s="1" t="s">
        <v>1881</v>
      </c>
    </row>
    <row r="1098">
      <c r="A1098" s="1">
        <v>353.0</v>
      </c>
      <c r="B1098" s="1">
        <v>7.7745805E7</v>
      </c>
      <c r="C1098" s="1">
        <v>3.23669766E8</v>
      </c>
      <c r="D1098" s="1" t="s">
        <v>1883</v>
      </c>
    </row>
    <row r="1099">
      <c r="A1099" s="1">
        <v>571.0</v>
      </c>
      <c r="B1099" s="1">
        <v>7.7735585E7</v>
      </c>
      <c r="C1099" s="1">
        <v>3.23432706E8</v>
      </c>
      <c r="D1099" s="1" t="s">
        <v>1885</v>
      </c>
    </row>
    <row r="1100">
      <c r="A1100" s="1">
        <v>716.0</v>
      </c>
      <c r="B1100" s="1">
        <v>7.7652842E7</v>
      </c>
      <c r="C1100" s="1">
        <v>3.23233262E8</v>
      </c>
      <c r="D1100" s="1" t="s">
        <v>1886</v>
      </c>
    </row>
    <row r="1101">
      <c r="A1101" s="1">
        <v>380.0</v>
      </c>
      <c r="B1101" s="1">
        <v>7.7642497E7</v>
      </c>
      <c r="C1101" s="1">
        <v>3.23187818E8</v>
      </c>
      <c r="D1101" s="1" t="s">
        <v>1888</v>
      </c>
    </row>
    <row r="1102">
      <c r="A1102" s="1">
        <v>409.0</v>
      </c>
      <c r="B1102" s="1">
        <v>7.7617124E7</v>
      </c>
      <c r="C1102" s="1">
        <v>3.22968368E8</v>
      </c>
      <c r="D1102" s="1" t="s">
        <v>1889</v>
      </c>
    </row>
    <row r="1103">
      <c r="A1103" s="1">
        <v>696.0</v>
      </c>
      <c r="B1103" s="1">
        <v>7.7608409E7</v>
      </c>
      <c r="C1103" s="1">
        <v>3.22756949E8</v>
      </c>
      <c r="D1103" s="1" t="s">
        <v>1891</v>
      </c>
    </row>
    <row r="1104">
      <c r="A1104" s="1">
        <v>484.0</v>
      </c>
      <c r="B1104" s="1">
        <v>7.7502639E7</v>
      </c>
      <c r="C1104" s="1">
        <v>3.2223291E8</v>
      </c>
      <c r="D1104" s="1" t="s">
        <v>1893</v>
      </c>
    </row>
    <row r="1105">
      <c r="A1105" s="1">
        <v>645.0</v>
      </c>
      <c r="B1105" s="1">
        <v>7.7489896E7</v>
      </c>
      <c r="C1105" s="1">
        <v>3.22293521E8</v>
      </c>
      <c r="D1105" s="1" t="s">
        <v>1895</v>
      </c>
    </row>
    <row r="1106">
      <c r="A1106" s="1">
        <v>571.0</v>
      </c>
      <c r="B1106" s="1">
        <v>7.7489038E7</v>
      </c>
      <c r="C1106" s="1">
        <v>3.23060079E8</v>
      </c>
      <c r="D1106" s="1" t="s">
        <v>1897</v>
      </c>
    </row>
    <row r="1107">
      <c r="A1107" s="1">
        <v>664.0</v>
      </c>
      <c r="B1107" s="1">
        <v>7.7448585E7</v>
      </c>
      <c r="C1107" s="1">
        <v>3.21986422E8</v>
      </c>
      <c r="D1107" s="1" t="s">
        <v>1898</v>
      </c>
    </row>
    <row r="1108">
      <c r="A1108" s="1">
        <v>578.0</v>
      </c>
      <c r="B1108" s="1">
        <v>7.7425467E7</v>
      </c>
      <c r="C1108" s="1">
        <v>3.21972023E8</v>
      </c>
      <c r="D1108" s="1" t="s">
        <v>1901</v>
      </c>
    </row>
    <row r="1109">
      <c r="A1109" s="1">
        <v>173.0</v>
      </c>
      <c r="B1109" s="1">
        <v>7.7420988E7</v>
      </c>
      <c r="C1109" s="1">
        <v>3.21997707E8</v>
      </c>
      <c r="D1109" s="1" t="s">
        <v>1354</v>
      </c>
    </row>
    <row r="1110">
      <c r="A1110" s="1">
        <v>380.0</v>
      </c>
      <c r="B1110" s="1">
        <v>7.7371809E7</v>
      </c>
      <c r="C1110" s="1">
        <v>3.21715081E8</v>
      </c>
      <c r="D1110" s="1" t="s">
        <v>1903</v>
      </c>
    </row>
    <row r="1111">
      <c r="A1111" s="1">
        <v>421.0</v>
      </c>
      <c r="B1111" s="1">
        <v>7.7203058E7</v>
      </c>
      <c r="C1111" s="1">
        <v>3.21005776E8</v>
      </c>
      <c r="D1111" s="1" t="s">
        <v>1904</v>
      </c>
    </row>
    <row r="1112">
      <c r="A1112" s="1">
        <v>504.0</v>
      </c>
      <c r="B1112" s="1">
        <v>7.7160721E7</v>
      </c>
      <c r="C1112" s="1">
        <v>3.20698286E8</v>
      </c>
      <c r="D1112" s="1" t="s">
        <v>1906</v>
      </c>
    </row>
    <row r="1113">
      <c r="A1113" s="1">
        <v>403.0</v>
      </c>
      <c r="B1113" s="1">
        <v>7.7158886E7</v>
      </c>
      <c r="C1113" s="1">
        <v>3.20744431E8</v>
      </c>
      <c r="D1113" s="1" t="s">
        <v>1159</v>
      </c>
    </row>
    <row r="1114">
      <c r="A1114" s="1">
        <v>671.0</v>
      </c>
      <c r="B1114" s="1">
        <v>7.7140836E7</v>
      </c>
      <c r="C1114" s="1">
        <v>3.20746793E8</v>
      </c>
      <c r="D1114" s="1" t="s">
        <v>1909</v>
      </c>
    </row>
    <row r="1115">
      <c r="A1115" s="1">
        <v>587.0</v>
      </c>
      <c r="B1115" s="1">
        <v>7.710253E7</v>
      </c>
      <c r="C1115" s="1">
        <v>3.20449841E8</v>
      </c>
      <c r="D1115" s="1" t="s">
        <v>1911</v>
      </c>
    </row>
    <row r="1116">
      <c r="A1116" s="1">
        <v>587.0</v>
      </c>
      <c r="B1116" s="1">
        <v>7.7097548E7</v>
      </c>
      <c r="C1116" s="1">
        <v>3.21033178E8</v>
      </c>
      <c r="D1116" s="1" t="s">
        <v>1913</v>
      </c>
    </row>
    <row r="1117">
      <c r="A1117" s="1">
        <v>256.0</v>
      </c>
      <c r="B1117" s="1">
        <v>7.7037081E7</v>
      </c>
      <c r="C1117" s="1">
        <v>3.20039628E8</v>
      </c>
      <c r="D1117" s="1" t="s">
        <v>1915</v>
      </c>
    </row>
    <row r="1118">
      <c r="A1118" s="1">
        <v>571.0</v>
      </c>
      <c r="B1118" s="1">
        <v>7.7009507E7</v>
      </c>
      <c r="C1118" s="1">
        <v>3.2016829E8</v>
      </c>
      <c r="D1118" s="1" t="s">
        <v>1916</v>
      </c>
    </row>
    <row r="1119">
      <c r="A1119" s="1">
        <v>654.0</v>
      </c>
      <c r="B1119" s="1">
        <v>7.6987038E7</v>
      </c>
      <c r="C1119" s="1">
        <v>3.19817566E8</v>
      </c>
      <c r="D1119" s="1" t="s">
        <v>1919</v>
      </c>
    </row>
    <row r="1120">
      <c r="A1120" s="1">
        <v>531.0</v>
      </c>
      <c r="B1120" s="1">
        <v>7.6954885E7</v>
      </c>
      <c r="C1120" s="1">
        <v>3.19894209E8</v>
      </c>
      <c r="D1120" s="1" t="s">
        <v>1921</v>
      </c>
    </row>
    <row r="1121">
      <c r="A1121" s="1">
        <v>173.0</v>
      </c>
      <c r="B1121" s="1">
        <v>7.6947974E7</v>
      </c>
      <c r="C1121" s="1">
        <v>3.19841172E8</v>
      </c>
      <c r="D1121" s="1" t="s">
        <v>1923</v>
      </c>
    </row>
    <row r="1122">
      <c r="A1122" s="1">
        <v>173.0</v>
      </c>
      <c r="B1122" s="1">
        <v>7.6908515E7</v>
      </c>
      <c r="C1122" s="1">
        <v>3.19507292E8</v>
      </c>
      <c r="D1122" s="1" t="s">
        <v>1655</v>
      </c>
    </row>
    <row r="1123">
      <c r="A1123" s="1">
        <v>571.0</v>
      </c>
      <c r="B1123" s="1">
        <v>7.6904878E7</v>
      </c>
      <c r="C1123" s="1">
        <v>3.19457123E8</v>
      </c>
      <c r="D1123" s="1" t="s">
        <v>1925</v>
      </c>
    </row>
    <row r="1124">
      <c r="A1124" s="1">
        <v>715.0</v>
      </c>
      <c r="B1124" s="1">
        <v>7.6827545E7</v>
      </c>
      <c r="C1124" s="1">
        <v>3.18994237E8</v>
      </c>
      <c r="D1124" s="1" t="s">
        <v>487</v>
      </c>
    </row>
    <row r="1125">
      <c r="A1125" s="1">
        <v>671.0</v>
      </c>
      <c r="B1125" s="1">
        <v>7.6753335E7</v>
      </c>
      <c r="C1125" s="1">
        <v>3.18773904E8</v>
      </c>
      <c r="D1125" s="17" t="s">
        <v>1928</v>
      </c>
    </row>
    <row r="1126">
      <c r="A1126" s="1">
        <v>719.0</v>
      </c>
      <c r="B1126" s="1">
        <v>7.6750955E7</v>
      </c>
      <c r="C1126" s="1">
        <v>3.18864097E8</v>
      </c>
      <c r="D1126" s="1" t="s">
        <v>1930</v>
      </c>
    </row>
    <row r="1127">
      <c r="A1127" s="1">
        <v>224.0</v>
      </c>
      <c r="B1127" s="1">
        <v>7.6740004E7</v>
      </c>
      <c r="C1127" s="1">
        <v>3.18765856E8</v>
      </c>
      <c r="D1127" s="1" t="s">
        <v>1931</v>
      </c>
    </row>
    <row r="1128">
      <c r="A1128" s="1">
        <v>504.0</v>
      </c>
      <c r="B1128" s="1">
        <v>7.6724634E7</v>
      </c>
      <c r="C1128" s="1">
        <v>3.1871189E8</v>
      </c>
      <c r="D1128" s="1" t="s">
        <v>1932</v>
      </c>
    </row>
    <row r="1129">
      <c r="A1129" s="1">
        <v>720.0</v>
      </c>
      <c r="B1129" s="1">
        <v>7.6704814E7</v>
      </c>
      <c r="C1129" s="1">
        <v>3.18437907E8</v>
      </c>
      <c r="D1129" s="1" t="s">
        <v>1933</v>
      </c>
    </row>
    <row r="1130">
      <c r="A1130" s="1">
        <v>665.0</v>
      </c>
      <c r="B1130" s="1">
        <v>7.667643E7</v>
      </c>
      <c r="C1130" s="1">
        <v>3.1851483E8</v>
      </c>
      <c r="D1130" s="1" t="s">
        <v>1936</v>
      </c>
    </row>
    <row r="1131">
      <c r="A1131" s="1">
        <v>173.0</v>
      </c>
      <c r="B1131" s="1">
        <v>7.6660246E7</v>
      </c>
      <c r="C1131" s="1">
        <v>3.18237178E8</v>
      </c>
      <c r="D1131" s="1" t="s">
        <v>1938</v>
      </c>
    </row>
    <row r="1132">
      <c r="A1132" s="1">
        <v>504.0</v>
      </c>
      <c r="B1132" s="1">
        <v>7.663E7</v>
      </c>
      <c r="C1132" s="1">
        <v>3.18982687E8</v>
      </c>
      <c r="D1132" s="1" t="s">
        <v>1939</v>
      </c>
    </row>
    <row r="1133">
      <c r="A1133" s="1">
        <v>602.0</v>
      </c>
      <c r="B1133" s="1">
        <v>7.6569537E7</v>
      </c>
      <c r="C1133" s="1">
        <v>3.18777805E8</v>
      </c>
      <c r="D1133" s="1" t="s">
        <v>1941</v>
      </c>
    </row>
    <row r="1134">
      <c r="A1134" s="1">
        <v>602.0</v>
      </c>
      <c r="B1134" s="1">
        <v>7.6555871E7</v>
      </c>
      <c r="C1134" s="1">
        <v>3.17856852E8</v>
      </c>
      <c r="D1134" s="1" t="s">
        <v>1943</v>
      </c>
    </row>
    <row r="1135">
      <c r="A1135" s="1">
        <v>525.0</v>
      </c>
      <c r="B1135" s="1">
        <v>7.6513213E7</v>
      </c>
      <c r="C1135" s="1">
        <v>3.17684135E8</v>
      </c>
      <c r="D1135" s="1" t="s">
        <v>1945</v>
      </c>
    </row>
    <row r="1136">
      <c r="A1136" s="1">
        <v>461.0</v>
      </c>
      <c r="B1136" s="1">
        <v>7.6481339E7</v>
      </c>
      <c r="C1136" s="1">
        <v>3.43237099E8</v>
      </c>
      <c r="D1136" s="1" t="s">
        <v>1947</v>
      </c>
    </row>
    <row r="1137">
      <c r="A1137" s="1">
        <v>403.0</v>
      </c>
      <c r="B1137" s="1">
        <v>7.6434268E7</v>
      </c>
      <c r="C1137" s="1">
        <v>3.17248138E8</v>
      </c>
      <c r="D1137" s="1" t="s">
        <v>1949</v>
      </c>
    </row>
    <row r="1138">
      <c r="A1138" s="1">
        <v>673.0</v>
      </c>
      <c r="B1138" s="1">
        <v>7.6382504E7</v>
      </c>
      <c r="C1138" s="1">
        <v>3.17516241E8</v>
      </c>
      <c r="D1138" s="1" t="s">
        <v>1031</v>
      </c>
    </row>
    <row r="1139">
      <c r="A1139" s="1">
        <v>713.0</v>
      </c>
      <c r="B1139" s="1">
        <v>7.6374714E7</v>
      </c>
      <c r="C1139" s="1">
        <v>3.17482016E8</v>
      </c>
      <c r="D1139" s="1" t="s">
        <v>1951</v>
      </c>
    </row>
    <row r="1140">
      <c r="A1140" s="1">
        <v>602.0</v>
      </c>
      <c r="B1140" s="1">
        <v>7.6354548E7</v>
      </c>
      <c r="C1140" s="1">
        <v>3.1703812E8</v>
      </c>
      <c r="D1140" s="1" t="s">
        <v>1953</v>
      </c>
    </row>
    <row r="1141">
      <c r="A1141" s="1">
        <v>498.0</v>
      </c>
      <c r="B1141" s="1">
        <v>7.6321781E7</v>
      </c>
      <c r="C1141" s="1">
        <v>3.18752916E8</v>
      </c>
      <c r="D1141" s="1" t="s">
        <v>485</v>
      </c>
    </row>
    <row r="1142">
      <c r="A1142" s="1">
        <v>664.0</v>
      </c>
      <c r="B1142" s="1">
        <v>7.6312091E7</v>
      </c>
      <c r="C1142" s="1">
        <v>3.16663599E8</v>
      </c>
      <c r="D1142" s="1" t="s">
        <v>1955</v>
      </c>
    </row>
    <row r="1143">
      <c r="A1143" s="1">
        <v>713.0</v>
      </c>
      <c r="B1143" s="1">
        <v>7.6271584E7</v>
      </c>
      <c r="C1143" s="1">
        <v>3.16685296E8</v>
      </c>
      <c r="D1143" s="1" t="s">
        <v>1957</v>
      </c>
    </row>
    <row r="1144">
      <c r="A1144" s="1">
        <v>671.0</v>
      </c>
      <c r="B1144" s="1">
        <v>7.6165286E7</v>
      </c>
      <c r="C1144" s="1">
        <v>3.16066162E8</v>
      </c>
      <c r="D1144" s="1" t="s">
        <v>1958</v>
      </c>
    </row>
    <row r="1145">
      <c r="A1145" s="1">
        <v>593.0</v>
      </c>
      <c r="B1145" s="1">
        <v>7.6130229E7</v>
      </c>
      <c r="C1145" s="1">
        <v>3.15990636E8</v>
      </c>
      <c r="D1145" s="1" t="s">
        <v>1960</v>
      </c>
    </row>
    <row r="1146">
      <c r="A1146" s="1">
        <v>713.0</v>
      </c>
      <c r="B1146" s="1">
        <v>7.6126183E7</v>
      </c>
      <c r="C1146" s="1">
        <v>3.15987165E8</v>
      </c>
      <c r="D1146" s="1" t="s">
        <v>1962</v>
      </c>
    </row>
    <row r="1147">
      <c r="A1147" s="1">
        <v>355.0</v>
      </c>
      <c r="B1147" s="1">
        <v>7.6116612E7</v>
      </c>
      <c r="C1147" s="1">
        <v>3.15756061E8</v>
      </c>
      <c r="D1147" s="1" t="s">
        <v>1964</v>
      </c>
    </row>
    <row r="1148">
      <c r="A1148" s="1">
        <v>210.0</v>
      </c>
      <c r="B1148" s="1">
        <v>7.6102731E7</v>
      </c>
      <c r="C1148" s="1">
        <v>3.15810321E8</v>
      </c>
      <c r="D1148" s="1" t="s">
        <v>1368</v>
      </c>
    </row>
    <row r="1149">
      <c r="A1149" s="1">
        <v>173.0</v>
      </c>
      <c r="B1149" s="1">
        <v>7.6070533E7</v>
      </c>
      <c r="C1149" s="1">
        <v>3.15551126E8</v>
      </c>
      <c r="D1149" s="1" t="s">
        <v>1965</v>
      </c>
    </row>
    <row r="1150">
      <c r="A1150" s="1">
        <v>215.0</v>
      </c>
      <c r="B1150" s="1">
        <v>7.6047087E7</v>
      </c>
      <c r="C1150" s="1">
        <v>3.15806905E8</v>
      </c>
      <c r="D1150" s="1" t="s">
        <v>1967</v>
      </c>
    </row>
    <row r="1151">
      <c r="A1151" s="1">
        <v>288.0</v>
      </c>
      <c r="B1151" s="1">
        <v>7.6042418E7</v>
      </c>
      <c r="C1151" s="1">
        <v>3.15543575E8</v>
      </c>
      <c r="D1151" s="1" t="s">
        <v>1968</v>
      </c>
    </row>
    <row r="1152">
      <c r="A1152" s="1">
        <v>676.0</v>
      </c>
      <c r="B1152" s="1">
        <v>7.6027369E7</v>
      </c>
      <c r="C1152" s="1">
        <v>3.15390289E8</v>
      </c>
      <c r="D1152" s="1" t="s">
        <v>1971</v>
      </c>
    </row>
    <row r="1153">
      <c r="A1153" s="1">
        <v>210.0</v>
      </c>
      <c r="B1153" s="1">
        <v>7.5972259E7</v>
      </c>
      <c r="C1153" s="1">
        <v>3.15100251E8</v>
      </c>
      <c r="D1153" s="1" t="s">
        <v>1973</v>
      </c>
    </row>
    <row r="1154">
      <c r="A1154" s="1">
        <v>610.0</v>
      </c>
      <c r="B1154" s="1">
        <v>7.5960353E7</v>
      </c>
      <c r="C1154" s="1">
        <v>3.15212573E8</v>
      </c>
      <c r="D1154" s="1" t="s">
        <v>1974</v>
      </c>
    </row>
    <row r="1155">
      <c r="A1155" s="1">
        <v>571.0</v>
      </c>
      <c r="B1155" s="1">
        <v>7.5946828E7</v>
      </c>
      <c r="C1155" s="1">
        <v>3.15069424E8</v>
      </c>
      <c r="D1155" s="1" t="s">
        <v>1976</v>
      </c>
    </row>
    <row r="1156">
      <c r="A1156" s="1">
        <v>337.0</v>
      </c>
      <c r="B1156" s="1">
        <v>7.5851136E7</v>
      </c>
      <c r="C1156" s="1">
        <v>3.36823134E8</v>
      </c>
      <c r="D1156" s="1" t="s">
        <v>922</v>
      </c>
    </row>
    <row r="1157">
      <c r="A1157" s="1">
        <v>671.0</v>
      </c>
      <c r="B1157" s="1">
        <v>7.5836007E7</v>
      </c>
      <c r="C1157" s="1">
        <v>3.14522781E8</v>
      </c>
      <c r="D1157" s="1" t="s">
        <v>1978</v>
      </c>
    </row>
    <row r="1158">
      <c r="A1158" s="1">
        <v>353.0</v>
      </c>
      <c r="B1158" s="1">
        <v>7.5790191E7</v>
      </c>
      <c r="C1158" s="1">
        <v>3.14473507E8</v>
      </c>
      <c r="D1158" s="1" t="s">
        <v>1980</v>
      </c>
    </row>
    <row r="1159">
      <c r="A1159" s="1">
        <v>484.0</v>
      </c>
      <c r="B1159" s="1">
        <v>7.5736391E7</v>
      </c>
      <c r="C1159" s="1">
        <v>4.14592627E8</v>
      </c>
      <c r="D1159" s="1" t="s">
        <v>1981</v>
      </c>
    </row>
    <row r="1160">
      <c r="A1160" s="1">
        <v>630.0</v>
      </c>
      <c r="B1160" s="1">
        <v>7.566667E7</v>
      </c>
      <c r="C1160" s="1">
        <v>3.1402086E8</v>
      </c>
      <c r="D1160" s="1" t="s">
        <v>1983</v>
      </c>
    </row>
    <row r="1161">
      <c r="A1161" s="1">
        <v>602.0</v>
      </c>
      <c r="B1161" s="1">
        <v>7.5620222E7</v>
      </c>
      <c r="C1161" s="1">
        <v>3.14474619E8</v>
      </c>
      <c r="D1161" s="1" t="s">
        <v>1984</v>
      </c>
    </row>
    <row r="1162">
      <c r="A1162" s="1">
        <v>564.0</v>
      </c>
      <c r="B1162" s="1">
        <v>7.5577331E7</v>
      </c>
      <c r="C1162" s="1">
        <v>3.13409767E8</v>
      </c>
      <c r="D1162" s="1" t="s">
        <v>1985</v>
      </c>
    </row>
    <row r="1163">
      <c r="A1163" s="1">
        <v>586.0</v>
      </c>
      <c r="B1163" s="1">
        <v>7.5567349E7</v>
      </c>
      <c r="C1163" s="1">
        <v>3.44587549E8</v>
      </c>
      <c r="D1163" s="1" t="s">
        <v>1987</v>
      </c>
    </row>
    <row r="1164">
      <c r="A1164" s="1">
        <v>672.0</v>
      </c>
      <c r="B1164" s="1">
        <v>7.553506E7</v>
      </c>
      <c r="C1164" s="1">
        <v>3.82911223E8</v>
      </c>
      <c r="D1164" s="1" t="s">
        <v>1990</v>
      </c>
    </row>
    <row r="1165">
      <c r="A1165" s="1">
        <v>696.0</v>
      </c>
      <c r="B1165" s="1">
        <v>7.5534369E7</v>
      </c>
      <c r="C1165" s="1">
        <v>3.14137604E8</v>
      </c>
      <c r="D1165" s="1" t="s">
        <v>1991</v>
      </c>
    </row>
    <row r="1166">
      <c r="A1166" s="1">
        <v>531.0</v>
      </c>
      <c r="B1166" s="1">
        <v>7.5520408E7</v>
      </c>
      <c r="C1166" s="1">
        <v>3.13683052E8</v>
      </c>
      <c r="D1166" s="1" t="s">
        <v>1993</v>
      </c>
    </row>
    <row r="1167">
      <c r="A1167" s="1">
        <v>571.0</v>
      </c>
      <c r="B1167" s="1">
        <v>7.5478943E7</v>
      </c>
      <c r="C1167" s="1">
        <v>3.1287064E8</v>
      </c>
      <c r="D1167" s="1" t="s">
        <v>1994</v>
      </c>
    </row>
    <row r="1168">
      <c r="A1168" s="1">
        <v>677.0</v>
      </c>
      <c r="B1168" s="1">
        <v>7.5472072E7</v>
      </c>
      <c r="C1168" s="1">
        <v>3.12974714E8</v>
      </c>
      <c r="D1168" s="1" t="s">
        <v>1996</v>
      </c>
    </row>
    <row r="1169">
      <c r="A1169" s="1">
        <v>557.0</v>
      </c>
      <c r="B1169" s="1">
        <v>7.5453372E7</v>
      </c>
      <c r="C1169" s="1">
        <v>3.12967077E8</v>
      </c>
      <c r="D1169" s="1" t="s">
        <v>1998</v>
      </c>
    </row>
    <row r="1170">
      <c r="A1170" s="1">
        <v>194.0</v>
      </c>
      <c r="B1170" s="1">
        <v>7.5447121E7</v>
      </c>
      <c r="C1170" s="1">
        <v>3.1272407E8</v>
      </c>
      <c r="D1170" s="1" t="s">
        <v>2000</v>
      </c>
    </row>
    <row r="1171">
      <c r="A1171" s="1">
        <v>215.0</v>
      </c>
      <c r="B1171" s="1">
        <v>7.5426274E7</v>
      </c>
      <c r="C1171" s="1">
        <v>3.12732756E8</v>
      </c>
      <c r="D1171" s="1" t="s">
        <v>2001</v>
      </c>
    </row>
    <row r="1172">
      <c r="A1172" s="1">
        <v>398.0</v>
      </c>
      <c r="B1172" s="1">
        <v>7.5358167E7</v>
      </c>
      <c r="C1172" s="1">
        <v>3.12455778E8</v>
      </c>
      <c r="D1172" s="1" t="s">
        <v>2003</v>
      </c>
    </row>
    <row r="1173">
      <c r="A1173" s="1">
        <v>578.0</v>
      </c>
      <c r="B1173" s="1">
        <v>7.5335919E7</v>
      </c>
      <c r="C1173" s="1">
        <v>3.42650981E8</v>
      </c>
      <c r="D1173" s="1" t="s">
        <v>2004</v>
      </c>
    </row>
    <row r="1174">
      <c r="A1174" s="1">
        <v>602.0</v>
      </c>
      <c r="B1174" s="1">
        <v>7.5322754E7</v>
      </c>
      <c r="C1174" s="1">
        <v>3.12284492E8</v>
      </c>
      <c r="D1174" s="1" t="s">
        <v>2006</v>
      </c>
    </row>
    <row r="1175">
      <c r="A1175" s="1">
        <v>210.0</v>
      </c>
      <c r="B1175" s="1">
        <v>7.5318622E7</v>
      </c>
      <c r="C1175" s="1">
        <v>3.1234154E8</v>
      </c>
      <c r="D1175" s="1" t="s">
        <v>1577</v>
      </c>
    </row>
    <row r="1176">
      <c r="A1176" s="1">
        <v>571.0</v>
      </c>
      <c r="B1176" s="1">
        <v>7.5318344E7</v>
      </c>
      <c r="C1176" s="1">
        <v>3.40951725E8</v>
      </c>
      <c r="D1176" s="1" t="s">
        <v>2009</v>
      </c>
    </row>
    <row r="1177">
      <c r="A1177" s="1">
        <v>484.0</v>
      </c>
      <c r="B1177" s="1">
        <v>7.5316624E7</v>
      </c>
      <c r="C1177" s="1">
        <v>3.12423855E8</v>
      </c>
      <c r="D1177" s="1" t="s">
        <v>482</v>
      </c>
    </row>
    <row r="1178">
      <c r="A1178" s="1">
        <v>716.0</v>
      </c>
      <c r="B1178" s="1">
        <v>7.5311896E7</v>
      </c>
      <c r="C1178" s="1">
        <v>3.12286061E8</v>
      </c>
      <c r="D1178" s="1" t="s">
        <v>2011</v>
      </c>
    </row>
    <row r="1179">
      <c r="A1179" s="1">
        <v>602.0</v>
      </c>
      <c r="B1179" s="1">
        <v>7.5276793E7</v>
      </c>
      <c r="C1179" s="1">
        <v>3.12095795E8</v>
      </c>
      <c r="D1179" s="1" t="s">
        <v>2014</v>
      </c>
    </row>
    <row r="1180">
      <c r="A1180" s="1">
        <v>173.0</v>
      </c>
      <c r="B1180" s="1">
        <v>7.5268536E7</v>
      </c>
      <c r="C1180" s="1">
        <v>3.11975128E8</v>
      </c>
      <c r="D1180" s="1" t="s">
        <v>2015</v>
      </c>
    </row>
    <row r="1181">
      <c r="A1181" s="1">
        <v>484.0</v>
      </c>
      <c r="B1181" s="1">
        <v>7.5258387E7</v>
      </c>
      <c r="C1181" s="1">
        <v>3.11911705E8</v>
      </c>
      <c r="D1181" s="1" t="s">
        <v>2017</v>
      </c>
    </row>
    <row r="1182">
      <c r="A1182" s="1">
        <v>587.0</v>
      </c>
      <c r="B1182" s="1">
        <v>7.5233647E7</v>
      </c>
      <c r="C1182" s="1">
        <v>3.11785333E8</v>
      </c>
      <c r="D1182" s="1" t="s">
        <v>2019</v>
      </c>
    </row>
    <row r="1183">
      <c r="A1183" s="1">
        <v>602.0</v>
      </c>
      <c r="B1183" s="1">
        <v>7.5208288E7</v>
      </c>
      <c r="C1183" s="1">
        <v>3.11646331E8</v>
      </c>
      <c r="D1183" s="1" t="s">
        <v>2021</v>
      </c>
    </row>
    <row r="1184">
      <c r="A1184" s="1">
        <v>317.0</v>
      </c>
      <c r="B1184" s="1">
        <v>7.5131774E7</v>
      </c>
      <c r="C1184" s="1">
        <v>3.11469851E8</v>
      </c>
      <c r="D1184" s="1" t="s">
        <v>2023</v>
      </c>
    </row>
    <row r="1185">
      <c r="A1185" s="1">
        <v>715.0</v>
      </c>
      <c r="B1185" s="1">
        <v>7.5071808E7</v>
      </c>
      <c r="C1185" s="1">
        <v>3.11319563E8</v>
      </c>
      <c r="D1185" s="1" t="s">
        <v>2024</v>
      </c>
    </row>
    <row r="1186">
      <c r="A1186" s="1">
        <v>571.0</v>
      </c>
      <c r="B1186" s="1">
        <v>7.5059831E7</v>
      </c>
      <c r="C1186" s="1">
        <v>3.11185797E8</v>
      </c>
      <c r="D1186" s="1" t="s">
        <v>2025</v>
      </c>
    </row>
    <row r="1187">
      <c r="A1187" s="1">
        <v>630.0</v>
      </c>
      <c r="B1187" s="1">
        <v>7.5024193E7</v>
      </c>
      <c r="C1187" s="1">
        <v>3.21277151E8</v>
      </c>
      <c r="D1187" s="1" t="s">
        <v>1452</v>
      </c>
    </row>
    <row r="1188">
      <c r="A1188" s="1">
        <v>409.0</v>
      </c>
      <c r="B1188" s="1">
        <v>7.4929693E7</v>
      </c>
      <c r="C1188" s="1">
        <v>3.10446922E8</v>
      </c>
      <c r="D1188" s="1" t="s">
        <v>1959</v>
      </c>
    </row>
    <row r="1189">
      <c r="A1189" s="1">
        <v>610.0</v>
      </c>
      <c r="B1189" s="1">
        <v>7.4926163E7</v>
      </c>
      <c r="C1189" s="1">
        <v>3.10375304E8</v>
      </c>
      <c r="D1189" s="1" t="s">
        <v>2030</v>
      </c>
    </row>
    <row r="1190">
      <c r="A1190" s="1">
        <v>557.0</v>
      </c>
      <c r="B1190" s="1">
        <v>7.4919898E7</v>
      </c>
      <c r="C1190" s="1">
        <v>3.10189347E8</v>
      </c>
      <c r="D1190" s="1" t="s">
        <v>2031</v>
      </c>
    </row>
    <row r="1191">
      <c r="A1191" s="1">
        <v>671.0</v>
      </c>
      <c r="B1191" s="1">
        <v>7.489533E7</v>
      </c>
      <c r="C1191" s="1">
        <v>3.4459314E8</v>
      </c>
      <c r="D1191" s="1" t="s">
        <v>2033</v>
      </c>
    </row>
    <row r="1192">
      <c r="A1192" s="1">
        <v>719.0</v>
      </c>
      <c r="B1192" s="1">
        <v>7.4870135E7</v>
      </c>
      <c r="C1192" s="1">
        <v>3.10205083E8</v>
      </c>
      <c r="D1192" s="1" t="s">
        <v>2034</v>
      </c>
    </row>
    <row r="1193">
      <c r="A1193" s="1">
        <v>677.0</v>
      </c>
      <c r="B1193" s="1">
        <v>7.4867331E7</v>
      </c>
      <c r="C1193" s="1">
        <v>3.10196992E8</v>
      </c>
      <c r="D1193" s="1" t="s">
        <v>2036</v>
      </c>
    </row>
    <row r="1194">
      <c r="A1194" s="1">
        <v>673.0</v>
      </c>
      <c r="B1194" s="1">
        <v>7.4864159E7</v>
      </c>
      <c r="C1194" s="1">
        <v>3.10629044E8</v>
      </c>
      <c r="D1194" s="1" t="s">
        <v>2037</v>
      </c>
    </row>
    <row r="1195">
      <c r="A1195" s="1">
        <v>571.0</v>
      </c>
      <c r="B1195" s="1">
        <v>7.4730646E7</v>
      </c>
      <c r="C1195" s="1">
        <v>3.09615663E8</v>
      </c>
      <c r="D1195" s="1" t="s">
        <v>2039</v>
      </c>
    </row>
    <row r="1196">
      <c r="A1196" s="1">
        <v>337.0</v>
      </c>
      <c r="B1196" s="1">
        <v>7.465944E7</v>
      </c>
      <c r="C1196" s="1">
        <v>3.09059069E8</v>
      </c>
      <c r="D1196" s="1" t="s">
        <v>2041</v>
      </c>
    </row>
    <row r="1197">
      <c r="A1197" s="1">
        <v>337.0</v>
      </c>
      <c r="B1197" s="1">
        <v>7.4657983E7</v>
      </c>
      <c r="C1197" s="1">
        <v>3.09067201E8</v>
      </c>
      <c r="D1197" s="1" t="s">
        <v>2043</v>
      </c>
    </row>
    <row r="1198">
      <c r="A1198" s="1">
        <v>319.0</v>
      </c>
      <c r="B1198" s="1">
        <v>7.4620719E7</v>
      </c>
      <c r="C1198" s="1">
        <v>3.09040456E8</v>
      </c>
      <c r="D1198" s="1" t="s">
        <v>1917</v>
      </c>
    </row>
    <row r="1199">
      <c r="A1199" s="1">
        <v>672.0</v>
      </c>
      <c r="B1199" s="1">
        <v>7.4604268E7</v>
      </c>
      <c r="C1199" s="1">
        <v>3.08861423E8</v>
      </c>
      <c r="D1199" s="1" t="s">
        <v>1773</v>
      </c>
    </row>
    <row r="1200">
      <c r="A1200" s="1">
        <v>664.0</v>
      </c>
      <c r="B1200" s="1">
        <v>7.4560027E7</v>
      </c>
      <c r="C1200" s="1">
        <v>3.09054425E8</v>
      </c>
      <c r="D1200" s="1" t="s">
        <v>2046</v>
      </c>
    </row>
    <row r="1201">
      <c r="A1201" s="1">
        <v>671.0</v>
      </c>
      <c r="B1201" s="1">
        <v>7.450351E7</v>
      </c>
      <c r="C1201" s="1">
        <v>3.0829614E8</v>
      </c>
      <c r="D1201" s="1" t="s">
        <v>1942</v>
      </c>
    </row>
    <row r="1202">
      <c r="A1202" s="1">
        <v>665.0</v>
      </c>
      <c r="B1202" s="1">
        <v>7.4466019E7</v>
      </c>
      <c r="C1202" s="1">
        <v>3.08249776E8</v>
      </c>
      <c r="D1202" s="1" t="s">
        <v>2049</v>
      </c>
    </row>
    <row r="1203">
      <c r="A1203" s="1">
        <v>392.0</v>
      </c>
      <c r="B1203" s="1">
        <v>7.4426936E7</v>
      </c>
      <c r="C1203" s="1">
        <v>3.08507438E8</v>
      </c>
      <c r="D1203" s="1" t="s">
        <v>2050</v>
      </c>
    </row>
    <row r="1204">
      <c r="A1204" s="1">
        <v>578.0</v>
      </c>
      <c r="B1204" s="1">
        <v>7.4409622E7</v>
      </c>
      <c r="C1204" s="1">
        <v>3.08443558E8</v>
      </c>
      <c r="D1204" s="1" t="s">
        <v>2052</v>
      </c>
    </row>
    <row r="1205">
      <c r="A1205" s="1">
        <v>571.0</v>
      </c>
      <c r="B1205" s="1">
        <v>7.434782E7</v>
      </c>
      <c r="C1205" s="1">
        <v>3.07996551E8</v>
      </c>
      <c r="D1205" s="1" t="s">
        <v>1156</v>
      </c>
    </row>
    <row r="1206">
      <c r="A1206" s="1">
        <v>355.0</v>
      </c>
      <c r="B1206" s="1">
        <v>7.4273463E7</v>
      </c>
      <c r="C1206" s="1">
        <v>3.08227963E8</v>
      </c>
      <c r="D1206" s="1" t="s">
        <v>2053</v>
      </c>
    </row>
    <row r="1207">
      <c r="A1207" s="1">
        <v>630.0</v>
      </c>
      <c r="B1207" s="1">
        <v>7.417903E7</v>
      </c>
      <c r="C1207" s="1">
        <v>3.0713466E8</v>
      </c>
      <c r="D1207" s="1" t="s">
        <v>2055</v>
      </c>
    </row>
    <row r="1208">
      <c r="A1208" s="1">
        <v>224.0</v>
      </c>
      <c r="B1208" s="1">
        <v>7.4162592E7</v>
      </c>
      <c r="C1208" s="1">
        <v>3.06885383E8</v>
      </c>
      <c r="D1208" s="1" t="s">
        <v>2056</v>
      </c>
    </row>
    <row r="1209">
      <c r="A1209" s="1">
        <v>630.0</v>
      </c>
      <c r="B1209" s="1">
        <v>7.4102778E7</v>
      </c>
      <c r="C1209" s="1">
        <v>4.22891514E8</v>
      </c>
      <c r="D1209" s="1" t="s">
        <v>2059</v>
      </c>
    </row>
    <row r="1210">
      <c r="A1210" s="1">
        <v>403.0</v>
      </c>
      <c r="B1210" s="1">
        <v>7.4097923E7</v>
      </c>
      <c r="C1210" s="1">
        <v>3.06579567E8</v>
      </c>
      <c r="D1210" s="1" t="s">
        <v>2060</v>
      </c>
    </row>
    <row r="1211">
      <c r="A1211" s="1">
        <v>571.0</v>
      </c>
      <c r="B1211" s="1">
        <v>7.3963616E7</v>
      </c>
      <c r="C1211" s="1">
        <v>3.34190036E8</v>
      </c>
      <c r="D1211" s="1" t="s">
        <v>2062</v>
      </c>
    </row>
    <row r="1212">
      <c r="A1212" s="1">
        <v>504.0</v>
      </c>
      <c r="B1212" s="1">
        <v>7.3936456E7</v>
      </c>
      <c r="C1212" s="1">
        <v>3.05857983E8</v>
      </c>
      <c r="D1212" s="1" t="s">
        <v>2064</v>
      </c>
    </row>
    <row r="1213">
      <c r="A1213" s="1">
        <v>484.0</v>
      </c>
      <c r="B1213" s="1">
        <v>7.3919348E7</v>
      </c>
      <c r="C1213" s="1">
        <v>3.14133809E8</v>
      </c>
      <c r="D1213" s="1" t="s">
        <v>2065</v>
      </c>
    </row>
    <row r="1214">
      <c r="A1214" s="1">
        <v>569.0</v>
      </c>
      <c r="B1214" s="1">
        <v>7.3783695E7</v>
      </c>
      <c r="C1214" s="1">
        <v>3.05242605E8</v>
      </c>
      <c r="D1214" s="1" t="s">
        <v>2066</v>
      </c>
    </row>
    <row r="1215">
      <c r="A1215" s="1">
        <v>673.0</v>
      </c>
      <c r="B1215" s="1">
        <v>7.3763186E7</v>
      </c>
      <c r="C1215" s="1">
        <v>3.05455832E8</v>
      </c>
      <c r="D1215" s="1" t="s">
        <v>2069</v>
      </c>
    </row>
    <row r="1216">
      <c r="A1216" s="1">
        <v>409.0</v>
      </c>
      <c r="B1216" s="1">
        <v>7.3713999E7</v>
      </c>
      <c r="C1216" s="1">
        <v>4.31303701E8</v>
      </c>
      <c r="D1216" s="1" t="s">
        <v>2070</v>
      </c>
    </row>
    <row r="1217">
      <c r="A1217" s="1">
        <v>179.0</v>
      </c>
      <c r="B1217" s="1">
        <v>7.360877E7</v>
      </c>
      <c r="C1217" s="1">
        <v>3.04494181E8</v>
      </c>
      <c r="D1217" s="1" t="s">
        <v>2072</v>
      </c>
    </row>
    <row r="1218">
      <c r="A1218" s="1">
        <v>610.0</v>
      </c>
      <c r="B1218" s="1">
        <v>7.3569011E7</v>
      </c>
      <c r="C1218" s="1">
        <v>3.04622121E8</v>
      </c>
      <c r="D1218" s="1" t="s">
        <v>785</v>
      </c>
    </row>
    <row r="1219">
      <c r="A1219" s="1">
        <v>715.0</v>
      </c>
      <c r="B1219" s="1">
        <v>7.3564225E7</v>
      </c>
      <c r="C1219" s="1">
        <v>3.04296245E8</v>
      </c>
      <c r="D1219" s="1" t="s">
        <v>1466</v>
      </c>
    </row>
    <row r="1220">
      <c r="A1220" s="1">
        <v>484.0</v>
      </c>
      <c r="B1220" s="1">
        <v>7.3549644E7</v>
      </c>
      <c r="C1220" s="1">
        <v>3.0479222E8</v>
      </c>
      <c r="D1220" s="1" t="s">
        <v>2074</v>
      </c>
    </row>
    <row r="1221">
      <c r="A1221" s="1">
        <v>671.0</v>
      </c>
      <c r="B1221" s="1">
        <v>7.351772E7</v>
      </c>
      <c r="C1221" s="1">
        <v>3.04148445E8</v>
      </c>
      <c r="D1221" s="1" t="s">
        <v>2076</v>
      </c>
    </row>
    <row r="1222">
      <c r="A1222" s="1">
        <v>504.0</v>
      </c>
      <c r="B1222" s="1">
        <v>7.3488329E7</v>
      </c>
      <c r="C1222" s="1">
        <v>3.04099357E8</v>
      </c>
      <c r="D1222" s="1" t="s">
        <v>2077</v>
      </c>
    </row>
    <row r="1223">
      <c r="A1223" s="1">
        <v>353.0</v>
      </c>
      <c r="B1223" s="1">
        <v>7.3455496E7</v>
      </c>
      <c r="C1223" s="1">
        <v>3.03920964E8</v>
      </c>
      <c r="D1223" s="1" t="s">
        <v>479</v>
      </c>
    </row>
    <row r="1224">
      <c r="A1224" s="1">
        <v>210.0</v>
      </c>
      <c r="B1224" s="1">
        <v>7.3454257E7</v>
      </c>
      <c r="C1224" s="1">
        <v>3.04180329E8</v>
      </c>
      <c r="D1224" s="1" t="s">
        <v>2080</v>
      </c>
    </row>
    <row r="1225">
      <c r="A1225" s="1">
        <v>604.0</v>
      </c>
      <c r="B1225" s="1">
        <v>7.3454079E7</v>
      </c>
      <c r="C1225" s="1">
        <v>3.03948475E8</v>
      </c>
      <c r="D1225" s="1" t="s">
        <v>2081</v>
      </c>
    </row>
    <row r="1226">
      <c r="A1226" s="1">
        <v>602.0</v>
      </c>
      <c r="B1226" s="1">
        <v>7.3415811E7</v>
      </c>
      <c r="C1226" s="1">
        <v>4.57139529E8</v>
      </c>
      <c r="D1226" s="1" t="s">
        <v>2082</v>
      </c>
    </row>
    <row r="1227">
      <c r="A1227" s="1">
        <v>484.0</v>
      </c>
      <c r="B1227" s="1">
        <v>7.3327314E7</v>
      </c>
      <c r="C1227" s="1">
        <v>3.03684596E8</v>
      </c>
      <c r="D1227" s="1" t="s">
        <v>2012</v>
      </c>
    </row>
    <row r="1228">
      <c r="A1228" s="1">
        <v>484.0</v>
      </c>
      <c r="B1228" s="1">
        <v>7.3136135E7</v>
      </c>
      <c r="C1228" s="1">
        <v>3.02644813E8</v>
      </c>
      <c r="D1228" s="1" t="s">
        <v>2083</v>
      </c>
    </row>
    <row r="1229">
      <c r="A1229" s="1">
        <v>414.0</v>
      </c>
      <c r="B1229" s="1">
        <v>7.3062711E7</v>
      </c>
      <c r="C1229" s="1">
        <v>3.02207691E8</v>
      </c>
      <c r="D1229" s="1" t="s">
        <v>2084</v>
      </c>
    </row>
    <row r="1230">
      <c r="A1230" s="1">
        <v>492.0</v>
      </c>
      <c r="B1230" s="1">
        <v>7.2956064E7</v>
      </c>
      <c r="C1230" s="1">
        <v>3.01690312E8</v>
      </c>
      <c r="D1230" s="1" t="s">
        <v>2085</v>
      </c>
    </row>
    <row r="1231">
      <c r="A1231" s="1">
        <v>173.0</v>
      </c>
      <c r="B1231" s="1">
        <v>7.2942408E7</v>
      </c>
      <c r="C1231" s="1">
        <v>3.01729949E8</v>
      </c>
      <c r="D1231" s="1" t="s">
        <v>296</v>
      </c>
    </row>
    <row r="1232">
      <c r="A1232" s="1">
        <v>661.0</v>
      </c>
      <c r="B1232" s="1">
        <v>7.2910503E7</v>
      </c>
      <c r="C1232" s="1">
        <v>3.01525508E8</v>
      </c>
      <c r="D1232" s="1" t="s">
        <v>2088</v>
      </c>
    </row>
    <row r="1233">
      <c r="A1233" s="1">
        <v>721.0</v>
      </c>
      <c r="B1233" s="1">
        <v>7.2904867E7</v>
      </c>
      <c r="C1233" s="1">
        <v>3.01480409E8</v>
      </c>
      <c r="D1233" s="1" t="s">
        <v>2090</v>
      </c>
    </row>
    <row r="1234">
      <c r="A1234" s="1">
        <v>414.0</v>
      </c>
      <c r="B1234" s="1">
        <v>7.2874189E7</v>
      </c>
      <c r="C1234" s="1">
        <v>3.01221478E8</v>
      </c>
      <c r="D1234" s="1" t="s">
        <v>2091</v>
      </c>
    </row>
    <row r="1235">
      <c r="A1235" s="1">
        <v>215.0</v>
      </c>
      <c r="B1235" s="1">
        <v>7.2753884E7</v>
      </c>
      <c r="C1235" s="1">
        <v>3.00793684E8</v>
      </c>
      <c r="D1235" s="1" t="s">
        <v>2092</v>
      </c>
    </row>
    <row r="1236">
      <c r="A1236" s="1">
        <v>462.0</v>
      </c>
      <c r="B1236" s="1">
        <v>7.2695275E7</v>
      </c>
      <c r="C1236" s="1">
        <v>3.00743269E8</v>
      </c>
      <c r="D1236" s="1" t="s">
        <v>2093</v>
      </c>
    </row>
    <row r="1237">
      <c r="A1237" s="1">
        <v>643.0</v>
      </c>
      <c r="B1237" s="1">
        <v>7.2686337E7</v>
      </c>
      <c r="C1237" s="1">
        <v>3.00346482E8</v>
      </c>
      <c r="D1237" s="1" t="s">
        <v>2095</v>
      </c>
    </row>
    <row r="1238">
      <c r="A1238" s="1">
        <v>173.0</v>
      </c>
      <c r="B1238" s="1">
        <v>7.2676215E7</v>
      </c>
      <c r="C1238" s="1">
        <v>3.00370736E8</v>
      </c>
      <c r="D1238" s="1" t="s">
        <v>2096</v>
      </c>
    </row>
    <row r="1239">
      <c r="A1239" s="1">
        <v>671.0</v>
      </c>
      <c r="B1239" s="1">
        <v>7.2671479E7</v>
      </c>
      <c r="C1239" s="1">
        <v>3.0036931E8</v>
      </c>
      <c r="D1239" s="1" t="s">
        <v>2098</v>
      </c>
    </row>
    <row r="1240">
      <c r="A1240" s="1">
        <v>403.0</v>
      </c>
      <c r="B1240" s="1">
        <v>7.2633841E7</v>
      </c>
      <c r="C1240" s="1">
        <v>3.00477975E8</v>
      </c>
      <c r="D1240" s="1" t="s">
        <v>2099</v>
      </c>
    </row>
    <row r="1241">
      <c r="A1241" s="1">
        <v>421.0</v>
      </c>
      <c r="B1241" s="1">
        <v>7.2617741E7</v>
      </c>
      <c r="C1241" s="1">
        <v>3.00330996E8</v>
      </c>
      <c r="D1241" s="1" t="s">
        <v>2101</v>
      </c>
    </row>
    <row r="1242">
      <c r="A1242" s="1">
        <v>550.0</v>
      </c>
      <c r="B1242" s="1">
        <v>7.2595906E7</v>
      </c>
      <c r="C1242" s="1">
        <v>2.99962177E8</v>
      </c>
      <c r="D1242" s="1" t="s">
        <v>2103</v>
      </c>
    </row>
    <row r="1243">
      <c r="A1243" s="1">
        <v>610.0</v>
      </c>
      <c r="B1243" s="1">
        <v>7.2583941E7</v>
      </c>
      <c r="C1243" s="1">
        <v>3.00316924E8</v>
      </c>
      <c r="D1243" s="1" t="s">
        <v>2104</v>
      </c>
    </row>
    <row r="1244">
      <c r="A1244" s="1">
        <v>644.0</v>
      </c>
      <c r="B1244" s="1">
        <v>7.2579688E7</v>
      </c>
      <c r="C1244" s="1">
        <v>3.00548195E8</v>
      </c>
      <c r="D1244" s="1" t="s">
        <v>2105</v>
      </c>
    </row>
    <row r="1245">
      <c r="A1245" s="1">
        <v>610.0</v>
      </c>
      <c r="B1245" s="1">
        <v>7.2577483E7</v>
      </c>
      <c r="C1245" s="1">
        <v>3.00314601E8</v>
      </c>
      <c r="D1245" s="1" t="s">
        <v>2108</v>
      </c>
    </row>
    <row r="1246">
      <c r="A1246" s="1">
        <v>353.0</v>
      </c>
      <c r="B1246" s="1">
        <v>7.257092E7</v>
      </c>
      <c r="C1246" s="1">
        <v>2.99756799E8</v>
      </c>
      <c r="D1246" s="1" t="s">
        <v>977</v>
      </c>
    </row>
    <row r="1247">
      <c r="A1247" s="1">
        <v>671.0</v>
      </c>
      <c r="B1247" s="1">
        <v>7.256588E7</v>
      </c>
      <c r="C1247" s="1">
        <v>3.00000922E8</v>
      </c>
      <c r="D1247" s="1" t="s">
        <v>2110</v>
      </c>
    </row>
    <row r="1248">
      <c r="A1248" s="1">
        <v>173.0</v>
      </c>
      <c r="B1248" s="1">
        <v>7.2516504E7</v>
      </c>
      <c r="C1248" s="1">
        <v>2.99744071E8</v>
      </c>
      <c r="D1248" s="1" t="s">
        <v>2112</v>
      </c>
    </row>
    <row r="1249">
      <c r="A1249" s="1">
        <v>504.0</v>
      </c>
      <c r="B1249" s="1">
        <v>7.2484534E7</v>
      </c>
      <c r="C1249" s="1">
        <v>2.99667397E8</v>
      </c>
      <c r="D1249" s="1" t="s">
        <v>2113</v>
      </c>
    </row>
    <row r="1250">
      <c r="A1250" s="1">
        <v>421.0</v>
      </c>
      <c r="B1250" s="1">
        <v>7.2445799E7</v>
      </c>
      <c r="C1250" s="1">
        <v>2.99980325E8</v>
      </c>
      <c r="D1250" s="1" t="s">
        <v>2115</v>
      </c>
    </row>
    <row r="1251">
      <c r="A1251" s="1">
        <v>353.0</v>
      </c>
      <c r="B1251" s="1">
        <v>7.238329E7</v>
      </c>
      <c r="C1251" s="1">
        <v>2.99224713E8</v>
      </c>
      <c r="D1251" s="1" t="s">
        <v>2116</v>
      </c>
    </row>
    <row r="1252">
      <c r="A1252" s="1">
        <v>504.0</v>
      </c>
      <c r="B1252" s="1">
        <v>7.2286638E7</v>
      </c>
      <c r="C1252" s="1">
        <v>2.98659847E8</v>
      </c>
      <c r="D1252" s="1" t="s">
        <v>2118</v>
      </c>
    </row>
    <row r="1253">
      <c r="A1253" s="1">
        <v>671.0</v>
      </c>
      <c r="B1253" s="1">
        <v>7.221705E7</v>
      </c>
      <c r="C1253" s="1">
        <v>2.98358473E8</v>
      </c>
      <c r="D1253" s="1" t="s">
        <v>2119</v>
      </c>
    </row>
    <row r="1254">
      <c r="A1254" s="1">
        <v>210.0</v>
      </c>
      <c r="B1254" s="1">
        <v>7.2174041E7</v>
      </c>
      <c r="C1254" s="1">
        <v>2.98337557E8</v>
      </c>
      <c r="D1254" s="1" t="s">
        <v>2122</v>
      </c>
    </row>
    <row r="1255">
      <c r="A1255" s="1">
        <v>173.0</v>
      </c>
      <c r="B1255" s="1">
        <v>7.2167661E7</v>
      </c>
      <c r="C1255" s="1">
        <v>2.98175547E8</v>
      </c>
      <c r="D1255" s="1" t="s">
        <v>2123</v>
      </c>
    </row>
    <row r="1256">
      <c r="A1256" s="1">
        <v>586.0</v>
      </c>
      <c r="B1256" s="1">
        <v>7.2151541E7</v>
      </c>
      <c r="C1256" s="1">
        <v>2.98051323E8</v>
      </c>
      <c r="D1256" s="1" t="s">
        <v>2125</v>
      </c>
    </row>
    <row r="1257">
      <c r="A1257" s="1">
        <v>392.0</v>
      </c>
      <c r="B1257" s="1">
        <v>7.2105266E7</v>
      </c>
      <c r="C1257" s="1">
        <v>2.98075104E8</v>
      </c>
      <c r="D1257" s="1" t="s">
        <v>2126</v>
      </c>
    </row>
    <row r="1258">
      <c r="A1258" s="1">
        <v>173.0</v>
      </c>
      <c r="B1258" s="1">
        <v>7.2082526E7</v>
      </c>
      <c r="C1258" s="1">
        <v>2.97690937E8</v>
      </c>
      <c r="D1258" s="1" t="s">
        <v>2128</v>
      </c>
    </row>
    <row r="1259">
      <c r="A1259" s="1">
        <v>565.0</v>
      </c>
      <c r="B1259" s="1">
        <v>7.1996897E7</v>
      </c>
      <c r="C1259" s="1">
        <v>3.86368239E8</v>
      </c>
    </row>
    <row r="1260">
      <c r="A1260" s="1">
        <v>353.0</v>
      </c>
      <c r="B1260" s="1">
        <v>7.1992735E7</v>
      </c>
      <c r="C1260" s="1">
        <v>4.54379771E8</v>
      </c>
      <c r="D1260" s="1" t="s">
        <v>1456</v>
      </c>
    </row>
    <row r="1261">
      <c r="A1261" s="1">
        <v>645.0</v>
      </c>
      <c r="B1261" s="1">
        <v>7.1982756E7</v>
      </c>
      <c r="C1261" s="1">
        <v>2.98312016E8</v>
      </c>
      <c r="D1261" s="1" t="s">
        <v>2130</v>
      </c>
    </row>
    <row r="1262">
      <c r="A1262" s="1">
        <v>571.0</v>
      </c>
      <c r="B1262" s="1">
        <v>7.1945763E7</v>
      </c>
      <c r="C1262" s="1">
        <v>2.97324278E8</v>
      </c>
      <c r="D1262" s="1" t="s">
        <v>2131</v>
      </c>
    </row>
    <row r="1263">
      <c r="A1263" s="1">
        <v>475.0</v>
      </c>
      <c r="B1263" s="1">
        <v>7.1888756E7</v>
      </c>
      <c r="C1263" s="1">
        <v>2.97130937E8</v>
      </c>
      <c r="D1263" s="1" t="s">
        <v>2132</v>
      </c>
    </row>
    <row r="1264">
      <c r="A1264" s="1">
        <v>320.0</v>
      </c>
      <c r="B1264" s="1">
        <v>7.1874522E7</v>
      </c>
      <c r="C1264" s="1">
        <v>2.97167055E8</v>
      </c>
      <c r="D1264" s="1" t="s">
        <v>2134</v>
      </c>
    </row>
    <row r="1265">
      <c r="A1265" s="1">
        <v>406.0</v>
      </c>
      <c r="B1265" s="1">
        <v>7.1835185E7</v>
      </c>
      <c r="C1265" s="1">
        <v>2.96652954E8</v>
      </c>
      <c r="D1265" s="1" t="s">
        <v>2135</v>
      </c>
    </row>
    <row r="1266">
      <c r="A1266" s="1">
        <v>715.0</v>
      </c>
      <c r="B1266" s="1">
        <v>7.1811362E7</v>
      </c>
      <c r="C1266" s="1">
        <v>2.96577548E8</v>
      </c>
      <c r="D1266" s="1" t="s">
        <v>2136</v>
      </c>
    </row>
    <row r="1267">
      <c r="A1267" s="1">
        <v>353.0</v>
      </c>
      <c r="B1267" s="1">
        <v>7.1784332E7</v>
      </c>
      <c r="C1267" s="1">
        <v>3.06887535E8</v>
      </c>
      <c r="D1267" s="1" t="s">
        <v>2138</v>
      </c>
    </row>
    <row r="1268">
      <c r="A1268" s="1">
        <v>673.0</v>
      </c>
      <c r="B1268" s="1">
        <v>7.1744899E7</v>
      </c>
      <c r="C1268" s="1">
        <v>2.96362191E8</v>
      </c>
      <c r="D1268" s="1" t="s">
        <v>2139</v>
      </c>
    </row>
    <row r="1269">
      <c r="A1269" s="1">
        <v>504.0</v>
      </c>
      <c r="B1269" s="1">
        <v>7.1726775E7</v>
      </c>
      <c r="C1269" s="1">
        <v>2.96839365E8</v>
      </c>
      <c r="D1269" s="1" t="s">
        <v>2141</v>
      </c>
    </row>
    <row r="1270">
      <c r="A1270" s="1">
        <v>587.0</v>
      </c>
      <c r="B1270" s="1">
        <v>7.1697882E7</v>
      </c>
      <c r="C1270" s="1">
        <v>2.96234927E8</v>
      </c>
      <c r="D1270" s="1" t="s">
        <v>2143</v>
      </c>
    </row>
    <row r="1271">
      <c r="A1271" s="1">
        <v>129.0</v>
      </c>
      <c r="B1271" s="1">
        <v>7.1672595E7</v>
      </c>
      <c r="C1271" s="1">
        <v>3.28421866E8</v>
      </c>
      <c r="D1271" s="1" t="s">
        <v>2144</v>
      </c>
    </row>
    <row r="1272">
      <c r="A1272" s="1">
        <v>664.0</v>
      </c>
      <c r="B1272" s="1">
        <v>7.1656849E7</v>
      </c>
      <c r="C1272" s="1">
        <v>2.95799054E8</v>
      </c>
      <c r="D1272" s="1" t="s">
        <v>2145</v>
      </c>
    </row>
    <row r="1273">
      <c r="A1273" s="1">
        <v>719.0</v>
      </c>
      <c r="B1273" s="1">
        <v>7.1643713E7</v>
      </c>
      <c r="C1273" s="1">
        <v>2.96015228E8</v>
      </c>
      <c r="D1273" s="1" t="s">
        <v>2146</v>
      </c>
    </row>
    <row r="1274">
      <c r="A1274" s="1">
        <v>569.0</v>
      </c>
      <c r="B1274" s="1">
        <v>7.1625207E7</v>
      </c>
      <c r="C1274" s="1">
        <v>2.95601896E8</v>
      </c>
      <c r="D1274" s="1" t="s">
        <v>2147</v>
      </c>
    </row>
    <row r="1275">
      <c r="A1275" s="1">
        <v>671.0</v>
      </c>
      <c r="B1275" s="1">
        <v>7.1620252E7</v>
      </c>
      <c r="C1275" s="1">
        <v>2.95835601E8</v>
      </c>
      <c r="D1275" s="1" t="s">
        <v>2149</v>
      </c>
    </row>
    <row r="1276">
      <c r="A1276" s="1">
        <v>173.0</v>
      </c>
      <c r="B1276" s="1">
        <v>7.1600823E7</v>
      </c>
      <c r="C1276" s="1">
        <v>2.95638324E8</v>
      </c>
      <c r="D1276" s="1" t="s">
        <v>2150</v>
      </c>
    </row>
    <row r="1277">
      <c r="A1277" s="1">
        <v>571.0</v>
      </c>
      <c r="B1277" s="1">
        <v>7.1590036E7</v>
      </c>
      <c r="C1277" s="1">
        <v>4.31001901E8</v>
      </c>
      <c r="D1277" s="1" t="s">
        <v>2151</v>
      </c>
    </row>
    <row r="1278">
      <c r="A1278" s="1">
        <v>586.0</v>
      </c>
      <c r="B1278" s="1">
        <v>7.1562685E7</v>
      </c>
      <c r="C1278" s="1">
        <v>2.95349984E8</v>
      </c>
      <c r="D1278" s="1" t="s">
        <v>473</v>
      </c>
    </row>
    <row r="1279">
      <c r="A1279" s="1">
        <v>173.0</v>
      </c>
      <c r="B1279" s="1">
        <v>7.1539371E7</v>
      </c>
      <c r="C1279" s="1">
        <v>2.95417689E8</v>
      </c>
      <c r="D1279" s="1" t="s">
        <v>2152</v>
      </c>
    </row>
    <row r="1280">
      <c r="A1280" s="1">
        <v>654.0</v>
      </c>
      <c r="B1280" s="1">
        <v>7.1515341E7</v>
      </c>
      <c r="C1280" s="1">
        <v>2.9533771E8</v>
      </c>
      <c r="D1280" s="1" t="s">
        <v>2153</v>
      </c>
    </row>
    <row r="1281">
      <c r="A1281" s="1">
        <v>587.0</v>
      </c>
      <c r="B1281" s="1">
        <v>7.1478976E7</v>
      </c>
      <c r="C1281" s="1">
        <v>4.50128373E8</v>
      </c>
      <c r="D1281" s="1" t="s">
        <v>2155</v>
      </c>
    </row>
    <row r="1282">
      <c r="A1282" s="1">
        <v>421.0</v>
      </c>
      <c r="B1282" s="1">
        <v>7.1409093E7</v>
      </c>
      <c r="C1282" s="1">
        <v>2.95155055E8</v>
      </c>
      <c r="D1282" s="1" t="s">
        <v>2157</v>
      </c>
    </row>
    <row r="1283">
      <c r="A1283" s="1">
        <v>667.0</v>
      </c>
      <c r="B1283" s="1">
        <v>7.1378927E7</v>
      </c>
      <c r="C1283" s="1">
        <v>2.9464761E8</v>
      </c>
      <c r="D1283" s="1" t="s">
        <v>2158</v>
      </c>
    </row>
    <row r="1284">
      <c r="A1284" s="1">
        <v>392.0</v>
      </c>
      <c r="B1284" s="1">
        <v>7.1350957E7</v>
      </c>
      <c r="C1284" s="1">
        <v>2.9446812E8</v>
      </c>
      <c r="D1284" s="1" t="s">
        <v>2159</v>
      </c>
    </row>
    <row r="1285">
      <c r="A1285" s="1">
        <v>337.0</v>
      </c>
      <c r="B1285" s="1">
        <v>7.1308505E7</v>
      </c>
      <c r="C1285" s="1">
        <v>2.94468452E8</v>
      </c>
      <c r="D1285" s="1" t="s">
        <v>2160</v>
      </c>
    </row>
    <row r="1286">
      <c r="A1286" s="1">
        <v>610.0</v>
      </c>
      <c r="B1286" s="1">
        <v>7.12932E7</v>
      </c>
      <c r="C1286" s="1">
        <v>2.94249579E8</v>
      </c>
      <c r="D1286" s="1" t="s">
        <v>2162</v>
      </c>
    </row>
    <row r="1287">
      <c r="A1287" s="1">
        <v>671.0</v>
      </c>
      <c r="B1287" s="1">
        <v>7.1270364E7</v>
      </c>
      <c r="C1287" s="1">
        <v>2.94107343E8</v>
      </c>
      <c r="D1287" s="1" t="s">
        <v>2164</v>
      </c>
    </row>
    <row r="1288">
      <c r="A1288" s="1">
        <v>610.0</v>
      </c>
      <c r="B1288" s="1">
        <v>7.1261331E7</v>
      </c>
      <c r="C1288" s="1">
        <v>3.44168013E8</v>
      </c>
      <c r="D1288" s="1" t="s">
        <v>2165</v>
      </c>
    </row>
    <row r="1289">
      <c r="A1289" s="1">
        <v>353.0</v>
      </c>
      <c r="B1289" s="1">
        <v>7.1180111E7</v>
      </c>
      <c r="C1289" s="1">
        <v>2.9384752E8</v>
      </c>
      <c r="D1289" s="1" t="s">
        <v>1669</v>
      </c>
    </row>
    <row r="1290">
      <c r="A1290" s="1">
        <v>607.0</v>
      </c>
      <c r="B1290" s="1">
        <v>7.1080484E7</v>
      </c>
      <c r="C1290" s="1">
        <v>2.93535581E8</v>
      </c>
      <c r="D1290" s="1" t="s">
        <v>2167</v>
      </c>
    </row>
    <row r="1291">
      <c r="A1291" s="1">
        <v>353.0</v>
      </c>
      <c r="B1291" s="1">
        <v>7.100951E7</v>
      </c>
      <c r="C1291" s="1">
        <v>2.92962124E8</v>
      </c>
      <c r="D1291" s="1" t="s">
        <v>2170</v>
      </c>
    </row>
    <row r="1292">
      <c r="A1292" s="1">
        <v>715.0</v>
      </c>
      <c r="B1292" s="1">
        <v>7.0990573E7</v>
      </c>
      <c r="C1292" s="1">
        <v>2.92734049E8</v>
      </c>
      <c r="D1292" s="1" t="s">
        <v>2171</v>
      </c>
    </row>
    <row r="1293">
      <c r="A1293" s="1">
        <v>173.0</v>
      </c>
      <c r="B1293" s="1">
        <v>7.098856E7</v>
      </c>
      <c r="C1293" s="1">
        <v>2.92777477E8</v>
      </c>
      <c r="D1293" s="1" t="s">
        <v>2173</v>
      </c>
    </row>
    <row r="1294">
      <c r="A1294" s="1">
        <v>504.0</v>
      </c>
      <c r="B1294" s="1">
        <v>7.098397E7</v>
      </c>
      <c r="C1294" s="1">
        <v>2.92894161E8</v>
      </c>
      <c r="D1294" s="1" t="s">
        <v>364</v>
      </c>
    </row>
    <row r="1295">
      <c r="A1295" s="1">
        <v>713.0</v>
      </c>
      <c r="B1295" s="1">
        <v>7.0958174E7</v>
      </c>
      <c r="C1295" s="1">
        <v>2.92909784E8</v>
      </c>
      <c r="D1295" s="1" t="s">
        <v>2174</v>
      </c>
    </row>
    <row r="1296">
      <c r="A1296" s="1">
        <v>380.0</v>
      </c>
      <c r="B1296" s="1">
        <v>7.084792E7</v>
      </c>
      <c r="C1296" s="1">
        <v>2.92558717E8</v>
      </c>
      <c r="D1296" s="1" t="s">
        <v>2002</v>
      </c>
    </row>
    <row r="1297">
      <c r="A1297" s="1">
        <v>173.0</v>
      </c>
      <c r="B1297" s="1">
        <v>7.0836404E7</v>
      </c>
      <c r="C1297" s="1">
        <v>2.92166036E8</v>
      </c>
      <c r="D1297" s="1" t="s">
        <v>2177</v>
      </c>
    </row>
    <row r="1298">
      <c r="A1298" s="1">
        <v>355.0</v>
      </c>
      <c r="B1298" s="1">
        <v>7.0807762E7</v>
      </c>
      <c r="C1298" s="1">
        <v>2.92361415E8</v>
      </c>
      <c r="D1298" s="1" t="s">
        <v>2178</v>
      </c>
    </row>
    <row r="1299">
      <c r="A1299" s="1">
        <v>179.0</v>
      </c>
      <c r="B1299" s="1">
        <v>7.0763434E7</v>
      </c>
      <c r="C1299" s="1">
        <v>2.92106449E8</v>
      </c>
      <c r="D1299" s="1" t="s">
        <v>2180</v>
      </c>
    </row>
    <row r="1300">
      <c r="A1300" s="1">
        <v>587.0</v>
      </c>
      <c r="B1300" s="1">
        <v>7.074655E7</v>
      </c>
      <c r="C1300" s="1">
        <v>2.9172879E8</v>
      </c>
      <c r="D1300" s="1" t="s">
        <v>2182</v>
      </c>
    </row>
    <row r="1301">
      <c r="A1301" s="1">
        <v>671.0</v>
      </c>
      <c r="B1301" s="1">
        <v>7.0574399E7</v>
      </c>
      <c r="C1301" s="1">
        <v>2.91017137E8</v>
      </c>
      <c r="D1301" s="1" t="s">
        <v>2183</v>
      </c>
    </row>
    <row r="1302">
      <c r="A1302" s="1">
        <v>244.0</v>
      </c>
      <c r="B1302" s="1">
        <v>7.0539494E7</v>
      </c>
      <c r="C1302" s="1">
        <v>2.90948109E8</v>
      </c>
      <c r="D1302" s="1" t="s">
        <v>2185</v>
      </c>
    </row>
    <row r="1303">
      <c r="A1303" s="1">
        <v>674.0</v>
      </c>
      <c r="B1303" s="1">
        <v>7.0528656E7</v>
      </c>
      <c r="C1303" s="1">
        <v>3.8883536E8</v>
      </c>
      <c r="D1303" s="1" t="s">
        <v>2188</v>
      </c>
    </row>
    <row r="1304">
      <c r="A1304" s="1">
        <v>380.0</v>
      </c>
      <c r="B1304" s="1">
        <v>7.050026E7</v>
      </c>
      <c r="C1304" s="1">
        <v>2.90703472E8</v>
      </c>
      <c r="D1304" s="1" t="s">
        <v>2189</v>
      </c>
    </row>
    <row r="1305">
      <c r="A1305" s="1">
        <v>380.0</v>
      </c>
      <c r="B1305" s="1">
        <v>7.0498411E7</v>
      </c>
      <c r="C1305" s="1">
        <v>2.90709933E8</v>
      </c>
      <c r="D1305" s="1" t="s">
        <v>2191</v>
      </c>
    </row>
    <row r="1306">
      <c r="A1306" s="1">
        <v>504.0</v>
      </c>
      <c r="B1306" s="1">
        <v>7.0432474E7</v>
      </c>
      <c r="C1306" s="1">
        <v>2.90288885E8</v>
      </c>
      <c r="D1306" s="1" t="s">
        <v>2192</v>
      </c>
    </row>
    <row r="1307">
      <c r="A1307" s="1">
        <v>645.0</v>
      </c>
      <c r="B1307" s="1">
        <v>7.0413551E7</v>
      </c>
      <c r="C1307" s="1">
        <v>2.91528032E8</v>
      </c>
      <c r="D1307" s="1" t="s">
        <v>2194</v>
      </c>
    </row>
    <row r="1308">
      <c r="A1308" s="1">
        <v>380.0</v>
      </c>
      <c r="B1308" s="1">
        <v>7.0403457E7</v>
      </c>
      <c r="C1308" s="1">
        <v>2.901384E8</v>
      </c>
      <c r="D1308" s="1" t="s">
        <v>2195</v>
      </c>
    </row>
    <row r="1309">
      <c r="A1309" s="1">
        <v>129.0</v>
      </c>
      <c r="B1309" s="1">
        <v>7.0402923E7</v>
      </c>
      <c r="C1309" s="1">
        <v>2.90147398E8</v>
      </c>
      <c r="D1309" s="25" t="str">
        <f>+50 buddy it was awesome, felt like a prince as my company got me a</f>
        <v>#ERROR!</v>
      </c>
    </row>
    <row r="1310">
      <c r="A1310" s="1">
        <v>587.0</v>
      </c>
      <c r="B1310" s="1">
        <v>7.0393884E7</v>
      </c>
      <c r="C1310" s="1">
        <v>2.90198549E8</v>
      </c>
      <c r="D1310" s="1" t="s">
        <v>2204</v>
      </c>
    </row>
    <row r="1311">
      <c r="A1311" s="1">
        <v>475.0</v>
      </c>
      <c r="B1311" s="1">
        <v>7.0361526E7</v>
      </c>
      <c r="C1311" s="1">
        <v>2.90144786E8</v>
      </c>
      <c r="D1311" s="1" t="s">
        <v>2206</v>
      </c>
    </row>
    <row r="1312">
      <c r="A1312" s="1">
        <v>676.0</v>
      </c>
      <c r="B1312" s="1">
        <v>7.035281E7</v>
      </c>
      <c r="C1312" s="1">
        <v>2.90153095E8</v>
      </c>
      <c r="D1312" s="1" t="s">
        <v>2208</v>
      </c>
    </row>
    <row r="1313">
      <c r="A1313" s="1">
        <v>671.0</v>
      </c>
      <c r="B1313" s="1">
        <v>7.0321263E7</v>
      </c>
      <c r="C1313" s="1">
        <v>2.89797934E8</v>
      </c>
      <c r="D1313" s="1" t="s">
        <v>2210</v>
      </c>
    </row>
    <row r="1314">
      <c r="A1314" s="1">
        <v>173.0</v>
      </c>
      <c r="B1314" s="1">
        <v>7.0210674E7</v>
      </c>
      <c r="C1314" s="1">
        <v>2.89361602E8</v>
      </c>
      <c r="D1314" s="1" t="s">
        <v>2211</v>
      </c>
    </row>
    <row r="1315">
      <c r="A1315" s="1">
        <v>715.0</v>
      </c>
      <c r="B1315" s="1">
        <v>7.017699E7</v>
      </c>
      <c r="C1315" s="1">
        <v>2.89241876E8</v>
      </c>
      <c r="D1315" s="1" t="s">
        <v>2212</v>
      </c>
    </row>
    <row r="1316">
      <c r="A1316" s="1">
        <v>593.0</v>
      </c>
      <c r="B1316" s="1">
        <v>7.0142582E7</v>
      </c>
      <c r="C1316" s="1">
        <v>2.89277426E8</v>
      </c>
      <c r="D1316" s="1" t="s">
        <v>1633</v>
      </c>
    </row>
    <row r="1317">
      <c r="A1317" s="1">
        <v>607.0</v>
      </c>
      <c r="B1317" s="1">
        <v>7.013791E7</v>
      </c>
      <c r="C1317" s="1">
        <v>2.8959783E8</v>
      </c>
      <c r="D1317" s="1" t="s">
        <v>2215</v>
      </c>
    </row>
    <row r="1318">
      <c r="A1318" s="1">
        <v>173.0</v>
      </c>
      <c r="B1318" s="1">
        <v>7.0083785E7</v>
      </c>
      <c r="C1318" s="1">
        <v>2.88955069E8</v>
      </c>
      <c r="D1318" s="1" t="s">
        <v>2216</v>
      </c>
    </row>
    <row r="1319">
      <c r="A1319" s="1">
        <v>380.0</v>
      </c>
      <c r="B1319" s="1">
        <v>7.0060693E7</v>
      </c>
      <c r="C1319" s="1">
        <v>2.88768476E8</v>
      </c>
      <c r="D1319" s="1" t="s">
        <v>2218</v>
      </c>
    </row>
    <row r="1320">
      <c r="A1320" s="1">
        <v>215.0</v>
      </c>
      <c r="B1320" s="1">
        <v>7.0054409E7</v>
      </c>
      <c r="C1320" s="1">
        <v>2.88840944E8</v>
      </c>
      <c r="D1320" s="1" t="s">
        <v>2219</v>
      </c>
    </row>
    <row r="1321">
      <c r="A1321" s="1">
        <v>408.0</v>
      </c>
      <c r="B1321" s="1">
        <v>7.0044805E7</v>
      </c>
      <c r="C1321" s="1">
        <v>2.88746937E8</v>
      </c>
      <c r="D1321" s="1" t="s">
        <v>2221</v>
      </c>
    </row>
    <row r="1322">
      <c r="A1322" s="1">
        <v>696.0</v>
      </c>
      <c r="B1322" s="1">
        <v>7.0034749E7</v>
      </c>
      <c r="C1322" s="1">
        <v>2.8858589E8</v>
      </c>
      <c r="D1322" s="1" t="s">
        <v>2223</v>
      </c>
    </row>
    <row r="1323">
      <c r="A1323" s="1">
        <v>676.0</v>
      </c>
      <c r="B1323" s="1">
        <v>6.9974331E7</v>
      </c>
      <c r="C1323" s="1">
        <v>2.88423764E8</v>
      </c>
      <c r="D1323" s="1" t="s">
        <v>2225</v>
      </c>
    </row>
    <row r="1324">
      <c r="A1324" s="1">
        <v>129.0</v>
      </c>
      <c r="B1324" s="1">
        <v>6.9956878E7</v>
      </c>
      <c r="C1324" s="1">
        <v>2.88202688E8</v>
      </c>
      <c r="D1324" s="1" t="s">
        <v>2228</v>
      </c>
    </row>
    <row r="1325">
      <c r="A1325" s="1">
        <v>719.0</v>
      </c>
      <c r="B1325" s="1">
        <v>6.9888317E7</v>
      </c>
      <c r="C1325" s="1">
        <v>2.87969301E8</v>
      </c>
      <c r="D1325" s="1" t="s">
        <v>2229</v>
      </c>
    </row>
    <row r="1326">
      <c r="A1326" s="1">
        <v>661.0</v>
      </c>
      <c r="B1326" s="1">
        <v>6.9880363E7</v>
      </c>
      <c r="C1326" s="1">
        <v>2.88215652E8</v>
      </c>
      <c r="D1326" s="1" t="s">
        <v>2231</v>
      </c>
    </row>
    <row r="1327">
      <c r="A1327" s="1">
        <v>602.0</v>
      </c>
      <c r="B1327" s="1">
        <v>6.988013E7</v>
      </c>
      <c r="C1327" s="1">
        <v>2.8798605E8</v>
      </c>
      <c r="D1327" s="1" t="s">
        <v>2233</v>
      </c>
    </row>
    <row r="1328">
      <c r="A1328" s="1">
        <v>673.0</v>
      </c>
      <c r="B1328" s="1">
        <v>6.9872795E7</v>
      </c>
      <c r="C1328" s="1">
        <v>2.87790225E8</v>
      </c>
      <c r="D1328" s="1" t="s">
        <v>2234</v>
      </c>
    </row>
    <row r="1329">
      <c r="A1329" s="1">
        <v>394.0</v>
      </c>
      <c r="B1329" s="1">
        <v>6.9816795E7</v>
      </c>
      <c r="C1329" s="1">
        <v>2.87775783E8</v>
      </c>
      <c r="D1329" s="1" t="s">
        <v>2063</v>
      </c>
    </row>
    <row r="1330">
      <c r="A1330" s="1">
        <v>256.0</v>
      </c>
      <c r="B1330" s="1">
        <v>6.9762989E7</v>
      </c>
      <c r="C1330" s="1">
        <v>2.87238947E8</v>
      </c>
      <c r="D1330" s="1" t="s">
        <v>2237</v>
      </c>
    </row>
    <row r="1331">
      <c r="A1331" s="1">
        <v>602.0</v>
      </c>
      <c r="B1331" s="1">
        <v>6.9694189E7</v>
      </c>
      <c r="C1331" s="1">
        <v>2.87064825E8</v>
      </c>
      <c r="D1331" s="1" t="s">
        <v>2239</v>
      </c>
    </row>
    <row r="1332">
      <c r="A1332" s="1">
        <v>610.0</v>
      </c>
      <c r="B1332" s="1">
        <v>6.968419E7</v>
      </c>
      <c r="C1332" s="1">
        <v>2.87043104E8</v>
      </c>
      <c r="D1332" s="1" t="s">
        <v>2241</v>
      </c>
    </row>
    <row r="1333">
      <c r="A1333" s="1">
        <v>571.0</v>
      </c>
      <c r="B1333" s="1">
        <v>6.9672143E7</v>
      </c>
      <c r="C1333" s="1">
        <v>2.87087605E8</v>
      </c>
      <c r="D1333" s="1" t="s">
        <v>2242</v>
      </c>
    </row>
    <row r="1334">
      <c r="A1334" s="1">
        <v>586.0</v>
      </c>
      <c r="B1334" s="1">
        <v>6.9666978E7</v>
      </c>
      <c r="C1334" s="1">
        <v>2.87056605E8</v>
      </c>
      <c r="D1334" s="1" t="s">
        <v>2245</v>
      </c>
    </row>
    <row r="1335">
      <c r="A1335" s="1">
        <v>319.0</v>
      </c>
      <c r="B1335" s="1">
        <v>6.9643691E7</v>
      </c>
      <c r="C1335" s="1">
        <v>2.86729221E8</v>
      </c>
      <c r="D1335" s="1" t="s">
        <v>2246</v>
      </c>
    </row>
    <row r="1336">
      <c r="A1336" s="1">
        <v>587.0</v>
      </c>
      <c r="B1336" s="1">
        <v>6.9631424E7</v>
      </c>
      <c r="C1336" s="1">
        <v>2.86843406E8</v>
      </c>
      <c r="D1336" s="1" t="s">
        <v>2247</v>
      </c>
    </row>
    <row r="1337">
      <c r="A1337" s="1">
        <v>716.0</v>
      </c>
      <c r="B1337" s="1">
        <v>6.9575922E7</v>
      </c>
      <c r="C1337" s="1">
        <v>2.86790632E8</v>
      </c>
      <c r="D1337" s="1" t="s">
        <v>2248</v>
      </c>
    </row>
    <row r="1338">
      <c r="A1338" s="1">
        <v>587.0</v>
      </c>
      <c r="B1338" s="1">
        <v>6.9536261E7</v>
      </c>
      <c r="C1338" s="1">
        <v>2.86324933E8</v>
      </c>
      <c r="D1338" s="1" t="s">
        <v>2249</v>
      </c>
    </row>
    <row r="1339">
      <c r="A1339" s="1">
        <v>716.0</v>
      </c>
      <c r="B1339" s="1">
        <v>6.9527358E7</v>
      </c>
      <c r="C1339" s="1">
        <v>2.86268995E8</v>
      </c>
      <c r="D1339" s="1" t="s">
        <v>2250</v>
      </c>
    </row>
    <row r="1340">
      <c r="A1340" s="1">
        <v>679.0</v>
      </c>
      <c r="B1340" s="1">
        <v>6.9521498E7</v>
      </c>
      <c r="C1340" s="1">
        <v>2.86242096E8</v>
      </c>
      <c r="D1340" s="1" t="s">
        <v>2252</v>
      </c>
    </row>
    <row r="1341">
      <c r="A1341" s="1">
        <v>353.0</v>
      </c>
      <c r="B1341" s="1">
        <v>6.9498882E7</v>
      </c>
      <c r="C1341" s="1">
        <v>2.86120891E8</v>
      </c>
      <c r="D1341" s="1" t="s">
        <v>2254</v>
      </c>
    </row>
    <row r="1342">
      <c r="A1342" s="1">
        <v>398.0</v>
      </c>
      <c r="B1342" s="1">
        <v>6.9490288E7</v>
      </c>
      <c r="C1342" s="1">
        <v>2.86096706E8</v>
      </c>
      <c r="D1342" s="1" t="s">
        <v>2256</v>
      </c>
    </row>
    <row r="1343">
      <c r="A1343" s="1">
        <v>498.0</v>
      </c>
      <c r="B1343" s="1">
        <v>6.9457097E7</v>
      </c>
      <c r="C1343" s="1">
        <v>2.86458266E8</v>
      </c>
      <c r="D1343" s="1" t="s">
        <v>2258</v>
      </c>
    </row>
    <row r="1344">
      <c r="A1344" s="1">
        <v>644.0</v>
      </c>
      <c r="B1344" s="1">
        <v>6.9435908E7</v>
      </c>
      <c r="C1344" s="1">
        <v>2.85797857E8</v>
      </c>
      <c r="D1344" s="1" t="s">
        <v>1803</v>
      </c>
    </row>
    <row r="1345">
      <c r="A1345" s="1">
        <v>716.0</v>
      </c>
      <c r="B1345" s="1">
        <v>6.9429951E7</v>
      </c>
      <c r="C1345" s="1">
        <v>2.85775837E8</v>
      </c>
      <c r="D1345" s="1" t="s">
        <v>2261</v>
      </c>
    </row>
    <row r="1346">
      <c r="A1346" s="1">
        <v>664.0</v>
      </c>
      <c r="B1346" s="1">
        <v>6.9429524E7</v>
      </c>
      <c r="C1346" s="1">
        <v>2.85957104E8</v>
      </c>
      <c r="D1346" s="1" t="s">
        <v>2262</v>
      </c>
    </row>
    <row r="1347">
      <c r="A1347" s="1">
        <v>715.0</v>
      </c>
      <c r="B1347" s="1">
        <v>6.9422293E7</v>
      </c>
      <c r="C1347" s="1">
        <v>2.85755655E8</v>
      </c>
      <c r="D1347" s="1" t="s">
        <v>2264</v>
      </c>
    </row>
    <row r="1348">
      <c r="A1348" s="1">
        <v>565.0</v>
      </c>
      <c r="B1348" s="1">
        <v>6.9352058E7</v>
      </c>
      <c r="C1348" s="1">
        <v>2.85375722E8</v>
      </c>
      <c r="D1348" s="1" t="s">
        <v>2265</v>
      </c>
    </row>
    <row r="1349">
      <c r="A1349" s="1">
        <v>602.0</v>
      </c>
      <c r="B1349" s="1">
        <v>6.932167E7</v>
      </c>
      <c r="C1349" s="1">
        <v>2.8535913E8</v>
      </c>
      <c r="D1349" s="1" t="s">
        <v>2267</v>
      </c>
    </row>
    <row r="1350">
      <c r="A1350" s="1">
        <v>672.0</v>
      </c>
      <c r="B1350" s="1">
        <v>6.9303537E7</v>
      </c>
      <c r="C1350" s="1">
        <v>2.85118322E8</v>
      </c>
      <c r="D1350" s="1" t="s">
        <v>2268</v>
      </c>
    </row>
    <row r="1351">
      <c r="A1351" s="1">
        <v>671.0</v>
      </c>
      <c r="B1351" s="1">
        <v>6.9280268E7</v>
      </c>
      <c r="C1351" s="1">
        <v>2.85133621E8</v>
      </c>
      <c r="D1351" s="1" t="s">
        <v>2271</v>
      </c>
    </row>
    <row r="1352">
      <c r="A1352" s="1">
        <v>587.0</v>
      </c>
      <c r="B1352" s="1">
        <v>6.9249444E7</v>
      </c>
      <c r="C1352" s="1">
        <v>2.849291E8</v>
      </c>
      <c r="D1352" s="1" t="s">
        <v>2272</v>
      </c>
    </row>
    <row r="1353">
      <c r="A1353" s="1">
        <v>700.0</v>
      </c>
      <c r="B1353" s="1">
        <v>6.9209938E7</v>
      </c>
      <c r="C1353" s="1">
        <v>2.84795487E8</v>
      </c>
      <c r="D1353" s="1" t="s">
        <v>2274</v>
      </c>
    </row>
    <row r="1354">
      <c r="A1354" s="1">
        <v>677.0</v>
      </c>
      <c r="B1354" s="1">
        <v>6.9142844E7</v>
      </c>
      <c r="C1354" s="1">
        <v>2.84592129E8</v>
      </c>
      <c r="D1354" s="1" t="s">
        <v>2275</v>
      </c>
    </row>
    <row r="1355">
      <c r="A1355" s="1">
        <v>571.0</v>
      </c>
      <c r="B1355" s="1">
        <v>6.9080941E7</v>
      </c>
      <c r="C1355" s="1">
        <v>2.84747406E8</v>
      </c>
      <c r="D1355" s="1" t="s">
        <v>2277</v>
      </c>
    </row>
    <row r="1356">
      <c r="A1356" s="1">
        <v>700.0</v>
      </c>
      <c r="B1356" s="1">
        <v>6.9062882E7</v>
      </c>
      <c r="C1356" s="1">
        <v>2.84408253E8</v>
      </c>
      <c r="D1356" s="1" t="s">
        <v>2279</v>
      </c>
    </row>
    <row r="1357">
      <c r="A1357" s="1">
        <v>656.0</v>
      </c>
      <c r="B1357" s="1">
        <v>6.9044873E7</v>
      </c>
      <c r="C1357" s="1">
        <v>4.2920204E8</v>
      </c>
      <c r="D1357" s="1" t="s">
        <v>2281</v>
      </c>
    </row>
    <row r="1358">
      <c r="A1358" s="1">
        <v>597.0</v>
      </c>
      <c r="B1358" s="1">
        <v>6.9035041E7</v>
      </c>
      <c r="C1358" s="1">
        <v>2.83975767E8</v>
      </c>
      <c r="D1358" s="1" t="s">
        <v>2283</v>
      </c>
    </row>
    <row r="1359">
      <c r="A1359" s="1">
        <v>565.0</v>
      </c>
      <c r="B1359" s="1">
        <v>6.8963988E7</v>
      </c>
      <c r="C1359" s="1">
        <v>2.83987338E8</v>
      </c>
      <c r="D1359" s="1" t="s">
        <v>2284</v>
      </c>
    </row>
    <row r="1360">
      <c r="A1360" s="1">
        <v>414.0</v>
      </c>
      <c r="B1360" s="1">
        <v>6.8944839E7</v>
      </c>
      <c r="C1360" s="1">
        <v>2.83497465E8</v>
      </c>
      <c r="D1360" s="1" t="s">
        <v>2285</v>
      </c>
    </row>
    <row r="1361">
      <c r="A1361" s="1">
        <v>564.0</v>
      </c>
      <c r="B1361" s="1">
        <v>6.8940553E7</v>
      </c>
      <c r="C1361" s="1">
        <v>2.83997872E8</v>
      </c>
      <c r="D1361" s="1" t="s">
        <v>2287</v>
      </c>
    </row>
    <row r="1362">
      <c r="A1362" s="1">
        <v>645.0</v>
      </c>
      <c r="B1362" s="1">
        <v>6.8898924E7</v>
      </c>
      <c r="C1362" s="1">
        <v>2.83339259E8</v>
      </c>
      <c r="D1362" s="1" t="s">
        <v>2288</v>
      </c>
    </row>
    <row r="1363">
      <c r="A1363" s="1">
        <v>587.0</v>
      </c>
      <c r="B1363" s="1">
        <v>6.8857193E7</v>
      </c>
      <c r="C1363" s="1">
        <v>2.8341017E8</v>
      </c>
      <c r="D1363" s="1" t="s">
        <v>2289</v>
      </c>
    </row>
    <row r="1364">
      <c r="A1364" s="1">
        <v>378.0</v>
      </c>
      <c r="B1364" s="1">
        <v>6.884127E7</v>
      </c>
      <c r="C1364" s="1">
        <v>2.83162466E8</v>
      </c>
      <c r="D1364" s="1" t="s">
        <v>2291</v>
      </c>
    </row>
    <row r="1365">
      <c r="A1365" s="1">
        <v>654.0</v>
      </c>
      <c r="B1365" s="1">
        <v>6.8817641E7</v>
      </c>
      <c r="C1365" s="1">
        <v>2.83150631E8</v>
      </c>
      <c r="D1365" s="1" t="s">
        <v>2292</v>
      </c>
    </row>
    <row r="1366">
      <c r="A1366" s="1">
        <v>215.0</v>
      </c>
      <c r="B1366" s="1">
        <v>6.8817306E7</v>
      </c>
      <c r="C1366" s="1">
        <v>2.83026271E8</v>
      </c>
      <c r="D1366" s="1" t="s">
        <v>2295</v>
      </c>
    </row>
    <row r="1367">
      <c r="A1367" s="1">
        <v>353.0</v>
      </c>
      <c r="B1367" s="1">
        <v>6.8811899E7</v>
      </c>
      <c r="C1367" s="1">
        <v>2.83057698E8</v>
      </c>
      <c r="D1367" s="1" t="s">
        <v>1605</v>
      </c>
    </row>
    <row r="1368">
      <c r="A1368" s="1">
        <v>210.0</v>
      </c>
      <c r="B1368" s="1">
        <v>6.8713819E7</v>
      </c>
      <c r="C1368" s="1">
        <v>2.82564142E8</v>
      </c>
      <c r="D1368" s="1" t="s">
        <v>2297</v>
      </c>
    </row>
    <row r="1369">
      <c r="A1369" s="1">
        <v>673.0</v>
      </c>
      <c r="B1369" s="1">
        <v>6.8671545E7</v>
      </c>
      <c r="C1369" s="1">
        <v>2.82527531E8</v>
      </c>
      <c r="D1369" s="1" t="s">
        <v>2298</v>
      </c>
    </row>
    <row r="1370">
      <c r="A1370" s="1">
        <v>571.0</v>
      </c>
      <c r="B1370" s="1">
        <v>6.8653673E7</v>
      </c>
      <c r="C1370" s="1">
        <v>2.82556838E8</v>
      </c>
      <c r="D1370" s="1" t="s">
        <v>2299</v>
      </c>
    </row>
    <row r="1371">
      <c r="A1371" s="1">
        <v>673.0</v>
      </c>
      <c r="B1371" s="1">
        <v>6.861385E7</v>
      </c>
      <c r="C1371" s="1">
        <v>2.82282017E8</v>
      </c>
      <c r="D1371" s="1" t="s">
        <v>2301</v>
      </c>
    </row>
    <row r="1372">
      <c r="A1372" s="1">
        <v>403.0</v>
      </c>
      <c r="B1372" s="1">
        <v>6.85799E7</v>
      </c>
      <c r="C1372" s="1">
        <v>2.81854167E8</v>
      </c>
      <c r="D1372" s="1" t="s">
        <v>2302</v>
      </c>
    </row>
    <row r="1373">
      <c r="A1373" s="1">
        <v>210.0</v>
      </c>
      <c r="B1373" s="1">
        <v>6.8563018E7</v>
      </c>
      <c r="C1373" s="1">
        <v>2.8188825E8</v>
      </c>
      <c r="D1373" s="1" t="s">
        <v>2304</v>
      </c>
    </row>
    <row r="1374">
      <c r="A1374" s="1">
        <v>406.0</v>
      </c>
      <c r="B1374" s="1">
        <v>6.8547742E7</v>
      </c>
      <c r="C1374" s="1">
        <v>2.819007E8</v>
      </c>
      <c r="D1374" s="1" t="s">
        <v>2305</v>
      </c>
    </row>
    <row r="1375">
      <c r="A1375" s="1">
        <v>173.0</v>
      </c>
      <c r="B1375" s="1">
        <v>6.8531441E7</v>
      </c>
      <c r="C1375" s="1">
        <v>2.81689746E8</v>
      </c>
      <c r="D1375" s="1" t="s">
        <v>2308</v>
      </c>
    </row>
    <row r="1376">
      <c r="A1376" s="1">
        <v>403.0</v>
      </c>
      <c r="B1376" s="1">
        <v>6.8507019E7</v>
      </c>
      <c r="C1376" s="1">
        <v>2.81667887E8</v>
      </c>
      <c r="D1376" s="1" t="s">
        <v>2309</v>
      </c>
    </row>
    <row r="1377">
      <c r="A1377" s="1">
        <v>504.0</v>
      </c>
      <c r="B1377" s="1">
        <v>6.8485426E7</v>
      </c>
      <c r="C1377" s="1">
        <v>2.84210649E8</v>
      </c>
      <c r="D1377" s="1" t="s">
        <v>2311</v>
      </c>
    </row>
    <row r="1378">
      <c r="A1378" s="1">
        <v>575.0</v>
      </c>
      <c r="B1378" s="1">
        <v>6.8457453E7</v>
      </c>
      <c r="C1378" s="1">
        <v>2.81268918E8</v>
      </c>
      <c r="D1378" s="1" t="s">
        <v>2312</v>
      </c>
    </row>
    <row r="1379">
      <c r="A1379" s="1">
        <v>602.0</v>
      </c>
      <c r="B1379" s="1">
        <v>6.845457E7</v>
      </c>
      <c r="C1379" s="1">
        <v>2.81264164E8</v>
      </c>
      <c r="D1379" s="1" t="s">
        <v>2314</v>
      </c>
    </row>
    <row r="1380">
      <c r="A1380" s="1">
        <v>173.0</v>
      </c>
      <c r="B1380" s="1">
        <v>6.8414656E7</v>
      </c>
      <c r="C1380" s="1">
        <v>2.81050418E8</v>
      </c>
      <c r="D1380" s="1" t="s">
        <v>2315</v>
      </c>
    </row>
    <row r="1381">
      <c r="A1381" s="1">
        <v>194.0</v>
      </c>
      <c r="B1381" s="1">
        <v>6.8410719E7</v>
      </c>
      <c r="C1381" s="1">
        <v>2.8105883E8</v>
      </c>
      <c r="D1381" s="1" t="s">
        <v>2027</v>
      </c>
    </row>
    <row r="1382">
      <c r="A1382" s="1">
        <v>602.0</v>
      </c>
      <c r="B1382" s="1">
        <v>6.8410547E7</v>
      </c>
      <c r="C1382" s="1">
        <v>3.68991362E8</v>
      </c>
      <c r="D1382" s="1" t="s">
        <v>2319</v>
      </c>
    </row>
    <row r="1383">
      <c r="A1383" s="1">
        <v>504.0</v>
      </c>
      <c r="B1383" s="1">
        <v>6.8366009E7</v>
      </c>
      <c r="C1383" s="1">
        <v>2.81223979E8</v>
      </c>
      <c r="D1383" s="1" t="s">
        <v>2321</v>
      </c>
    </row>
    <row r="1384">
      <c r="A1384" s="1">
        <v>129.0</v>
      </c>
      <c r="B1384" s="1">
        <v>6.8311899E7</v>
      </c>
      <c r="C1384" s="1">
        <v>2.80528822E8</v>
      </c>
      <c r="D1384" s="1" t="s">
        <v>2322</v>
      </c>
    </row>
    <row r="1385">
      <c r="A1385" s="1">
        <v>712.0</v>
      </c>
      <c r="B1385" s="1">
        <v>6.8289571E7</v>
      </c>
      <c r="C1385" s="1">
        <v>2.80518524E8</v>
      </c>
      <c r="D1385" s="1" t="s">
        <v>2324</v>
      </c>
    </row>
    <row r="1386">
      <c r="A1386" s="1">
        <v>215.0</v>
      </c>
      <c r="B1386" s="1">
        <v>6.8278072E7</v>
      </c>
      <c r="C1386" s="1">
        <v>2.8039547E8</v>
      </c>
      <c r="D1386" s="1" t="s">
        <v>350</v>
      </c>
    </row>
    <row r="1387">
      <c r="A1387" s="1">
        <v>671.0</v>
      </c>
      <c r="B1387" s="1">
        <v>6.8219816E7</v>
      </c>
      <c r="C1387" s="1">
        <v>2.80168516E8</v>
      </c>
      <c r="D1387" s="1" t="s">
        <v>2328</v>
      </c>
    </row>
    <row r="1388">
      <c r="A1388" s="1">
        <v>288.0</v>
      </c>
      <c r="B1388" s="1">
        <v>6.8186647E7</v>
      </c>
      <c r="C1388" s="1">
        <v>2.80339662E8</v>
      </c>
      <c r="D1388" s="17" t="s">
        <v>2329</v>
      </c>
    </row>
    <row r="1389">
      <c r="A1389" s="1">
        <v>602.0</v>
      </c>
      <c r="B1389" s="1">
        <v>6.8159827E7</v>
      </c>
      <c r="C1389" s="1">
        <v>4.90651119E8</v>
      </c>
      <c r="D1389" s="1" t="s">
        <v>2331</v>
      </c>
    </row>
    <row r="1390">
      <c r="A1390" s="1">
        <v>355.0</v>
      </c>
      <c r="B1390" s="1">
        <v>6.8159103E7</v>
      </c>
      <c r="C1390" s="1">
        <v>2.79926024E8</v>
      </c>
      <c r="D1390" s="1" t="s">
        <v>2333</v>
      </c>
    </row>
    <row r="1391">
      <c r="A1391" s="1">
        <v>674.0</v>
      </c>
      <c r="B1391" s="1">
        <v>6.8065286E7</v>
      </c>
      <c r="C1391" s="1">
        <v>2.79418261E8</v>
      </c>
      <c r="D1391" s="1" t="s">
        <v>1475</v>
      </c>
    </row>
    <row r="1392">
      <c r="A1392" s="1">
        <v>602.0</v>
      </c>
      <c r="B1392" s="1">
        <v>6.8031438E7</v>
      </c>
      <c r="C1392" s="1">
        <v>2.79141159E8</v>
      </c>
      <c r="D1392" s="1" t="s">
        <v>188</v>
      </c>
    </row>
    <row r="1393">
      <c r="A1393" s="1">
        <v>129.0</v>
      </c>
      <c r="B1393" s="1">
        <v>6.802351E7</v>
      </c>
      <c r="C1393" s="1">
        <v>2.79180354E8</v>
      </c>
      <c r="D1393" s="1" t="s">
        <v>2336</v>
      </c>
    </row>
    <row r="1394">
      <c r="A1394" s="1">
        <v>403.0</v>
      </c>
      <c r="B1394" s="1">
        <v>6.8014991E7</v>
      </c>
      <c r="C1394" s="1">
        <v>2.79151817E8</v>
      </c>
      <c r="D1394" s="1" t="s">
        <v>2337</v>
      </c>
    </row>
    <row r="1395">
      <c r="A1395" s="1">
        <v>578.0</v>
      </c>
      <c r="B1395" s="1">
        <v>6.7997608E7</v>
      </c>
      <c r="C1395" s="1">
        <v>2.79681108E8</v>
      </c>
      <c r="D1395" s="1" t="s">
        <v>2338</v>
      </c>
    </row>
    <row r="1396">
      <c r="A1396" s="1">
        <v>716.0</v>
      </c>
      <c r="B1396" s="1">
        <v>6.7997449E7</v>
      </c>
      <c r="C1396" s="1">
        <v>2.79428716E8</v>
      </c>
      <c r="D1396" s="1" t="s">
        <v>2339</v>
      </c>
    </row>
    <row r="1397">
      <c r="A1397" s="1">
        <v>484.0</v>
      </c>
      <c r="B1397" s="1">
        <v>6.7996283E7</v>
      </c>
      <c r="C1397" s="1">
        <v>2.79121749E8</v>
      </c>
      <c r="D1397" s="1" t="s">
        <v>2340</v>
      </c>
    </row>
    <row r="1398">
      <c r="A1398" s="1">
        <v>565.0</v>
      </c>
      <c r="B1398" s="1">
        <v>6.7995976E7</v>
      </c>
      <c r="C1398" s="1">
        <v>2.79461537E8</v>
      </c>
      <c r="D1398" s="1" t="s">
        <v>2342</v>
      </c>
    </row>
    <row r="1399">
      <c r="A1399" s="1">
        <v>644.0</v>
      </c>
      <c r="B1399" s="1">
        <v>6.7980814E7</v>
      </c>
      <c r="C1399" s="1">
        <v>2.79190281E8</v>
      </c>
      <c r="D1399" s="1" t="s">
        <v>2345</v>
      </c>
    </row>
    <row r="1400">
      <c r="A1400" s="1">
        <v>319.0</v>
      </c>
      <c r="B1400" s="1">
        <v>6.7905418E7</v>
      </c>
      <c r="C1400" s="1">
        <v>2.78670719E8</v>
      </c>
      <c r="D1400" s="1" t="s">
        <v>2346</v>
      </c>
    </row>
    <row r="1401">
      <c r="A1401" s="1">
        <v>667.0</v>
      </c>
      <c r="B1401" s="1">
        <v>6.7905305E7</v>
      </c>
      <c r="C1401" s="1">
        <v>2.78684475E8</v>
      </c>
      <c r="D1401" s="1" t="s">
        <v>2348</v>
      </c>
    </row>
    <row r="1402">
      <c r="A1402" s="1">
        <v>715.0</v>
      </c>
      <c r="B1402" s="1">
        <v>6.7767667E7</v>
      </c>
      <c r="C1402" s="1">
        <v>2.78043131E8</v>
      </c>
      <c r="D1402" s="1" t="s">
        <v>1332</v>
      </c>
    </row>
    <row r="1403">
      <c r="A1403" s="1">
        <v>173.0</v>
      </c>
      <c r="B1403" s="1">
        <v>6.7757054E7</v>
      </c>
      <c r="C1403" s="1">
        <v>2.77830081E8</v>
      </c>
      <c r="D1403" s="1" t="s">
        <v>2350</v>
      </c>
    </row>
    <row r="1404">
      <c r="A1404" s="1">
        <v>173.0</v>
      </c>
      <c r="B1404" s="1">
        <v>6.7739564E7</v>
      </c>
      <c r="C1404" s="1">
        <v>2.77810772E8</v>
      </c>
      <c r="D1404" s="1" t="s">
        <v>2352</v>
      </c>
    </row>
    <row r="1405">
      <c r="A1405" s="1">
        <v>593.0</v>
      </c>
      <c r="B1405" s="1">
        <v>6.773402E7</v>
      </c>
      <c r="C1405" s="1">
        <v>2.77864867E8</v>
      </c>
      <c r="D1405" s="1" t="s">
        <v>2353</v>
      </c>
    </row>
    <row r="1406">
      <c r="A1406" s="1">
        <v>244.0</v>
      </c>
      <c r="B1406" s="1">
        <v>6.7713427E7</v>
      </c>
      <c r="C1406" s="1">
        <v>2.78037763E8</v>
      </c>
      <c r="D1406" s="1" t="s">
        <v>2356</v>
      </c>
    </row>
    <row r="1407">
      <c r="A1407" s="1">
        <v>713.0</v>
      </c>
      <c r="B1407" s="1">
        <v>6.7704024E7</v>
      </c>
      <c r="C1407" s="1">
        <v>2.77801531E8</v>
      </c>
      <c r="D1407" s="1" t="s">
        <v>2358</v>
      </c>
    </row>
    <row r="1408">
      <c r="A1408" s="1">
        <v>671.0</v>
      </c>
      <c r="B1408" s="1">
        <v>6.7698553E7</v>
      </c>
      <c r="C1408" s="1">
        <v>2.77581505E8</v>
      </c>
      <c r="D1408" s="1" t="s">
        <v>2360</v>
      </c>
    </row>
    <row r="1409">
      <c r="A1409" s="1">
        <v>578.0</v>
      </c>
      <c r="B1409" s="1">
        <v>6.7495578E7</v>
      </c>
      <c r="C1409" s="1">
        <v>2.7684193E8</v>
      </c>
      <c r="D1409" s="1" t="s">
        <v>2361</v>
      </c>
    </row>
    <row r="1410">
      <c r="A1410" s="1">
        <v>713.0</v>
      </c>
      <c r="B1410" s="1">
        <v>6.7368319E7</v>
      </c>
      <c r="C1410" s="1">
        <v>2.76172497E8</v>
      </c>
      <c r="D1410" s="1" t="s">
        <v>2362</v>
      </c>
    </row>
    <row r="1411">
      <c r="A1411" s="1">
        <v>380.0</v>
      </c>
      <c r="B1411" s="1">
        <v>6.7340981E7</v>
      </c>
      <c r="C1411" s="1">
        <v>2.7587597E8</v>
      </c>
      <c r="D1411" s="1" t="s">
        <v>2364</v>
      </c>
    </row>
    <row r="1412">
      <c r="A1412" s="1">
        <v>672.0</v>
      </c>
      <c r="B1412" s="1">
        <v>6.7337039E7</v>
      </c>
      <c r="C1412" s="1">
        <v>2.75863695E8</v>
      </c>
      <c r="D1412" s="1" t="s">
        <v>2365</v>
      </c>
    </row>
    <row r="1413">
      <c r="A1413" s="1">
        <v>676.0</v>
      </c>
      <c r="B1413" s="1">
        <v>6.7316933E7</v>
      </c>
      <c r="C1413" s="1">
        <v>2.75901414E8</v>
      </c>
      <c r="D1413" s="1" t="s">
        <v>2367</v>
      </c>
    </row>
    <row r="1414">
      <c r="A1414" s="1">
        <v>353.0</v>
      </c>
      <c r="B1414" s="1">
        <v>6.7312674E7</v>
      </c>
      <c r="C1414" s="1">
        <v>4.75182717E8</v>
      </c>
      <c r="D1414" s="1" t="s">
        <v>2369</v>
      </c>
    </row>
    <row r="1415">
      <c r="A1415" s="1">
        <v>696.0</v>
      </c>
      <c r="B1415" s="1">
        <v>6.7263538E7</v>
      </c>
      <c r="C1415" s="1">
        <v>2.7545675E8</v>
      </c>
      <c r="D1415" s="1" t="s">
        <v>2370</v>
      </c>
    </row>
    <row r="1416">
      <c r="A1416" s="1">
        <v>667.0</v>
      </c>
      <c r="B1416" s="1">
        <v>6.7251851E7</v>
      </c>
      <c r="C1416" s="1">
        <v>2.75465772E8</v>
      </c>
      <c r="D1416" s="1" t="s">
        <v>2372</v>
      </c>
    </row>
    <row r="1417">
      <c r="A1417" s="1">
        <v>458.0</v>
      </c>
      <c r="B1417" s="1">
        <v>6.7145844E7</v>
      </c>
      <c r="C1417" s="1">
        <v>2.75285208E8</v>
      </c>
      <c r="D1417" s="1" t="s">
        <v>2373</v>
      </c>
    </row>
    <row r="1418">
      <c r="A1418" s="1">
        <v>394.0</v>
      </c>
      <c r="B1418" s="1">
        <v>6.7142736E7</v>
      </c>
      <c r="C1418" s="1">
        <v>2.74829383E8</v>
      </c>
      <c r="D1418" s="1" t="s">
        <v>2375</v>
      </c>
    </row>
    <row r="1419">
      <c r="A1419" s="1">
        <v>610.0</v>
      </c>
      <c r="B1419" s="1">
        <v>6.7132363E7</v>
      </c>
      <c r="C1419" s="1">
        <v>2.75452139E8</v>
      </c>
      <c r="D1419" s="1" t="s">
        <v>2293</v>
      </c>
    </row>
    <row r="1420">
      <c r="A1420" s="1">
        <v>715.0</v>
      </c>
      <c r="B1420" s="1">
        <v>6.7100505E7</v>
      </c>
      <c r="C1420" s="1">
        <v>2.74810339E8</v>
      </c>
      <c r="D1420" s="1" t="s">
        <v>2377</v>
      </c>
    </row>
    <row r="1421">
      <c r="A1421" s="1">
        <v>671.0</v>
      </c>
      <c r="B1421" s="1">
        <v>6.7100213E7</v>
      </c>
      <c r="C1421" s="1">
        <v>2.74920577E8</v>
      </c>
      <c r="D1421" s="1" t="s">
        <v>2379</v>
      </c>
    </row>
    <row r="1422">
      <c r="A1422" s="1">
        <v>564.0</v>
      </c>
      <c r="B1422" s="1">
        <v>6.7073525E7</v>
      </c>
      <c r="C1422" s="1">
        <v>2.74584109E8</v>
      </c>
      <c r="D1422" s="1" t="s">
        <v>2380</v>
      </c>
    </row>
    <row r="1423">
      <c r="A1423" s="1">
        <v>403.0</v>
      </c>
      <c r="B1423" s="1">
        <v>6.7062958E7</v>
      </c>
      <c r="C1423" s="1">
        <v>2.74569948E8</v>
      </c>
      <c r="D1423" s="1" t="s">
        <v>2382</v>
      </c>
    </row>
    <row r="1424">
      <c r="A1424" s="1">
        <v>194.0</v>
      </c>
      <c r="B1424" s="1">
        <v>6.7059524E7</v>
      </c>
      <c r="C1424" s="1">
        <v>2.74577414E8</v>
      </c>
      <c r="D1424" s="1" t="s">
        <v>2383</v>
      </c>
    </row>
    <row r="1425">
      <c r="A1425" s="1">
        <v>210.0</v>
      </c>
      <c r="B1425" s="1">
        <v>6.7030521E7</v>
      </c>
      <c r="C1425" s="1">
        <v>2.74685588E8</v>
      </c>
      <c r="D1425" s="1" t="s">
        <v>2385</v>
      </c>
    </row>
    <row r="1426">
      <c r="A1426" s="1">
        <v>571.0</v>
      </c>
      <c r="B1426" s="1">
        <v>6.6961501E7</v>
      </c>
      <c r="C1426" s="1">
        <v>2.74152052E8</v>
      </c>
      <c r="D1426" s="1" t="s">
        <v>2386</v>
      </c>
    </row>
    <row r="1427">
      <c r="A1427" s="1">
        <v>531.0</v>
      </c>
      <c r="B1427" s="1">
        <v>6.6950765E7</v>
      </c>
      <c r="C1427" s="1">
        <v>2.73903628E8</v>
      </c>
      <c r="D1427" s="1" t="s">
        <v>2388</v>
      </c>
    </row>
    <row r="1428">
      <c r="A1428" s="1">
        <v>173.0</v>
      </c>
      <c r="B1428" s="1">
        <v>6.693996E7</v>
      </c>
      <c r="C1428" s="1">
        <v>2.73961183E8</v>
      </c>
      <c r="D1428" s="1" t="s">
        <v>2390</v>
      </c>
    </row>
    <row r="1429">
      <c r="A1429" s="1">
        <v>403.0</v>
      </c>
      <c r="B1429" s="1">
        <v>6.6938037E7</v>
      </c>
      <c r="C1429" s="1">
        <v>2.73859733E8</v>
      </c>
      <c r="D1429" s="1" t="s">
        <v>2392</v>
      </c>
    </row>
    <row r="1430">
      <c r="A1430" s="1">
        <v>320.0</v>
      </c>
      <c r="B1430" s="1">
        <v>6.6937699E7</v>
      </c>
      <c r="C1430" s="1">
        <v>2.73885355E8</v>
      </c>
      <c r="D1430" s="1" t="s">
        <v>2393</v>
      </c>
    </row>
    <row r="1431">
      <c r="A1431" s="1">
        <v>337.0</v>
      </c>
      <c r="B1431" s="1">
        <v>6.6876434E7</v>
      </c>
      <c r="C1431" s="1">
        <v>2.7386904E8</v>
      </c>
      <c r="D1431" s="1" t="s">
        <v>2394</v>
      </c>
    </row>
    <row r="1432">
      <c r="A1432" s="1">
        <v>504.0</v>
      </c>
      <c r="B1432" s="1">
        <v>6.6860694E7</v>
      </c>
      <c r="C1432" s="1">
        <v>2.73413621E8</v>
      </c>
      <c r="D1432" s="1" t="s">
        <v>2395</v>
      </c>
    </row>
    <row r="1433">
      <c r="A1433" s="1">
        <v>288.0</v>
      </c>
      <c r="B1433" s="1">
        <v>6.6852278E7</v>
      </c>
      <c r="C1433" s="1">
        <v>2.73899602E8</v>
      </c>
      <c r="D1433" s="1" t="s">
        <v>2396</v>
      </c>
    </row>
    <row r="1434">
      <c r="A1434" s="1">
        <v>409.0</v>
      </c>
      <c r="B1434" s="1">
        <v>6.6816738E7</v>
      </c>
      <c r="C1434" s="1">
        <v>2.7343198E8</v>
      </c>
      <c r="D1434" s="1" t="s">
        <v>2398</v>
      </c>
    </row>
    <row r="1435">
      <c r="A1435" s="1">
        <v>492.0</v>
      </c>
      <c r="B1435" s="1">
        <v>6.6796359E7</v>
      </c>
      <c r="C1435" s="1">
        <v>2.73333338E8</v>
      </c>
      <c r="D1435" s="1" t="s">
        <v>2400</v>
      </c>
    </row>
    <row r="1436">
      <c r="A1436" s="1">
        <v>404.0</v>
      </c>
      <c r="B1436" s="1">
        <v>6.6796112E7</v>
      </c>
      <c r="C1436" s="1">
        <v>2.73239355E8</v>
      </c>
      <c r="D1436" s="1" t="s">
        <v>1999</v>
      </c>
    </row>
    <row r="1437">
      <c r="A1437" s="1">
        <v>715.0</v>
      </c>
      <c r="B1437" s="1">
        <v>6.6777486E7</v>
      </c>
      <c r="C1437" s="1">
        <v>2.73249341E8</v>
      </c>
      <c r="D1437" s="1" t="s">
        <v>2403</v>
      </c>
    </row>
    <row r="1438">
      <c r="A1438" s="1">
        <v>392.0</v>
      </c>
      <c r="B1438" s="1">
        <v>6.6763153E7</v>
      </c>
      <c r="C1438" s="1">
        <v>2.73230779E8</v>
      </c>
      <c r="D1438" s="1" t="s">
        <v>2404</v>
      </c>
    </row>
    <row r="1439">
      <c r="A1439" s="1">
        <v>215.0</v>
      </c>
      <c r="B1439" s="1">
        <v>6.6707488E7</v>
      </c>
      <c r="C1439" s="1">
        <v>2.72813413E8</v>
      </c>
      <c r="D1439" s="1" t="s">
        <v>2406</v>
      </c>
    </row>
    <row r="1440">
      <c r="A1440" s="1">
        <v>578.0</v>
      </c>
      <c r="B1440" s="1">
        <v>6.6689505E7</v>
      </c>
      <c r="C1440" s="1">
        <v>2.7322461E8</v>
      </c>
      <c r="D1440" s="1" t="s">
        <v>2407</v>
      </c>
    </row>
    <row r="1441">
      <c r="A1441" s="1">
        <v>571.0</v>
      </c>
      <c r="B1441" s="1">
        <v>6.6644598E7</v>
      </c>
      <c r="C1441" s="1">
        <v>2.72560639E8</v>
      </c>
      <c r="D1441" s="1" t="s">
        <v>2410</v>
      </c>
    </row>
    <row r="1442">
      <c r="A1442" s="1">
        <v>716.0</v>
      </c>
      <c r="B1442" s="1">
        <v>6.6636344E7</v>
      </c>
      <c r="C1442" s="1">
        <v>2.72700596E8</v>
      </c>
      <c r="D1442" s="1" t="s">
        <v>2411</v>
      </c>
    </row>
    <row r="1443">
      <c r="A1443" s="1">
        <v>578.0</v>
      </c>
      <c r="B1443" s="1">
        <v>6.6623133E7</v>
      </c>
      <c r="C1443" s="1">
        <v>2.72251843E8</v>
      </c>
      <c r="D1443" s="1" t="s">
        <v>2412</v>
      </c>
    </row>
    <row r="1444">
      <c r="A1444" s="1">
        <v>656.0</v>
      </c>
      <c r="B1444" s="1">
        <v>6.6614835E7</v>
      </c>
      <c r="C1444" s="1">
        <v>2.72284651E8</v>
      </c>
      <c r="D1444" s="1" t="s">
        <v>2413</v>
      </c>
    </row>
    <row r="1445">
      <c r="A1445" s="1">
        <v>319.0</v>
      </c>
      <c r="B1445" s="1">
        <v>6.6600767E7</v>
      </c>
      <c r="C1445" s="1">
        <v>2.72241067E8</v>
      </c>
      <c r="D1445" s="1" t="s">
        <v>467</v>
      </c>
    </row>
    <row r="1446">
      <c r="A1446" s="1">
        <v>569.0</v>
      </c>
      <c r="B1446" s="1">
        <v>6.6575055E7</v>
      </c>
      <c r="C1446" s="1">
        <v>2.72065075E8</v>
      </c>
      <c r="D1446" s="1" t="s">
        <v>756</v>
      </c>
    </row>
    <row r="1447">
      <c r="A1447" s="1">
        <v>672.0</v>
      </c>
      <c r="B1447" s="1">
        <v>6.6537054E7</v>
      </c>
      <c r="C1447" s="1">
        <v>2.71859252E8</v>
      </c>
      <c r="D1447" s="1" t="s">
        <v>2414</v>
      </c>
    </row>
    <row r="1448">
      <c r="A1448" s="1">
        <v>716.0</v>
      </c>
      <c r="B1448" s="1">
        <v>6.6523659E7</v>
      </c>
      <c r="C1448" s="1">
        <v>2.7186791E8</v>
      </c>
      <c r="D1448" s="1" t="s">
        <v>2415</v>
      </c>
    </row>
    <row r="1449">
      <c r="A1449" s="1">
        <v>716.0</v>
      </c>
      <c r="B1449" s="1">
        <v>6.6462073E7</v>
      </c>
      <c r="C1449" s="1">
        <v>2.71909069E8</v>
      </c>
      <c r="D1449" s="1" t="s">
        <v>1397</v>
      </c>
    </row>
    <row r="1450">
      <c r="A1450" s="1">
        <v>578.0</v>
      </c>
      <c r="B1450" s="1">
        <v>6.6450386E7</v>
      </c>
      <c r="C1450" s="1">
        <v>2.71659767E8</v>
      </c>
      <c r="D1450" s="1" t="s">
        <v>2417</v>
      </c>
    </row>
    <row r="1451">
      <c r="A1451" s="1">
        <v>667.0</v>
      </c>
      <c r="B1451" s="1">
        <v>6.6380535E7</v>
      </c>
      <c r="C1451" s="1">
        <v>2.71112049E8</v>
      </c>
      <c r="D1451" s="1" t="s">
        <v>2418</v>
      </c>
    </row>
    <row r="1452">
      <c r="A1452" s="1">
        <v>570.0</v>
      </c>
      <c r="B1452" s="1">
        <v>6.6352091E7</v>
      </c>
      <c r="C1452" s="1">
        <v>2.71096533E8</v>
      </c>
      <c r="D1452" s="1" t="s">
        <v>2419</v>
      </c>
    </row>
    <row r="1453">
      <c r="A1453" s="1">
        <v>426.0</v>
      </c>
      <c r="B1453" s="1">
        <v>6.6338042E7</v>
      </c>
      <c r="C1453" s="1">
        <v>2.71105923E8</v>
      </c>
      <c r="D1453" s="1" t="s">
        <v>1324</v>
      </c>
    </row>
    <row r="1454">
      <c r="A1454" s="1">
        <v>355.0</v>
      </c>
      <c r="B1454" s="1">
        <v>6.6300816E7</v>
      </c>
      <c r="C1454" s="1">
        <v>2.70729471E8</v>
      </c>
      <c r="D1454" s="1" t="s">
        <v>2420</v>
      </c>
    </row>
    <row r="1455">
      <c r="A1455" s="1">
        <v>587.0</v>
      </c>
      <c r="B1455" s="1">
        <v>6.6290157E7</v>
      </c>
      <c r="C1455" s="1">
        <v>2.70700801E8</v>
      </c>
      <c r="D1455" s="1" t="s">
        <v>2421</v>
      </c>
    </row>
    <row r="1456">
      <c r="A1456" s="1">
        <v>194.0</v>
      </c>
      <c r="B1456" s="1">
        <v>6.624065E7</v>
      </c>
      <c r="C1456" s="1">
        <v>2.7051382E8</v>
      </c>
      <c r="D1456" s="1" t="s">
        <v>2422</v>
      </c>
    </row>
    <row r="1457">
      <c r="A1457" s="1">
        <v>696.0</v>
      </c>
      <c r="B1457" s="1">
        <v>6.6234666E7</v>
      </c>
      <c r="C1457" s="1">
        <v>2.70465803E8</v>
      </c>
      <c r="D1457" s="1" t="s">
        <v>2423</v>
      </c>
    </row>
    <row r="1458">
      <c r="A1458" s="1">
        <v>576.0</v>
      </c>
      <c r="B1458" s="1">
        <v>6.6213118E7</v>
      </c>
      <c r="C1458" s="1">
        <v>2.70276934E8</v>
      </c>
      <c r="D1458" s="1" t="s">
        <v>2425</v>
      </c>
    </row>
    <row r="1459">
      <c r="A1459" s="1">
        <v>586.0</v>
      </c>
      <c r="B1459" s="1">
        <v>6.6116574E7</v>
      </c>
      <c r="C1459" s="1">
        <v>2.70087285E8</v>
      </c>
      <c r="D1459" s="1" t="s">
        <v>2426</v>
      </c>
    </row>
    <row r="1460">
      <c r="A1460" s="1">
        <v>484.0</v>
      </c>
      <c r="B1460" s="1">
        <v>6.6107367E7</v>
      </c>
      <c r="C1460" s="1">
        <v>2.69806105E8</v>
      </c>
      <c r="D1460" s="1" t="s">
        <v>2427</v>
      </c>
    </row>
    <row r="1461">
      <c r="A1461" s="1">
        <v>484.0</v>
      </c>
      <c r="B1461" s="1">
        <v>6.6088183E7</v>
      </c>
      <c r="C1461" s="1">
        <v>2.69797322E8</v>
      </c>
      <c r="D1461" s="1" t="s">
        <v>2428</v>
      </c>
    </row>
    <row r="1462">
      <c r="A1462" s="1">
        <v>194.0</v>
      </c>
      <c r="B1462" s="1">
        <v>6.6087953E7</v>
      </c>
      <c r="C1462" s="1">
        <v>2.69853978E8</v>
      </c>
      <c r="D1462" s="1" t="s">
        <v>2430</v>
      </c>
    </row>
    <row r="1463">
      <c r="A1463" s="1">
        <v>601.0</v>
      </c>
      <c r="B1463" s="1">
        <v>6.6055754E7</v>
      </c>
      <c r="C1463" s="1">
        <v>2.69840637E8</v>
      </c>
      <c r="D1463" s="1" t="s">
        <v>2432</v>
      </c>
    </row>
    <row r="1464">
      <c r="A1464" s="1">
        <v>671.0</v>
      </c>
      <c r="B1464" s="1">
        <v>6.6052611E7</v>
      </c>
      <c r="C1464" s="1">
        <v>2.69638376E8</v>
      </c>
      <c r="D1464" s="1" t="s">
        <v>2433</v>
      </c>
    </row>
    <row r="1465">
      <c r="A1465" s="1">
        <v>713.0</v>
      </c>
      <c r="B1465" s="1">
        <v>6.6009874E7</v>
      </c>
      <c r="C1465" s="1">
        <v>2.69618894E8</v>
      </c>
      <c r="D1465" s="1" t="s">
        <v>2435</v>
      </c>
    </row>
    <row r="1466">
      <c r="A1466" s="1">
        <v>671.0</v>
      </c>
      <c r="B1466" s="1">
        <v>6.5999206E7</v>
      </c>
      <c r="C1466" s="1">
        <v>2.69200491E8</v>
      </c>
      <c r="D1466" s="1" t="s">
        <v>2436</v>
      </c>
    </row>
    <row r="1467">
      <c r="A1467" s="1">
        <v>531.0</v>
      </c>
      <c r="B1467" s="1">
        <v>6.5950395E7</v>
      </c>
      <c r="C1467" s="1">
        <v>2.69006955E8</v>
      </c>
      <c r="D1467" s="1" t="s">
        <v>2439</v>
      </c>
    </row>
    <row r="1468">
      <c r="A1468" s="1">
        <v>355.0</v>
      </c>
      <c r="B1468" s="1">
        <v>6.5940158E7</v>
      </c>
      <c r="C1468" s="1">
        <v>2.6923134E8</v>
      </c>
      <c r="D1468" s="1" t="s">
        <v>2440</v>
      </c>
    </row>
    <row r="1469">
      <c r="A1469" s="1">
        <v>320.0</v>
      </c>
      <c r="B1469" s="1">
        <v>6.5929957E7</v>
      </c>
      <c r="C1469" s="1">
        <v>2.69362439E8</v>
      </c>
      <c r="D1469" s="1" t="s">
        <v>2441</v>
      </c>
    </row>
    <row r="1470">
      <c r="A1470" s="1">
        <v>173.0</v>
      </c>
      <c r="B1470" s="1">
        <v>6.5904589E7</v>
      </c>
      <c r="C1470" s="1">
        <v>2.68839033E8</v>
      </c>
      <c r="D1470" s="1" t="s">
        <v>828</v>
      </c>
    </row>
    <row r="1471">
      <c r="A1471" s="1">
        <v>404.0</v>
      </c>
      <c r="B1471" s="1">
        <v>6.5901882E7</v>
      </c>
      <c r="C1471" s="1">
        <v>2.69860048E8</v>
      </c>
      <c r="D1471" s="1" t="s">
        <v>943</v>
      </c>
    </row>
    <row r="1472">
      <c r="A1472" s="1">
        <v>492.0</v>
      </c>
      <c r="B1472" s="1">
        <v>6.5841134E7</v>
      </c>
      <c r="C1472" s="1">
        <v>2.68671912E8</v>
      </c>
      <c r="D1472" s="1" t="s">
        <v>779</v>
      </c>
    </row>
    <row r="1473">
      <c r="A1473" s="1">
        <v>571.0</v>
      </c>
      <c r="B1473" s="1">
        <v>6.5834759E7</v>
      </c>
      <c r="C1473" s="1">
        <v>2.68727845E8</v>
      </c>
      <c r="D1473" s="1" t="s">
        <v>2445</v>
      </c>
    </row>
    <row r="1474">
      <c r="A1474" s="1">
        <v>215.0</v>
      </c>
      <c r="B1474" s="1">
        <v>6.5816911E7</v>
      </c>
      <c r="C1474" s="1">
        <v>2.68688695E8</v>
      </c>
      <c r="D1474" s="1" t="s">
        <v>2446</v>
      </c>
    </row>
    <row r="1475">
      <c r="A1475" s="1">
        <v>403.0</v>
      </c>
      <c r="B1475" s="1">
        <v>6.5798127E7</v>
      </c>
      <c r="C1475" s="1">
        <v>4.64609854E8</v>
      </c>
      <c r="D1475" s="1" t="s">
        <v>2448</v>
      </c>
    </row>
    <row r="1476">
      <c r="A1476" s="1">
        <v>504.0</v>
      </c>
      <c r="B1476" s="1">
        <v>6.576971E7</v>
      </c>
      <c r="C1476" s="1">
        <v>2.68375958E8</v>
      </c>
      <c r="D1476" s="1" t="s">
        <v>2450</v>
      </c>
    </row>
    <row r="1477">
      <c r="A1477" s="1">
        <v>173.0</v>
      </c>
      <c r="B1477" s="1">
        <v>6.5747274E7</v>
      </c>
      <c r="C1477" s="1">
        <v>2.68119809E8</v>
      </c>
      <c r="D1477" s="1" t="s">
        <v>2452</v>
      </c>
    </row>
    <row r="1478">
      <c r="A1478" s="1">
        <v>406.0</v>
      </c>
      <c r="B1478" s="1">
        <v>6.5728405E7</v>
      </c>
      <c r="C1478" s="1">
        <v>2.68144143E8</v>
      </c>
      <c r="D1478" s="1" t="s">
        <v>2454</v>
      </c>
    </row>
    <row r="1479">
      <c r="A1479" s="1">
        <v>194.0</v>
      </c>
      <c r="B1479" s="1">
        <v>6.5727691E7</v>
      </c>
      <c r="C1479" s="1">
        <v>2.68346748E8</v>
      </c>
      <c r="D1479" s="1" t="s">
        <v>2456</v>
      </c>
    </row>
    <row r="1480">
      <c r="A1480" s="1">
        <v>571.0</v>
      </c>
      <c r="B1480" s="1">
        <v>6.5703215E7</v>
      </c>
      <c r="C1480" s="1">
        <v>2.67957124E8</v>
      </c>
      <c r="D1480" s="1" t="s">
        <v>2457</v>
      </c>
    </row>
    <row r="1481">
      <c r="A1481" s="1">
        <v>667.0</v>
      </c>
      <c r="B1481" s="1">
        <v>6.570171E7</v>
      </c>
      <c r="C1481" s="1">
        <v>2.67867803E8</v>
      </c>
      <c r="D1481" s="1" t="s">
        <v>2459</v>
      </c>
    </row>
    <row r="1482">
      <c r="A1482" s="1">
        <v>353.0</v>
      </c>
      <c r="B1482" s="1">
        <v>6.5699362E7</v>
      </c>
      <c r="C1482" s="1">
        <v>2.67908221E8</v>
      </c>
      <c r="D1482" s="1" t="s">
        <v>2461</v>
      </c>
    </row>
    <row r="1483">
      <c r="A1483" s="1">
        <v>601.0</v>
      </c>
      <c r="B1483" s="1">
        <v>6.5666379E7</v>
      </c>
      <c r="C1483" s="1">
        <v>2.67675059E8</v>
      </c>
      <c r="D1483" s="1" t="s">
        <v>2462</v>
      </c>
    </row>
    <row r="1484">
      <c r="A1484" s="1">
        <v>173.0</v>
      </c>
      <c r="B1484" s="1">
        <v>6.5660003E7</v>
      </c>
      <c r="C1484" s="1">
        <v>2.67740012E8</v>
      </c>
      <c r="D1484" s="1" t="s">
        <v>2464</v>
      </c>
    </row>
    <row r="1485">
      <c r="A1485" s="1">
        <v>215.0</v>
      </c>
      <c r="B1485" s="1">
        <v>6.5610026E7</v>
      </c>
      <c r="C1485" s="1">
        <v>2.67555895E8</v>
      </c>
      <c r="D1485" s="1" t="s">
        <v>2466</v>
      </c>
    </row>
    <row r="1486">
      <c r="A1486" s="1">
        <v>571.0</v>
      </c>
      <c r="B1486" s="1">
        <v>6.5596723E7</v>
      </c>
      <c r="C1486" s="1">
        <v>2.67363767E8</v>
      </c>
      <c r="D1486" s="1" t="s">
        <v>2467</v>
      </c>
    </row>
    <row r="1487">
      <c r="A1487" s="1">
        <v>578.0</v>
      </c>
      <c r="B1487" s="1">
        <v>6.5498841E7</v>
      </c>
      <c r="C1487" s="1">
        <v>2.66926831E8</v>
      </c>
      <c r="D1487" s="1" t="s">
        <v>149</v>
      </c>
    </row>
    <row r="1488">
      <c r="A1488" s="1">
        <v>210.0</v>
      </c>
      <c r="B1488" s="1">
        <v>6.547538E7</v>
      </c>
      <c r="C1488" s="1">
        <v>2.66959258E8</v>
      </c>
      <c r="D1488" s="1" t="s">
        <v>506</v>
      </c>
    </row>
    <row r="1489">
      <c r="A1489" s="1">
        <v>578.0</v>
      </c>
      <c r="B1489" s="1">
        <v>6.5405365E7</v>
      </c>
      <c r="C1489" s="1">
        <v>2.66491082E8</v>
      </c>
      <c r="D1489" s="1" t="s">
        <v>2468</v>
      </c>
    </row>
    <row r="1490">
      <c r="A1490" s="1">
        <v>355.0</v>
      </c>
      <c r="B1490" s="1">
        <v>6.5401017E7</v>
      </c>
      <c r="C1490" s="1">
        <v>2.66492559E8</v>
      </c>
      <c r="D1490" s="1" t="s">
        <v>2470</v>
      </c>
    </row>
    <row r="1491">
      <c r="A1491" s="1">
        <v>679.0</v>
      </c>
      <c r="B1491" s="1">
        <v>6.5399268E7</v>
      </c>
      <c r="C1491" s="1">
        <v>2.66490248E8</v>
      </c>
      <c r="D1491" s="1" t="s">
        <v>2472</v>
      </c>
    </row>
    <row r="1492">
      <c r="A1492" s="1">
        <v>571.0</v>
      </c>
      <c r="B1492" s="1">
        <v>6.5347285E7</v>
      </c>
      <c r="C1492" s="1">
        <v>2.6613699E8</v>
      </c>
      <c r="D1492" s="1" t="s">
        <v>2474</v>
      </c>
    </row>
    <row r="1493">
      <c r="A1493" s="1">
        <v>601.0</v>
      </c>
      <c r="B1493" s="1">
        <v>6.5332894E7</v>
      </c>
      <c r="C1493" s="1">
        <v>3.59550256E8</v>
      </c>
      <c r="D1493" s="1" t="s">
        <v>2475</v>
      </c>
    </row>
    <row r="1494">
      <c r="A1494" s="1">
        <v>575.0</v>
      </c>
      <c r="B1494" s="1">
        <v>6.5325068E7</v>
      </c>
      <c r="C1494" s="1">
        <v>2.65962614E8</v>
      </c>
      <c r="D1494" s="1" t="s">
        <v>2476</v>
      </c>
    </row>
    <row r="1495">
      <c r="A1495" s="1">
        <v>578.0</v>
      </c>
      <c r="B1495" s="1">
        <v>6.525298E7</v>
      </c>
      <c r="C1495" s="1">
        <v>2.6577071E8</v>
      </c>
      <c r="D1495" s="1" t="s">
        <v>2477</v>
      </c>
    </row>
    <row r="1496">
      <c r="A1496" s="1">
        <v>504.0</v>
      </c>
      <c r="B1496" s="1">
        <v>6.5248361E7</v>
      </c>
      <c r="C1496" s="1">
        <v>2.65717703E8</v>
      </c>
      <c r="D1496" s="1" t="s">
        <v>2479</v>
      </c>
    </row>
    <row r="1497">
      <c r="A1497" s="1">
        <v>645.0</v>
      </c>
      <c r="B1497" s="1">
        <v>6.5247872E7</v>
      </c>
      <c r="C1497" s="1">
        <v>2.65781795E8</v>
      </c>
      <c r="D1497" s="1" t="s">
        <v>2480</v>
      </c>
    </row>
    <row r="1498">
      <c r="A1498" s="1">
        <v>664.0</v>
      </c>
      <c r="B1498" s="1">
        <v>6.5245507E7</v>
      </c>
      <c r="C1498" s="1">
        <v>2.65788019E8</v>
      </c>
      <c r="D1498" s="1" t="s">
        <v>2482</v>
      </c>
    </row>
    <row r="1499">
      <c r="A1499" s="1">
        <v>717.0</v>
      </c>
      <c r="B1499" s="1">
        <v>6.5181022E7</v>
      </c>
      <c r="C1499" s="1">
        <v>2.65503287E8</v>
      </c>
      <c r="D1499" s="1" t="s">
        <v>2483</v>
      </c>
    </row>
    <row r="1500">
      <c r="A1500" s="1">
        <v>484.0</v>
      </c>
      <c r="B1500" s="1">
        <v>6.5157937E7</v>
      </c>
      <c r="C1500" s="1">
        <v>2.65205789E8</v>
      </c>
      <c r="D1500" s="1" t="s">
        <v>2484</v>
      </c>
    </row>
    <row r="1501">
      <c r="A1501" s="1">
        <v>365.0</v>
      </c>
      <c r="B1501" s="1">
        <v>6.5148096E7</v>
      </c>
      <c r="C1501" s="1">
        <v>2.65540832E8</v>
      </c>
      <c r="D1501" s="1" t="s">
        <v>2016</v>
      </c>
    </row>
    <row r="1502">
      <c r="A1502" s="1">
        <v>120.0</v>
      </c>
      <c r="B1502" s="1">
        <v>6.5107627E7</v>
      </c>
      <c r="C1502" s="1">
        <v>2.64992129E8</v>
      </c>
      <c r="D1502" s="1" t="s">
        <v>2488</v>
      </c>
    </row>
    <row r="1503">
      <c r="A1503" s="1">
        <v>604.0</v>
      </c>
      <c r="B1503" s="1">
        <v>6.5094536E7</v>
      </c>
      <c r="C1503" s="1">
        <v>2.65590404E8</v>
      </c>
      <c r="D1503" s="1" t="s">
        <v>1429</v>
      </c>
    </row>
    <row r="1504">
      <c r="A1504" s="1">
        <v>610.0</v>
      </c>
      <c r="B1504" s="1">
        <v>6.5091407E7</v>
      </c>
      <c r="C1504" s="1">
        <v>3.86028302E8</v>
      </c>
      <c r="D1504" s="1" t="s">
        <v>2489</v>
      </c>
    </row>
    <row r="1505">
      <c r="A1505" s="1">
        <v>531.0</v>
      </c>
      <c r="B1505" s="1">
        <v>6.5042819E7</v>
      </c>
      <c r="C1505" s="1">
        <v>2.64703457E8</v>
      </c>
      <c r="D1505" s="1" t="s">
        <v>2207</v>
      </c>
    </row>
    <row r="1506">
      <c r="A1506" s="1">
        <v>173.0</v>
      </c>
      <c r="B1506" s="1">
        <v>6.4923629E7</v>
      </c>
      <c r="C1506" s="1">
        <v>2.64197692E8</v>
      </c>
      <c r="D1506" s="1" t="s">
        <v>2491</v>
      </c>
    </row>
    <row r="1507">
      <c r="A1507" s="1">
        <v>630.0</v>
      </c>
      <c r="B1507" s="1">
        <v>6.4876014E7</v>
      </c>
      <c r="C1507" s="1">
        <v>4.18234726E8</v>
      </c>
      <c r="D1507" s="1" t="s">
        <v>2222</v>
      </c>
    </row>
    <row r="1508">
      <c r="A1508" s="1">
        <v>194.0</v>
      </c>
      <c r="B1508" s="1">
        <v>6.4865836E7</v>
      </c>
      <c r="C1508" s="1">
        <v>2.63938124E8</v>
      </c>
      <c r="D1508" s="1" t="s">
        <v>2493</v>
      </c>
    </row>
    <row r="1509">
      <c r="A1509" s="1">
        <v>602.0</v>
      </c>
      <c r="B1509" s="1">
        <v>6.4854975E7</v>
      </c>
      <c r="C1509" s="1">
        <v>2.6396475E8</v>
      </c>
      <c r="D1509" s="1" t="s">
        <v>1003</v>
      </c>
    </row>
    <row r="1510">
      <c r="A1510" s="1">
        <v>320.0</v>
      </c>
      <c r="B1510" s="1">
        <v>6.4776281E7</v>
      </c>
      <c r="C1510" s="1">
        <v>2.63589877E8</v>
      </c>
      <c r="D1510" s="1" t="s">
        <v>2496</v>
      </c>
    </row>
    <row r="1511">
      <c r="A1511" s="1">
        <v>355.0</v>
      </c>
      <c r="B1511" s="1">
        <v>6.4741197E7</v>
      </c>
      <c r="C1511" s="1">
        <v>2.63482481E8</v>
      </c>
      <c r="D1511" s="1" t="s">
        <v>2498</v>
      </c>
    </row>
    <row r="1512">
      <c r="A1512" s="1">
        <v>571.0</v>
      </c>
      <c r="B1512" s="1">
        <v>6.473099E7</v>
      </c>
      <c r="C1512" s="1">
        <v>2.63427661E8</v>
      </c>
      <c r="D1512" s="1" t="s">
        <v>2499</v>
      </c>
    </row>
    <row r="1513">
      <c r="A1513" s="1">
        <v>571.0</v>
      </c>
      <c r="B1513" s="1">
        <v>6.4708924E7</v>
      </c>
      <c r="C1513" s="1">
        <v>2.63457488E8</v>
      </c>
      <c r="D1513" s="1" t="s">
        <v>746</v>
      </c>
    </row>
    <row r="1514">
      <c r="A1514" s="1">
        <v>319.0</v>
      </c>
      <c r="B1514" s="1">
        <v>6.4637829E7</v>
      </c>
      <c r="C1514" s="1">
        <v>2.62898741E8</v>
      </c>
      <c r="D1514" s="1" t="s">
        <v>2502</v>
      </c>
    </row>
    <row r="1515">
      <c r="A1515" s="1">
        <v>571.0</v>
      </c>
      <c r="B1515" s="1">
        <v>6.4554452E7</v>
      </c>
      <c r="C1515" s="1">
        <v>3.79072981E8</v>
      </c>
      <c r="D1515" s="1" t="s">
        <v>2507</v>
      </c>
    </row>
    <row r="1516">
      <c r="A1516" s="1">
        <v>575.0</v>
      </c>
      <c r="B1516" s="1">
        <v>6.4546036E7</v>
      </c>
      <c r="C1516" s="1">
        <v>2.62494681E8</v>
      </c>
      <c r="D1516" s="1" t="s">
        <v>2509</v>
      </c>
    </row>
    <row r="1517">
      <c r="A1517" s="1">
        <v>173.0</v>
      </c>
      <c r="B1517" s="1">
        <v>6.45376E7</v>
      </c>
      <c r="C1517" s="1">
        <v>2.62750757E8</v>
      </c>
      <c r="D1517" s="1" t="s">
        <v>2511</v>
      </c>
    </row>
    <row r="1518">
      <c r="A1518" s="1">
        <v>531.0</v>
      </c>
      <c r="B1518" s="1">
        <v>6.4505243E7</v>
      </c>
      <c r="C1518" s="1">
        <v>2.62215709E8</v>
      </c>
      <c r="D1518" s="1" t="s">
        <v>2513</v>
      </c>
    </row>
    <row r="1519">
      <c r="A1519" s="1">
        <v>319.0</v>
      </c>
      <c r="B1519" s="1">
        <v>6.4483605E7</v>
      </c>
      <c r="C1519" s="1">
        <v>2.62052098E8</v>
      </c>
      <c r="D1519" s="1" t="s">
        <v>2514</v>
      </c>
    </row>
    <row r="1520">
      <c r="A1520" s="1">
        <v>664.0</v>
      </c>
      <c r="B1520" s="1">
        <v>6.4437691E7</v>
      </c>
      <c r="C1520" s="1">
        <v>2.61937909E8</v>
      </c>
      <c r="D1520" s="1" t="s">
        <v>2516</v>
      </c>
    </row>
    <row r="1521">
      <c r="A1521" s="1">
        <v>173.0</v>
      </c>
      <c r="B1521" s="1">
        <v>6.4415194E7</v>
      </c>
      <c r="C1521" s="1">
        <v>2.61747164E8</v>
      </c>
      <c r="D1521" s="1" t="s">
        <v>2518</v>
      </c>
    </row>
    <row r="1522">
      <c r="A1522" s="1">
        <v>173.0</v>
      </c>
      <c r="B1522" s="1">
        <v>6.4366373E7</v>
      </c>
      <c r="C1522" s="1">
        <v>2.61719439E8</v>
      </c>
      <c r="D1522" s="1" t="s">
        <v>2519</v>
      </c>
    </row>
    <row r="1523">
      <c r="A1523" s="1">
        <v>674.0</v>
      </c>
      <c r="B1523" s="1">
        <v>6.4365731E7</v>
      </c>
      <c r="C1523" s="1">
        <v>4.26289994E8</v>
      </c>
      <c r="D1523" s="1" t="s">
        <v>2521</v>
      </c>
    </row>
    <row r="1524">
      <c r="A1524" s="1">
        <v>215.0</v>
      </c>
      <c r="B1524" s="1">
        <v>6.4323696E7</v>
      </c>
      <c r="C1524" s="1">
        <v>2.62113524E8</v>
      </c>
      <c r="D1524" s="1" t="s">
        <v>2522</v>
      </c>
    </row>
    <row r="1525">
      <c r="A1525" s="1">
        <v>625.0</v>
      </c>
      <c r="B1525" s="1">
        <v>6.4263432E7</v>
      </c>
      <c r="C1525" s="1">
        <v>2.61022858E8</v>
      </c>
      <c r="D1525" s="1" t="s">
        <v>2523</v>
      </c>
    </row>
    <row r="1526">
      <c r="A1526" s="1">
        <v>716.0</v>
      </c>
      <c r="B1526" s="1">
        <v>6.4256016E7</v>
      </c>
      <c r="C1526" s="1">
        <v>2.6103068E8</v>
      </c>
      <c r="D1526" s="1" t="s">
        <v>2524</v>
      </c>
    </row>
    <row r="1527">
      <c r="A1527" s="1">
        <v>571.0</v>
      </c>
      <c r="B1527" s="1">
        <v>6.4230792E7</v>
      </c>
      <c r="C1527" s="1">
        <v>2.60960227E8</v>
      </c>
      <c r="D1527" s="1" t="s">
        <v>2525</v>
      </c>
    </row>
    <row r="1528">
      <c r="A1528" s="1">
        <v>593.0</v>
      </c>
      <c r="B1528" s="1">
        <v>6.4172684E7</v>
      </c>
      <c r="C1528" s="1">
        <v>2.60735696E8</v>
      </c>
      <c r="D1528" s="1" t="s">
        <v>2526</v>
      </c>
    </row>
    <row r="1529">
      <c r="A1529" s="1">
        <v>671.0</v>
      </c>
      <c r="B1529" s="1">
        <v>6.416853E7</v>
      </c>
      <c r="C1529" s="1">
        <v>2.73274793E8</v>
      </c>
      <c r="D1529" s="1" t="s">
        <v>2527</v>
      </c>
    </row>
    <row r="1530">
      <c r="A1530" s="1">
        <v>129.0</v>
      </c>
      <c r="B1530" s="1">
        <v>6.4154692E7</v>
      </c>
      <c r="C1530" s="1">
        <v>2.60540544E8</v>
      </c>
      <c r="D1530" s="1" t="s">
        <v>989</v>
      </c>
    </row>
    <row r="1531">
      <c r="A1531" s="1">
        <v>173.0</v>
      </c>
      <c r="B1531" s="1">
        <v>6.4135587E7</v>
      </c>
      <c r="C1531" s="1">
        <v>2.60589464E8</v>
      </c>
      <c r="D1531" s="1" t="s">
        <v>2528</v>
      </c>
    </row>
    <row r="1532">
      <c r="A1532" s="1">
        <v>604.0</v>
      </c>
      <c r="B1532" s="1">
        <v>6.4113362E7</v>
      </c>
      <c r="C1532" s="1">
        <v>2.60388498E8</v>
      </c>
      <c r="D1532" s="1" t="s">
        <v>1995</v>
      </c>
    </row>
    <row r="1533">
      <c r="A1533" s="1">
        <v>173.0</v>
      </c>
      <c r="B1533" s="1">
        <v>6.4067172E7</v>
      </c>
      <c r="C1533" s="1">
        <v>2.60172817E8</v>
      </c>
      <c r="D1533" s="1" t="s">
        <v>68</v>
      </c>
    </row>
    <row r="1534">
      <c r="A1534" s="1">
        <v>392.0</v>
      </c>
      <c r="B1534" s="1">
        <v>6.4041278E7</v>
      </c>
      <c r="C1534" s="1">
        <v>2.59980921E8</v>
      </c>
      <c r="D1534" s="1" t="s">
        <v>2529</v>
      </c>
    </row>
    <row r="1535">
      <c r="A1535" s="1">
        <v>602.0</v>
      </c>
      <c r="B1535" s="1">
        <v>6.3988199E7</v>
      </c>
      <c r="C1535" s="1">
        <v>2.5971688E8</v>
      </c>
      <c r="D1535" s="1" t="s">
        <v>2530</v>
      </c>
    </row>
    <row r="1536">
      <c r="A1536" s="1">
        <v>586.0</v>
      </c>
      <c r="B1536" s="1">
        <v>6.3936561E7</v>
      </c>
      <c r="C1536" s="1">
        <v>2.59579435E8</v>
      </c>
      <c r="D1536" s="1" t="s">
        <v>2531</v>
      </c>
    </row>
    <row r="1537">
      <c r="A1537" s="1">
        <v>654.0</v>
      </c>
      <c r="B1537" s="1">
        <v>6.3931668E7</v>
      </c>
      <c r="C1537" s="1">
        <v>2.59553432E8</v>
      </c>
      <c r="D1537" s="1" t="s">
        <v>2532</v>
      </c>
    </row>
    <row r="1538">
      <c r="A1538" s="1">
        <v>215.0</v>
      </c>
      <c r="B1538" s="1">
        <v>6.3917482E7</v>
      </c>
      <c r="C1538" s="1">
        <v>2.59778011E8</v>
      </c>
      <c r="D1538" s="1" t="s">
        <v>2533</v>
      </c>
    </row>
    <row r="1539">
      <c r="A1539" s="1">
        <v>671.0</v>
      </c>
      <c r="B1539" s="1">
        <v>6.3916866E7</v>
      </c>
      <c r="C1539" s="1">
        <v>2.59407471E8</v>
      </c>
      <c r="D1539" s="1" t="s">
        <v>2534</v>
      </c>
    </row>
    <row r="1540">
      <c r="A1540" s="1">
        <v>421.0</v>
      </c>
      <c r="B1540" s="1">
        <v>6.390187E7</v>
      </c>
      <c r="C1540" s="1">
        <v>2.59857937E8</v>
      </c>
      <c r="D1540" s="1" t="s">
        <v>2535</v>
      </c>
    </row>
    <row r="1541">
      <c r="A1541" s="1">
        <v>173.0</v>
      </c>
      <c r="B1541" s="1">
        <v>6.3900712E7</v>
      </c>
      <c r="C1541" s="1">
        <v>2.59430824E8</v>
      </c>
      <c r="D1541" s="1" t="s">
        <v>2536</v>
      </c>
    </row>
    <row r="1542">
      <c r="A1542" s="1">
        <v>179.0</v>
      </c>
      <c r="B1542" s="1">
        <v>6.3891852E7</v>
      </c>
      <c r="C1542" s="1">
        <v>2.59368212E8</v>
      </c>
      <c r="D1542" s="1" t="s">
        <v>1384</v>
      </c>
    </row>
    <row r="1543">
      <c r="A1543" s="1">
        <v>671.0</v>
      </c>
      <c r="B1543" s="1">
        <v>6.3792727E7</v>
      </c>
      <c r="C1543" s="1">
        <v>2.58868483E8</v>
      </c>
      <c r="D1543" s="1" t="s">
        <v>2537</v>
      </c>
    </row>
    <row r="1544">
      <c r="A1544" s="1">
        <v>173.0</v>
      </c>
      <c r="B1544" s="1">
        <v>6.3729375E7</v>
      </c>
      <c r="C1544" s="1">
        <v>2.58575278E8</v>
      </c>
      <c r="D1544" s="1" t="s">
        <v>2538</v>
      </c>
    </row>
    <row r="1545">
      <c r="A1545" s="1">
        <v>319.0</v>
      </c>
      <c r="B1545" s="1">
        <v>6.3676886E7</v>
      </c>
      <c r="C1545" s="1">
        <v>2.58383666E8</v>
      </c>
      <c r="D1545" s="1" t="s">
        <v>2539</v>
      </c>
    </row>
    <row r="1546">
      <c r="A1546" s="1">
        <v>215.0</v>
      </c>
      <c r="B1546" s="1">
        <v>6.3663569E7</v>
      </c>
      <c r="C1546" s="1">
        <v>2.58614656E8</v>
      </c>
      <c r="D1546" s="1" t="s">
        <v>2540</v>
      </c>
    </row>
    <row r="1547">
      <c r="A1547" s="1">
        <v>671.0</v>
      </c>
      <c r="B1547" s="1">
        <v>6.3661836E7</v>
      </c>
      <c r="C1547" s="1">
        <v>2.58280452E8</v>
      </c>
      <c r="D1547" s="1" t="s">
        <v>2542</v>
      </c>
    </row>
    <row r="1548">
      <c r="A1548" s="1">
        <v>571.0</v>
      </c>
      <c r="B1548" s="1">
        <v>6.364044E7</v>
      </c>
      <c r="C1548" s="1">
        <v>2.58298067E8</v>
      </c>
      <c r="D1548" s="1" t="s">
        <v>2543</v>
      </c>
    </row>
    <row r="1549">
      <c r="A1549" s="1">
        <v>571.0</v>
      </c>
      <c r="B1549" s="1">
        <v>6.3628666E7</v>
      </c>
      <c r="C1549" s="1">
        <v>2.58266477E8</v>
      </c>
      <c r="D1549" s="1" t="s">
        <v>2544</v>
      </c>
    </row>
    <row r="1550">
      <c r="A1550" s="1">
        <v>586.0</v>
      </c>
      <c r="B1550" s="1">
        <v>6.354795E7</v>
      </c>
      <c r="C1550" s="1">
        <v>2.57692384E8</v>
      </c>
      <c r="D1550" s="1" t="s">
        <v>2546</v>
      </c>
    </row>
    <row r="1551">
      <c r="A1551" s="1">
        <v>586.0</v>
      </c>
      <c r="B1551" s="1">
        <v>6.354733E7</v>
      </c>
      <c r="C1551" s="1">
        <v>2.57672085E8</v>
      </c>
      <c r="D1551" s="1" t="s">
        <v>2547</v>
      </c>
    </row>
    <row r="1552">
      <c r="A1552" s="1">
        <v>173.0</v>
      </c>
      <c r="B1552" s="1">
        <v>6.3543893E7</v>
      </c>
      <c r="C1552" s="1">
        <v>2.57704906E8</v>
      </c>
      <c r="D1552" s="1" t="s">
        <v>2549</v>
      </c>
    </row>
    <row r="1553">
      <c r="A1553" s="1">
        <v>215.0</v>
      </c>
      <c r="B1553" s="1">
        <v>6.3458599E7</v>
      </c>
      <c r="C1553" s="1">
        <v>2.57460103E8</v>
      </c>
      <c r="D1553" s="1" t="s">
        <v>2550</v>
      </c>
    </row>
    <row r="1554">
      <c r="A1554" s="1">
        <v>671.0</v>
      </c>
      <c r="B1554" s="1">
        <v>6.3453541E7</v>
      </c>
      <c r="C1554" s="1">
        <v>2.5742639E8</v>
      </c>
      <c r="D1554" s="1" t="s">
        <v>2551</v>
      </c>
    </row>
    <row r="1555">
      <c r="A1555" s="1">
        <v>593.0</v>
      </c>
      <c r="B1555" s="1">
        <v>6.3357451E7</v>
      </c>
      <c r="C1555" s="1">
        <v>2.56818235E8</v>
      </c>
      <c r="D1555" s="1" t="s">
        <v>2552</v>
      </c>
    </row>
    <row r="1556">
      <c r="A1556" s="1">
        <v>564.0</v>
      </c>
      <c r="B1556" s="1">
        <v>6.334835E7</v>
      </c>
      <c r="C1556" s="1">
        <v>2.56824672E8</v>
      </c>
      <c r="D1556" s="1" t="s">
        <v>2553</v>
      </c>
    </row>
    <row r="1557">
      <c r="A1557" s="1">
        <v>531.0</v>
      </c>
      <c r="B1557" s="1">
        <v>6.3315767E7</v>
      </c>
      <c r="C1557" s="1">
        <v>2.56654073E8</v>
      </c>
      <c r="D1557" s="1" t="s">
        <v>2554</v>
      </c>
    </row>
    <row r="1558">
      <c r="A1558" s="1">
        <v>194.0</v>
      </c>
      <c r="B1558" s="1">
        <v>6.3135502E7</v>
      </c>
      <c r="C1558" s="1">
        <v>2.55765059E8</v>
      </c>
      <c r="D1558" s="1" t="s">
        <v>2556</v>
      </c>
    </row>
    <row r="1559">
      <c r="A1559" s="1">
        <v>339.0</v>
      </c>
      <c r="B1559" s="1">
        <v>6.3127167E7</v>
      </c>
      <c r="C1559" s="1">
        <v>2.55774182E8</v>
      </c>
      <c r="D1559" s="1" t="s">
        <v>113</v>
      </c>
    </row>
    <row r="1560">
      <c r="A1560" s="1">
        <v>674.0</v>
      </c>
      <c r="B1560" s="1">
        <v>6.3120806E7</v>
      </c>
      <c r="C1560" s="1">
        <v>2.55723931E8</v>
      </c>
      <c r="D1560" s="1" t="s">
        <v>463</v>
      </c>
    </row>
    <row r="1561">
      <c r="A1561" s="1">
        <v>719.0</v>
      </c>
      <c r="B1561" s="1">
        <v>6.3119484E7</v>
      </c>
      <c r="C1561" s="1">
        <v>2.55784413E8</v>
      </c>
      <c r="D1561" s="1" t="s">
        <v>2560</v>
      </c>
    </row>
    <row r="1562">
      <c r="A1562" s="1">
        <v>716.0</v>
      </c>
      <c r="B1562" s="1">
        <v>6.3110854E7</v>
      </c>
      <c r="C1562" s="1">
        <v>2.55781624E8</v>
      </c>
      <c r="D1562" s="1" t="s">
        <v>2561</v>
      </c>
    </row>
    <row r="1563">
      <c r="A1563" s="1">
        <v>671.0</v>
      </c>
      <c r="B1563" s="1">
        <v>6.3109655E7</v>
      </c>
      <c r="C1563" s="1">
        <v>2.55850162E8</v>
      </c>
      <c r="D1563" s="1" t="s">
        <v>1618</v>
      </c>
    </row>
    <row r="1564">
      <c r="A1564" s="1">
        <v>396.0</v>
      </c>
      <c r="B1564" s="1">
        <v>6.3064072E7</v>
      </c>
      <c r="C1564" s="1">
        <v>2.55323618E8</v>
      </c>
      <c r="D1564" s="1" t="s">
        <v>2563</v>
      </c>
    </row>
    <row r="1565">
      <c r="A1565" s="1">
        <v>173.0</v>
      </c>
      <c r="B1565" s="1">
        <v>6.3063169E7</v>
      </c>
      <c r="C1565" s="1">
        <v>2.55339249E8</v>
      </c>
      <c r="D1565" s="1" t="s">
        <v>557</v>
      </c>
    </row>
    <row r="1566">
      <c r="A1566" s="1">
        <v>673.0</v>
      </c>
      <c r="B1566" s="1">
        <v>6.3003497E7</v>
      </c>
      <c r="C1566" s="1">
        <v>2.54965145E8</v>
      </c>
      <c r="D1566" s="1" t="s">
        <v>2566</v>
      </c>
    </row>
    <row r="1567">
      <c r="A1567" s="1">
        <v>194.0</v>
      </c>
      <c r="B1567" s="1">
        <v>6.3002612E7</v>
      </c>
      <c r="C1567" s="1">
        <v>2.54993096E8</v>
      </c>
      <c r="D1567" s="1" t="s">
        <v>2567</v>
      </c>
    </row>
    <row r="1568">
      <c r="A1568" s="1">
        <v>173.0</v>
      </c>
      <c r="B1568" s="1">
        <v>6.3001627E7</v>
      </c>
      <c r="C1568" s="1">
        <v>2.55031154E8</v>
      </c>
      <c r="D1568" s="1" t="s">
        <v>2569</v>
      </c>
    </row>
    <row r="1569">
      <c r="A1569" s="1">
        <v>586.0</v>
      </c>
      <c r="B1569" s="1">
        <v>6.2994574E7</v>
      </c>
      <c r="C1569" s="1">
        <v>2.54972971E8</v>
      </c>
      <c r="D1569" s="1" t="s">
        <v>2571</v>
      </c>
    </row>
    <row r="1570">
      <c r="A1570" s="1">
        <v>716.0</v>
      </c>
      <c r="B1570" s="1">
        <v>6.2990777E7</v>
      </c>
      <c r="C1570" s="1">
        <v>2.55149736E8</v>
      </c>
      <c r="D1570" s="1" t="s">
        <v>2572</v>
      </c>
    </row>
    <row r="1571">
      <c r="A1571" s="1">
        <v>129.0</v>
      </c>
      <c r="B1571" s="1">
        <v>6.2957006E7</v>
      </c>
      <c r="C1571" s="1">
        <v>2.54818886E8</v>
      </c>
      <c r="D1571" s="1" t="s">
        <v>2573</v>
      </c>
    </row>
    <row r="1572">
      <c r="A1572" s="1">
        <v>319.0</v>
      </c>
      <c r="B1572" s="1">
        <v>6.2905721E7</v>
      </c>
      <c r="C1572" s="1">
        <v>2.54811794E8</v>
      </c>
      <c r="D1572" s="1" t="s">
        <v>2575</v>
      </c>
    </row>
    <row r="1573">
      <c r="A1573" s="1">
        <v>571.0</v>
      </c>
      <c r="B1573" s="1">
        <v>6.287168E7</v>
      </c>
      <c r="C1573" s="1">
        <v>2.54694609E8</v>
      </c>
      <c r="D1573" s="1" t="s">
        <v>2576</v>
      </c>
    </row>
    <row r="1574">
      <c r="A1574" s="1">
        <v>355.0</v>
      </c>
      <c r="B1574" s="1">
        <v>6.2858481E7</v>
      </c>
      <c r="C1574" s="1">
        <v>2.54446212E8</v>
      </c>
      <c r="D1574" s="1" t="s">
        <v>2577</v>
      </c>
    </row>
    <row r="1575">
      <c r="A1575" s="1">
        <v>319.0</v>
      </c>
      <c r="B1575" s="1">
        <v>6.2848157E7</v>
      </c>
      <c r="C1575" s="1">
        <v>2.54401269E8</v>
      </c>
      <c r="D1575" s="1" t="s">
        <v>2578</v>
      </c>
    </row>
    <row r="1576">
      <c r="A1576" s="1">
        <v>455.0</v>
      </c>
      <c r="B1576" s="1">
        <v>6.2835549E7</v>
      </c>
      <c r="C1576" s="1">
        <v>2.59154343E8</v>
      </c>
      <c r="D1576" s="1" t="s">
        <v>2579</v>
      </c>
    </row>
    <row r="1577">
      <c r="A1577" s="1">
        <v>696.0</v>
      </c>
      <c r="B1577" s="1">
        <v>6.2832794E7</v>
      </c>
      <c r="C1577" s="1">
        <v>2.54794818E8</v>
      </c>
      <c r="D1577" s="1" t="s">
        <v>1887</v>
      </c>
    </row>
    <row r="1578">
      <c r="A1578" s="1">
        <v>671.0</v>
      </c>
      <c r="B1578" s="1">
        <v>6.278171E7</v>
      </c>
      <c r="C1578" s="1">
        <v>3.23965645E8</v>
      </c>
      <c r="D1578" s="1" t="s">
        <v>2581</v>
      </c>
    </row>
    <row r="1579">
      <c r="A1579" s="1">
        <v>173.0</v>
      </c>
      <c r="B1579" s="1">
        <v>6.272709E7</v>
      </c>
      <c r="C1579" s="1">
        <v>3.37921129E8</v>
      </c>
      <c r="D1579" s="1" t="s">
        <v>2582</v>
      </c>
    </row>
    <row r="1580">
      <c r="A1580" s="1">
        <v>210.0</v>
      </c>
      <c r="B1580" s="1">
        <v>6.2710746E7</v>
      </c>
      <c r="C1580" s="1">
        <v>2.5354097E8</v>
      </c>
      <c r="D1580" s="1" t="s">
        <v>2583</v>
      </c>
    </row>
    <row r="1581">
      <c r="A1581" s="1">
        <v>337.0</v>
      </c>
      <c r="B1581" s="1">
        <v>6.2660412E7</v>
      </c>
      <c r="C1581" s="1">
        <v>2.53686489E8</v>
      </c>
      <c r="D1581" s="1" t="s">
        <v>969</v>
      </c>
    </row>
    <row r="1582">
      <c r="A1582" s="1">
        <v>173.0</v>
      </c>
      <c r="B1582" s="1">
        <v>6.2623822E7</v>
      </c>
      <c r="C1582" s="1">
        <v>2.53226647E8</v>
      </c>
      <c r="D1582" s="1" t="s">
        <v>2585</v>
      </c>
    </row>
    <row r="1583">
      <c r="A1583" s="1">
        <v>215.0</v>
      </c>
      <c r="B1583" s="1">
        <v>6.2620552E7</v>
      </c>
      <c r="C1583" s="1">
        <v>2.53248112E8</v>
      </c>
      <c r="D1583" s="1" t="s">
        <v>669</v>
      </c>
    </row>
    <row r="1584">
      <c r="A1584" s="1">
        <v>661.0</v>
      </c>
      <c r="B1584" s="1">
        <v>6.2604955E7</v>
      </c>
      <c r="C1584" s="1">
        <v>2.53226795E8</v>
      </c>
      <c r="D1584" s="1" t="s">
        <v>2588</v>
      </c>
    </row>
    <row r="1585">
      <c r="A1585" s="1">
        <v>661.0</v>
      </c>
      <c r="B1585" s="1">
        <v>6.2565195E7</v>
      </c>
      <c r="C1585" s="1">
        <v>2.52979107E8</v>
      </c>
      <c r="D1585" s="1" t="s">
        <v>2590</v>
      </c>
    </row>
    <row r="1586">
      <c r="A1586" s="1">
        <v>244.0</v>
      </c>
      <c r="B1586" s="1">
        <v>6.2552843E7</v>
      </c>
      <c r="C1586" s="1">
        <v>2.52932789E8</v>
      </c>
      <c r="D1586" s="1" t="s">
        <v>2591</v>
      </c>
    </row>
    <row r="1587">
      <c r="A1587" s="1">
        <v>403.0</v>
      </c>
      <c r="B1587" s="1">
        <v>6.2483431E7</v>
      </c>
      <c r="C1587" s="1">
        <v>4.20743103E8</v>
      </c>
      <c r="D1587" s="1" t="s">
        <v>2593</v>
      </c>
    </row>
    <row r="1588">
      <c r="A1588" s="1">
        <v>173.0</v>
      </c>
      <c r="B1588" s="1">
        <v>6.2458527E7</v>
      </c>
      <c r="C1588" s="1">
        <v>3.21078176E8</v>
      </c>
      <c r="D1588" s="1" t="s">
        <v>2594</v>
      </c>
    </row>
    <row r="1589">
      <c r="A1589" s="1">
        <v>337.0</v>
      </c>
      <c r="B1589" s="1">
        <v>6.2376071E7</v>
      </c>
      <c r="C1589" s="1">
        <v>3.300801E8</v>
      </c>
      <c r="D1589" s="1" t="s">
        <v>2596</v>
      </c>
    </row>
    <row r="1590">
      <c r="A1590" s="1">
        <v>602.0</v>
      </c>
      <c r="B1590" s="1">
        <v>6.2369808E7</v>
      </c>
      <c r="C1590" s="1">
        <v>3.52499604E8</v>
      </c>
      <c r="D1590" s="1" t="s">
        <v>2597</v>
      </c>
    </row>
    <row r="1591">
      <c r="A1591" s="1">
        <v>550.0</v>
      </c>
      <c r="B1591" s="1">
        <v>6.2363896E7</v>
      </c>
      <c r="C1591" s="1">
        <v>2.52120385E8</v>
      </c>
      <c r="D1591" s="1" t="s">
        <v>2598</v>
      </c>
    </row>
    <row r="1592">
      <c r="A1592" s="1">
        <v>173.0</v>
      </c>
      <c r="B1592" s="1">
        <v>6.2360601E7</v>
      </c>
      <c r="C1592" s="1">
        <v>2.51963981E8</v>
      </c>
      <c r="D1592" s="1" t="s">
        <v>2599</v>
      </c>
    </row>
    <row r="1593">
      <c r="A1593" s="1">
        <v>565.0</v>
      </c>
      <c r="B1593" s="1">
        <v>6.2338779E7</v>
      </c>
      <c r="C1593" s="1">
        <v>2.51670928E8</v>
      </c>
      <c r="D1593" s="1" t="s">
        <v>2600</v>
      </c>
    </row>
    <row r="1594">
      <c r="A1594" s="1">
        <v>571.0</v>
      </c>
      <c r="B1594" s="1">
        <v>6.2331718E7</v>
      </c>
      <c r="C1594" s="1">
        <v>2.5181272E8</v>
      </c>
      <c r="D1594" s="1" t="s">
        <v>2601</v>
      </c>
    </row>
    <row r="1595">
      <c r="A1595" s="1">
        <v>173.0</v>
      </c>
      <c r="B1595" s="1">
        <v>6.228049E7</v>
      </c>
      <c r="C1595" s="1">
        <v>2.51736164E8</v>
      </c>
      <c r="D1595" s="1" t="s">
        <v>2603</v>
      </c>
    </row>
    <row r="1596">
      <c r="A1596" s="1">
        <v>337.0</v>
      </c>
      <c r="B1596" s="1">
        <v>6.2258291E7</v>
      </c>
      <c r="C1596" s="1">
        <v>3.04822584E8</v>
      </c>
      <c r="D1596" s="1" t="s">
        <v>2604</v>
      </c>
    </row>
    <row r="1597">
      <c r="A1597" s="1">
        <v>716.0</v>
      </c>
      <c r="B1597" s="1">
        <v>6.2211772E7</v>
      </c>
      <c r="C1597" s="1">
        <v>2.51150448E8</v>
      </c>
      <c r="D1597" s="1" t="s">
        <v>459</v>
      </c>
    </row>
    <row r="1598">
      <c r="A1598" s="1">
        <v>571.0</v>
      </c>
      <c r="B1598" s="1">
        <v>6.2129029E7</v>
      </c>
      <c r="C1598" s="1">
        <v>2.5115332E8</v>
      </c>
      <c r="D1598" s="1" t="s">
        <v>2607</v>
      </c>
    </row>
    <row r="1599">
      <c r="A1599" s="1">
        <v>661.0</v>
      </c>
      <c r="B1599" s="1">
        <v>6.2122309E7</v>
      </c>
      <c r="C1599" s="1">
        <v>2.50850987E8</v>
      </c>
      <c r="D1599" s="1" t="s">
        <v>2608</v>
      </c>
    </row>
    <row r="1600">
      <c r="A1600" s="1">
        <v>173.0</v>
      </c>
      <c r="B1600" s="1">
        <v>6.2073995E7</v>
      </c>
      <c r="C1600" s="1">
        <v>2.50494841E8</v>
      </c>
      <c r="D1600" s="1" t="s">
        <v>2610</v>
      </c>
    </row>
    <row r="1601">
      <c r="A1601" s="1">
        <v>571.0</v>
      </c>
      <c r="B1601" s="1">
        <v>6.2072305E7</v>
      </c>
      <c r="C1601" s="1">
        <v>2.50921452E8</v>
      </c>
      <c r="D1601" s="1" t="s">
        <v>2611</v>
      </c>
    </row>
    <row r="1602">
      <c r="A1602" s="1">
        <v>320.0</v>
      </c>
      <c r="B1602" s="1">
        <v>6.1978765E7</v>
      </c>
      <c r="C1602" s="1">
        <v>2.50355405E8</v>
      </c>
      <c r="D1602" s="1" t="s">
        <v>2612</v>
      </c>
    </row>
    <row r="1603">
      <c r="A1603" s="1">
        <v>120.0</v>
      </c>
      <c r="B1603" s="1">
        <v>6.1961306E7</v>
      </c>
      <c r="C1603" s="1">
        <v>2.62335027E8</v>
      </c>
      <c r="D1603" s="1" t="s">
        <v>1705</v>
      </c>
    </row>
    <row r="1604">
      <c r="A1604" s="1">
        <v>426.0</v>
      </c>
      <c r="B1604" s="1">
        <v>6.1947478E7</v>
      </c>
      <c r="C1604" s="1">
        <v>2.49858817E8</v>
      </c>
      <c r="D1604" s="1" t="s">
        <v>2614</v>
      </c>
    </row>
    <row r="1605">
      <c r="A1605" s="1">
        <v>564.0</v>
      </c>
      <c r="B1605" s="1">
        <v>6.1928978E7</v>
      </c>
      <c r="C1605" s="1">
        <v>2.49829666E8</v>
      </c>
      <c r="D1605" s="1" t="s">
        <v>2615</v>
      </c>
    </row>
    <row r="1606">
      <c r="A1606" s="1">
        <v>403.0</v>
      </c>
      <c r="B1606" s="1">
        <v>6.1877468E7</v>
      </c>
      <c r="C1606" s="1">
        <v>2.49504433E8</v>
      </c>
      <c r="D1606" s="1" t="s">
        <v>2617</v>
      </c>
    </row>
    <row r="1607">
      <c r="A1607" s="1">
        <v>484.0</v>
      </c>
      <c r="B1607" s="1">
        <v>6.1840066E7</v>
      </c>
      <c r="C1607" s="1">
        <v>2.49473551E8</v>
      </c>
      <c r="D1607" s="1" t="s">
        <v>2619</v>
      </c>
    </row>
    <row r="1608">
      <c r="A1608" s="1">
        <v>173.0</v>
      </c>
      <c r="B1608" s="1">
        <v>6.1810137E7</v>
      </c>
      <c r="C1608" s="1">
        <v>2.49176682E8</v>
      </c>
      <c r="D1608" s="1" t="s">
        <v>2620</v>
      </c>
    </row>
    <row r="1609">
      <c r="A1609" s="1">
        <v>571.0</v>
      </c>
      <c r="B1609" s="1">
        <v>6.1774689E7</v>
      </c>
      <c r="C1609" s="1">
        <v>2.49299849E8</v>
      </c>
      <c r="D1609" s="1" t="s">
        <v>2623</v>
      </c>
    </row>
    <row r="1610">
      <c r="A1610" s="1">
        <v>462.0</v>
      </c>
      <c r="B1610" s="1">
        <v>6.1748047E7</v>
      </c>
      <c r="C1610" s="1">
        <v>2.48911473E8</v>
      </c>
      <c r="D1610" s="1" t="s">
        <v>2625</v>
      </c>
    </row>
    <row r="1611">
      <c r="A1611" s="1">
        <v>455.0</v>
      </c>
      <c r="B1611" s="1">
        <v>6.1697291E7</v>
      </c>
      <c r="C1611" s="1">
        <v>2.48847982E8</v>
      </c>
      <c r="D1611" s="1" t="s">
        <v>2626</v>
      </c>
    </row>
    <row r="1612">
      <c r="A1612" s="1">
        <v>716.0</v>
      </c>
      <c r="B1612" s="1">
        <v>6.158436E7</v>
      </c>
      <c r="C1612" s="1">
        <v>2.48203666E8</v>
      </c>
      <c r="D1612" s="1" t="s">
        <v>770</v>
      </c>
    </row>
    <row r="1613">
      <c r="A1613" s="1">
        <v>671.0</v>
      </c>
      <c r="B1613" s="1">
        <v>6.1575928E7</v>
      </c>
      <c r="C1613" s="1">
        <v>2.48053722E8</v>
      </c>
      <c r="D1613" s="25" t="str">
        <f>+10...EXCELLENT!!!.. Christopher would we by able to get 4 towels?</f>
        <v>#ERROR!</v>
      </c>
    </row>
    <row r="1614">
      <c r="A1614" s="1">
        <v>204.0</v>
      </c>
      <c r="B1614" s="1">
        <v>6.1546142E7</v>
      </c>
      <c r="C1614" s="1">
        <v>2.4800761E8</v>
      </c>
      <c r="D1614" s="1" t="s">
        <v>2629</v>
      </c>
    </row>
    <row r="1615">
      <c r="A1615" s="1">
        <v>661.0</v>
      </c>
      <c r="B1615" s="1">
        <v>6.1535506E7</v>
      </c>
      <c r="C1615" s="1">
        <v>2.48026341E8</v>
      </c>
      <c r="D1615" s="1" t="s">
        <v>2630</v>
      </c>
    </row>
    <row r="1616">
      <c r="A1616" s="1">
        <v>661.0</v>
      </c>
      <c r="B1616" s="1">
        <v>6.1535301E7</v>
      </c>
      <c r="C1616" s="1">
        <v>2.48017067E8</v>
      </c>
      <c r="D1616" s="1" t="s">
        <v>2631</v>
      </c>
    </row>
    <row r="1617">
      <c r="A1617" s="1">
        <v>458.0</v>
      </c>
      <c r="B1617" s="1">
        <v>6.1498674E7</v>
      </c>
      <c r="C1617" s="1">
        <v>2.47675717E8</v>
      </c>
      <c r="D1617" s="1" t="s">
        <v>2632</v>
      </c>
    </row>
    <row r="1618">
      <c r="A1618" s="1">
        <v>210.0</v>
      </c>
      <c r="B1618" s="1">
        <v>6.1441192E7</v>
      </c>
      <c r="C1618" s="1">
        <v>2.54642659E8</v>
      </c>
      <c r="D1618" s="1" t="s">
        <v>2633</v>
      </c>
    </row>
    <row r="1619">
      <c r="A1619" s="1">
        <v>504.0</v>
      </c>
      <c r="B1619" s="1">
        <v>6.1433962E7</v>
      </c>
      <c r="C1619" s="1">
        <v>2.47235204E8</v>
      </c>
      <c r="D1619" s="1" t="s">
        <v>2634</v>
      </c>
    </row>
    <row r="1620">
      <c r="A1620" s="1">
        <v>492.0</v>
      </c>
      <c r="B1620" s="1">
        <v>6.1401905E7</v>
      </c>
      <c r="C1620" s="1">
        <v>2.48355594E8</v>
      </c>
      <c r="D1620" s="1" t="s">
        <v>2635</v>
      </c>
    </row>
    <row r="1621">
      <c r="A1621" s="1">
        <v>716.0</v>
      </c>
      <c r="B1621" s="1">
        <v>6.1370873E7</v>
      </c>
      <c r="C1621" s="1">
        <v>2.47044295E8</v>
      </c>
      <c r="D1621" s="1" t="s">
        <v>2636</v>
      </c>
    </row>
    <row r="1622">
      <c r="A1622" s="1">
        <v>571.0</v>
      </c>
      <c r="B1622" s="1">
        <v>6.1365708E7</v>
      </c>
      <c r="C1622" s="1">
        <v>2.46946693E8</v>
      </c>
      <c r="D1622" s="1" t="s">
        <v>2637</v>
      </c>
    </row>
    <row r="1623">
      <c r="A1623" s="1">
        <v>319.0</v>
      </c>
      <c r="B1623" s="1">
        <v>6.136192E7</v>
      </c>
      <c r="C1623" s="1">
        <v>2.47043781E8</v>
      </c>
      <c r="D1623" s="1" t="s">
        <v>2638</v>
      </c>
    </row>
    <row r="1624">
      <c r="A1624" s="1">
        <v>392.0</v>
      </c>
      <c r="B1624" s="1">
        <v>6.1309105E7</v>
      </c>
      <c r="C1624" s="1">
        <v>2.46711808E8</v>
      </c>
      <c r="D1624" s="1" t="s">
        <v>2639</v>
      </c>
    </row>
    <row r="1625">
      <c r="A1625" s="1">
        <v>173.0</v>
      </c>
      <c r="B1625" s="1">
        <v>6.1266523E7</v>
      </c>
      <c r="C1625" s="1">
        <v>2.46462838E8</v>
      </c>
      <c r="D1625" s="1" t="s">
        <v>2640</v>
      </c>
    </row>
    <row r="1626">
      <c r="A1626" s="1">
        <v>320.0</v>
      </c>
      <c r="B1626" s="1">
        <v>6.1259443E7</v>
      </c>
      <c r="C1626" s="1">
        <v>2.46550013E8</v>
      </c>
      <c r="D1626" s="1" t="s">
        <v>2641</v>
      </c>
    </row>
    <row r="1627">
      <c r="A1627" s="1">
        <v>602.0</v>
      </c>
      <c r="B1627" s="1">
        <v>6.1255499E7</v>
      </c>
      <c r="C1627" s="1">
        <v>2.4643893E8</v>
      </c>
      <c r="D1627" s="1" t="s">
        <v>287</v>
      </c>
    </row>
    <row r="1628">
      <c r="A1628" s="1">
        <v>355.0</v>
      </c>
      <c r="B1628" s="1">
        <v>6.1221308E7</v>
      </c>
      <c r="C1628" s="1">
        <v>2.97154672E8</v>
      </c>
      <c r="D1628" s="1" t="s">
        <v>2644</v>
      </c>
    </row>
    <row r="1629">
      <c r="A1629" s="1">
        <v>645.0</v>
      </c>
      <c r="B1629" s="1">
        <v>6.1165482E7</v>
      </c>
      <c r="C1629" s="1">
        <v>2.46330878E8</v>
      </c>
      <c r="D1629" s="1" t="s">
        <v>2645</v>
      </c>
    </row>
    <row r="1630">
      <c r="A1630" s="1">
        <v>700.0</v>
      </c>
      <c r="B1630" s="1">
        <v>6.116482E7</v>
      </c>
      <c r="C1630" s="1">
        <v>2.46082484E8</v>
      </c>
      <c r="D1630" s="1" t="s">
        <v>2646</v>
      </c>
    </row>
    <row r="1631">
      <c r="A1631" s="1">
        <v>320.0</v>
      </c>
      <c r="B1631" s="1">
        <v>6.115555E7</v>
      </c>
      <c r="C1631" s="1">
        <v>2.45934275E8</v>
      </c>
      <c r="D1631" s="1" t="s">
        <v>2647</v>
      </c>
    </row>
    <row r="1632">
      <c r="A1632" s="1">
        <v>215.0</v>
      </c>
      <c r="B1632" s="1">
        <v>6.1080059E7</v>
      </c>
      <c r="C1632" s="1">
        <v>2.45612465E8</v>
      </c>
      <c r="D1632" s="1" t="s">
        <v>2648</v>
      </c>
    </row>
    <row r="1633">
      <c r="A1633" s="1">
        <v>419.0</v>
      </c>
      <c r="B1633" s="1">
        <v>6.1056764E7</v>
      </c>
      <c r="C1633" s="1">
        <v>2.56276649E8</v>
      </c>
      <c r="D1633" s="1" t="s">
        <v>2520</v>
      </c>
    </row>
    <row r="1634">
      <c r="A1634" s="1">
        <v>608.0</v>
      </c>
      <c r="B1634" s="1">
        <v>6.0923283E7</v>
      </c>
      <c r="C1634" s="1">
        <v>2.44874114E8</v>
      </c>
      <c r="D1634" s="1" t="s">
        <v>1253</v>
      </c>
    </row>
    <row r="1635">
      <c r="A1635" s="1">
        <v>504.0</v>
      </c>
      <c r="B1635" s="1">
        <v>6.0918825E7</v>
      </c>
      <c r="C1635" s="1">
        <v>2.44852183E8</v>
      </c>
      <c r="D1635" s="1" t="s">
        <v>2649</v>
      </c>
    </row>
    <row r="1636">
      <c r="A1636" s="1">
        <v>484.0</v>
      </c>
      <c r="B1636" s="1">
        <v>6.0904479E7</v>
      </c>
      <c r="C1636" s="1">
        <v>2.44852232E8</v>
      </c>
      <c r="D1636" s="1" t="s">
        <v>455</v>
      </c>
    </row>
    <row r="1637">
      <c r="A1637" s="1">
        <v>700.0</v>
      </c>
      <c r="B1637" s="1">
        <v>6.0898828E7</v>
      </c>
      <c r="C1637" s="1">
        <v>2.44792126E8</v>
      </c>
      <c r="D1637" s="1" t="s">
        <v>2652</v>
      </c>
    </row>
    <row r="1638">
      <c r="A1638" s="1">
        <v>601.0</v>
      </c>
      <c r="B1638" s="1">
        <v>6.0847656E7</v>
      </c>
      <c r="C1638" s="1">
        <v>2.44783737E8</v>
      </c>
      <c r="D1638" s="1" t="s">
        <v>2658</v>
      </c>
    </row>
    <row r="1639">
      <c r="A1639" s="1">
        <v>504.0</v>
      </c>
      <c r="B1639" s="1">
        <v>6.0847552E7</v>
      </c>
      <c r="C1639" s="1">
        <v>2.44561836E8</v>
      </c>
      <c r="D1639" s="1" t="s">
        <v>2660</v>
      </c>
    </row>
    <row r="1640">
      <c r="A1640" s="1">
        <v>531.0</v>
      </c>
      <c r="B1640" s="1">
        <v>6.0749342E7</v>
      </c>
      <c r="C1640" s="1">
        <v>2.44119639E8</v>
      </c>
      <c r="D1640" s="1" t="s">
        <v>2661</v>
      </c>
    </row>
    <row r="1641">
      <c r="A1641" s="1">
        <v>602.0</v>
      </c>
      <c r="B1641" s="1">
        <v>6.0743921E7</v>
      </c>
      <c r="C1641" s="1">
        <v>2.44047907E8</v>
      </c>
      <c r="D1641" s="1" t="s">
        <v>2662</v>
      </c>
    </row>
    <row r="1642">
      <c r="A1642" s="1">
        <v>204.0</v>
      </c>
      <c r="B1642" s="1">
        <v>6.0729884E7</v>
      </c>
      <c r="C1642" s="1">
        <v>2.43977023E8</v>
      </c>
      <c r="D1642" s="1" t="s">
        <v>1051</v>
      </c>
    </row>
    <row r="1643">
      <c r="A1643" s="1">
        <v>194.0</v>
      </c>
      <c r="B1643" s="1">
        <v>6.0628857E7</v>
      </c>
      <c r="C1643" s="1">
        <v>2.43511562E8</v>
      </c>
      <c r="D1643" s="1" t="s">
        <v>2665</v>
      </c>
    </row>
    <row r="1644">
      <c r="A1644" s="1">
        <v>578.0</v>
      </c>
      <c r="B1644" s="1">
        <v>6.06078E7</v>
      </c>
      <c r="C1644" s="1">
        <v>2.43513094E8</v>
      </c>
      <c r="D1644" s="1" t="s">
        <v>2257</v>
      </c>
    </row>
    <row r="1645">
      <c r="A1645" s="1">
        <v>504.0</v>
      </c>
      <c r="B1645" s="1">
        <v>6.0576066E7</v>
      </c>
      <c r="C1645" s="1">
        <v>2.43220078E8</v>
      </c>
      <c r="D1645" s="1" t="s">
        <v>2667</v>
      </c>
    </row>
    <row r="1646">
      <c r="A1646" s="1">
        <v>571.0</v>
      </c>
      <c r="B1646" s="1">
        <v>6.0536538E7</v>
      </c>
      <c r="C1646" s="1">
        <v>2.90311503E8</v>
      </c>
      <c r="D1646" s="1" t="s">
        <v>2668</v>
      </c>
    </row>
    <row r="1647">
      <c r="A1647" s="1">
        <v>504.0</v>
      </c>
      <c r="B1647" s="1">
        <v>6.0452647E7</v>
      </c>
      <c r="C1647" s="1">
        <v>3.60983291E8</v>
      </c>
      <c r="D1647" s="1" t="s">
        <v>2669</v>
      </c>
    </row>
    <row r="1648">
      <c r="A1648" s="1">
        <v>571.0</v>
      </c>
      <c r="B1648" s="1">
        <v>6.0441939E7</v>
      </c>
      <c r="C1648" s="1">
        <v>2.42728485E8</v>
      </c>
      <c r="D1648" s="1" t="s">
        <v>2670</v>
      </c>
    </row>
    <row r="1649">
      <c r="A1649" s="1">
        <v>408.0</v>
      </c>
      <c r="B1649" s="1">
        <v>6.0425799E7</v>
      </c>
      <c r="C1649" s="1">
        <v>3.92478192E8</v>
      </c>
      <c r="D1649" s="1" t="s">
        <v>2671</v>
      </c>
    </row>
    <row r="1650">
      <c r="A1650" s="1">
        <v>602.0</v>
      </c>
      <c r="B1650" s="1">
        <v>6.0408133E7</v>
      </c>
      <c r="C1650" s="1">
        <v>2.42531093E8</v>
      </c>
      <c r="D1650" s="1" t="s">
        <v>2672</v>
      </c>
    </row>
    <row r="1651">
      <c r="A1651" s="1">
        <v>320.0</v>
      </c>
      <c r="B1651" s="1">
        <v>6.0365838E7</v>
      </c>
      <c r="C1651" s="1">
        <v>2.42253469E8</v>
      </c>
      <c r="D1651" s="1" t="s">
        <v>2674</v>
      </c>
    </row>
    <row r="1652">
      <c r="A1652" s="1">
        <v>319.0</v>
      </c>
      <c r="B1652" s="1">
        <v>6.0347346E7</v>
      </c>
      <c r="C1652" s="1">
        <v>2.42392213E8</v>
      </c>
      <c r="D1652" s="1" t="s">
        <v>2675</v>
      </c>
    </row>
    <row r="1653">
      <c r="A1653" s="1">
        <v>610.0</v>
      </c>
      <c r="B1653" s="1">
        <v>6.0305693E7</v>
      </c>
      <c r="C1653" s="1">
        <v>2.41910337E8</v>
      </c>
      <c r="D1653" s="1" t="s">
        <v>2676</v>
      </c>
    </row>
    <row r="1654">
      <c r="A1654" s="1">
        <v>679.0</v>
      </c>
      <c r="B1654" s="1">
        <v>6.0282708E7</v>
      </c>
      <c r="C1654" s="1">
        <v>2.41810053E8</v>
      </c>
      <c r="D1654" s="1" t="s">
        <v>2677</v>
      </c>
    </row>
    <row r="1655">
      <c r="A1655" s="1">
        <v>571.0</v>
      </c>
      <c r="B1655" s="1">
        <v>6.0237768E7</v>
      </c>
      <c r="C1655" s="1">
        <v>4.07019279E8</v>
      </c>
      <c r="D1655" s="1" t="s">
        <v>2678</v>
      </c>
    </row>
    <row r="1656">
      <c r="A1656" s="1">
        <v>602.0</v>
      </c>
      <c r="B1656" s="1">
        <v>6.0220689E7</v>
      </c>
      <c r="C1656" s="1">
        <v>4.39562631E8</v>
      </c>
      <c r="D1656" s="1" t="s">
        <v>2680</v>
      </c>
    </row>
    <row r="1657">
      <c r="A1657" s="1">
        <v>403.0</v>
      </c>
      <c r="B1657" s="1">
        <v>6.0217011E7</v>
      </c>
      <c r="C1657" s="1">
        <v>4.22721898E8</v>
      </c>
      <c r="D1657" s="1" t="s">
        <v>2681</v>
      </c>
    </row>
    <row r="1658">
      <c r="A1658" s="1">
        <v>654.0</v>
      </c>
      <c r="B1658" s="1">
        <v>6.0214237E7</v>
      </c>
      <c r="C1658" s="1">
        <v>2.41498765E8</v>
      </c>
      <c r="D1658" s="1" t="s">
        <v>2683</v>
      </c>
    </row>
    <row r="1659">
      <c r="A1659" s="1">
        <v>602.0</v>
      </c>
      <c r="B1659" s="1">
        <v>6.0205034E7</v>
      </c>
      <c r="C1659" s="1">
        <v>2.41524661E8</v>
      </c>
      <c r="D1659" s="1" t="s">
        <v>2684</v>
      </c>
    </row>
    <row r="1660">
      <c r="A1660" s="1">
        <v>173.0</v>
      </c>
      <c r="B1660" s="1">
        <v>6.0132634E7</v>
      </c>
      <c r="C1660" s="1">
        <v>2.41141188E8</v>
      </c>
      <c r="D1660" s="1" t="s">
        <v>2685</v>
      </c>
    </row>
    <row r="1661">
      <c r="A1661" s="1">
        <v>120.0</v>
      </c>
      <c r="B1661" s="1">
        <v>6.0117617E7</v>
      </c>
      <c r="C1661" s="1">
        <v>4.1808658E8</v>
      </c>
      <c r="D1661" s="1" t="s">
        <v>2687</v>
      </c>
    </row>
    <row r="1662">
      <c r="A1662" s="1">
        <v>545.0</v>
      </c>
      <c r="B1662" s="1">
        <v>6.0105056E7</v>
      </c>
      <c r="C1662" s="1">
        <v>2.40951058E8</v>
      </c>
      <c r="D1662" s="1" t="s">
        <v>2689</v>
      </c>
    </row>
    <row r="1663">
      <c r="A1663" s="1">
        <v>504.0</v>
      </c>
      <c r="B1663" s="1">
        <v>6.0048003E7</v>
      </c>
      <c r="C1663" s="1">
        <v>2.40726575E8</v>
      </c>
      <c r="D1663" s="1" t="s">
        <v>2690</v>
      </c>
    </row>
    <row r="1664">
      <c r="A1664" s="1">
        <v>492.0</v>
      </c>
      <c r="B1664" s="1">
        <v>6.0028751E7</v>
      </c>
      <c r="C1664" s="1">
        <v>2.40630112E8</v>
      </c>
      <c r="D1664" s="1" t="s">
        <v>2692</v>
      </c>
    </row>
    <row r="1665">
      <c r="A1665" s="1">
        <v>671.0</v>
      </c>
      <c r="B1665" s="1">
        <v>5.9990613E7</v>
      </c>
      <c r="C1665" s="1">
        <v>2.40529475E8</v>
      </c>
      <c r="D1665" s="1" t="s">
        <v>2694</v>
      </c>
    </row>
    <row r="1666">
      <c r="A1666" s="1">
        <v>565.0</v>
      </c>
      <c r="B1666" s="1">
        <v>5.9925787E7</v>
      </c>
      <c r="C1666" s="1">
        <v>2.40109742E8</v>
      </c>
      <c r="D1666" s="1" t="s">
        <v>2695</v>
      </c>
    </row>
    <row r="1667">
      <c r="A1667" s="1">
        <v>403.0</v>
      </c>
      <c r="B1667" s="1">
        <v>5.9875601E7</v>
      </c>
      <c r="C1667" s="1">
        <v>2.39878654E8</v>
      </c>
      <c r="D1667" s="1" t="s">
        <v>1952</v>
      </c>
    </row>
    <row r="1668">
      <c r="A1668" s="1">
        <v>654.0</v>
      </c>
      <c r="B1668" s="1">
        <v>5.9854486E7</v>
      </c>
      <c r="C1668" s="1">
        <v>2.39748573E8</v>
      </c>
      <c r="D1668" s="1" t="s">
        <v>2697</v>
      </c>
    </row>
    <row r="1669">
      <c r="A1669" s="1">
        <v>578.0</v>
      </c>
      <c r="B1669" s="1">
        <v>5.9849538E7</v>
      </c>
      <c r="C1669" s="1">
        <v>2.39738651E8</v>
      </c>
      <c r="D1669" s="1" t="s">
        <v>2699</v>
      </c>
    </row>
    <row r="1670">
      <c r="A1670" s="1">
        <v>394.0</v>
      </c>
      <c r="B1670" s="1">
        <v>5.9821623E7</v>
      </c>
      <c r="C1670" s="1">
        <v>2.3987502E8</v>
      </c>
      <c r="D1670" s="1" t="s">
        <v>1494</v>
      </c>
    </row>
    <row r="1671">
      <c r="A1671" s="1">
        <v>642.0</v>
      </c>
      <c r="B1671" s="1">
        <v>5.981307E7</v>
      </c>
      <c r="C1671" s="1">
        <v>2.39566376E8</v>
      </c>
      <c r="D1671" s="1" t="s">
        <v>2701</v>
      </c>
    </row>
    <row r="1672">
      <c r="A1672" s="1">
        <v>654.0</v>
      </c>
      <c r="B1672" s="1">
        <v>5.9717816E7</v>
      </c>
      <c r="C1672" s="1">
        <v>2.39173171E8</v>
      </c>
      <c r="D1672" s="1" t="s">
        <v>2628</v>
      </c>
    </row>
    <row r="1673">
      <c r="A1673" s="1">
        <v>671.0</v>
      </c>
      <c r="B1673" s="1">
        <v>5.9713485E7</v>
      </c>
      <c r="C1673" s="1">
        <v>2.39043031E8</v>
      </c>
      <c r="D1673" s="1" t="s">
        <v>2703</v>
      </c>
    </row>
    <row r="1674">
      <c r="A1674" s="1">
        <v>550.0</v>
      </c>
      <c r="B1674" s="1">
        <v>5.9701445E7</v>
      </c>
      <c r="C1674" s="1">
        <v>2.39027726E8</v>
      </c>
      <c r="D1674" s="1" t="s">
        <v>2704</v>
      </c>
    </row>
    <row r="1675">
      <c r="A1675" s="1">
        <v>525.0</v>
      </c>
      <c r="B1675" s="1">
        <v>5.9675549E7</v>
      </c>
      <c r="C1675" s="1">
        <v>2.38894913E8</v>
      </c>
      <c r="D1675" s="1" t="s">
        <v>2706</v>
      </c>
    </row>
    <row r="1676">
      <c r="A1676" s="1">
        <v>604.0</v>
      </c>
      <c r="B1676" s="1">
        <v>5.9648322E7</v>
      </c>
      <c r="C1676" s="1">
        <v>2.38828333E8</v>
      </c>
      <c r="D1676" s="1" t="s">
        <v>2707</v>
      </c>
    </row>
    <row r="1677">
      <c r="A1677" s="1">
        <v>716.0</v>
      </c>
      <c r="B1677" s="1">
        <v>5.9595337E7</v>
      </c>
      <c r="C1677" s="1">
        <v>2.38481302E8</v>
      </c>
      <c r="D1677" s="1" t="s">
        <v>2708</v>
      </c>
    </row>
    <row r="1678">
      <c r="A1678" s="1">
        <v>601.0</v>
      </c>
      <c r="B1678" s="1">
        <v>5.9585364E7</v>
      </c>
      <c r="C1678" s="1">
        <v>2.384744E8</v>
      </c>
      <c r="D1678" s="1" t="s">
        <v>2709</v>
      </c>
    </row>
    <row r="1679">
      <c r="A1679" s="1">
        <v>244.0</v>
      </c>
      <c r="B1679" s="1">
        <v>5.9408847E7</v>
      </c>
      <c r="C1679" s="1">
        <v>2.37674023E8</v>
      </c>
      <c r="D1679" s="1" t="s">
        <v>2711</v>
      </c>
    </row>
    <row r="1680">
      <c r="A1680" s="1">
        <v>320.0</v>
      </c>
      <c r="B1680" s="1">
        <v>5.9371725E7</v>
      </c>
      <c r="C1680" s="1">
        <v>2.37666484E8</v>
      </c>
      <c r="D1680" s="1" t="s">
        <v>2712</v>
      </c>
    </row>
    <row r="1681">
      <c r="A1681" s="1">
        <v>571.0</v>
      </c>
      <c r="B1681" s="1">
        <v>5.9361226E7</v>
      </c>
      <c r="C1681" s="1">
        <v>2.37370601E8</v>
      </c>
      <c r="D1681" s="1" t="s">
        <v>1268</v>
      </c>
    </row>
    <row r="1682">
      <c r="A1682" s="1">
        <v>173.0</v>
      </c>
      <c r="B1682" s="1">
        <v>5.9349455E7</v>
      </c>
      <c r="C1682" s="1">
        <v>2.37608011E8</v>
      </c>
      <c r="D1682" s="1" t="s">
        <v>2714</v>
      </c>
    </row>
    <row r="1683">
      <c r="A1683" s="1">
        <v>587.0</v>
      </c>
      <c r="B1683" s="1">
        <v>5.9340629E7</v>
      </c>
      <c r="C1683" s="1">
        <v>2.80359946E8</v>
      </c>
      <c r="D1683" s="1" t="s">
        <v>2715</v>
      </c>
    </row>
    <row r="1684">
      <c r="A1684" s="1">
        <v>671.0</v>
      </c>
      <c r="B1684" s="1">
        <v>5.9323678E7</v>
      </c>
      <c r="C1684" s="1">
        <v>2.37169145E8</v>
      </c>
      <c r="D1684" s="1" t="s">
        <v>2716</v>
      </c>
    </row>
    <row r="1685">
      <c r="A1685" s="1">
        <v>602.0</v>
      </c>
      <c r="B1685" s="1">
        <v>5.9314761E7</v>
      </c>
      <c r="C1685" s="1">
        <v>2.37153848E8</v>
      </c>
      <c r="D1685" s="1" t="s">
        <v>1232</v>
      </c>
    </row>
    <row r="1686">
      <c r="A1686" s="1">
        <v>504.0</v>
      </c>
      <c r="B1686" s="1">
        <v>5.9209519E7</v>
      </c>
      <c r="C1686" s="1">
        <v>2.36850891E8</v>
      </c>
      <c r="D1686" s="1" t="s">
        <v>2232</v>
      </c>
    </row>
    <row r="1687">
      <c r="A1687" s="1">
        <v>678.0</v>
      </c>
      <c r="B1687" s="1">
        <v>5.9160864E7</v>
      </c>
      <c r="C1687" s="1">
        <v>2.59567881E8</v>
      </c>
      <c r="D1687" s="1" t="s">
        <v>1686</v>
      </c>
    </row>
    <row r="1688">
      <c r="A1688" s="1">
        <v>173.0</v>
      </c>
      <c r="B1688" s="1">
        <v>5.9124043E7</v>
      </c>
      <c r="C1688" s="1">
        <v>3.31441517E8</v>
      </c>
      <c r="D1688" s="1" t="s">
        <v>1360</v>
      </c>
    </row>
    <row r="1689">
      <c r="A1689" s="1">
        <v>671.0</v>
      </c>
      <c r="B1689" s="1">
        <v>5.9117804E7</v>
      </c>
      <c r="C1689" s="1">
        <v>2.36208959E8</v>
      </c>
      <c r="D1689" s="1" t="s">
        <v>2720</v>
      </c>
    </row>
    <row r="1690">
      <c r="A1690" s="1">
        <v>392.0</v>
      </c>
      <c r="B1690" s="1">
        <v>5.903226E7</v>
      </c>
      <c r="C1690" s="1">
        <v>2.35824002E8</v>
      </c>
      <c r="D1690" s="1" t="s">
        <v>2722</v>
      </c>
    </row>
    <row r="1691">
      <c r="A1691" s="1">
        <v>602.0</v>
      </c>
      <c r="B1691" s="1">
        <v>5.9024279E7</v>
      </c>
      <c r="C1691" s="1">
        <v>2.35861947E8</v>
      </c>
      <c r="D1691" s="1" t="s">
        <v>2723</v>
      </c>
    </row>
    <row r="1692">
      <c r="A1692" s="1">
        <v>602.0</v>
      </c>
      <c r="B1692" s="1">
        <v>5.8991836E7</v>
      </c>
      <c r="C1692" s="1">
        <v>2.35834914E8</v>
      </c>
      <c r="D1692" s="17" t="s">
        <v>2725</v>
      </c>
    </row>
    <row r="1693">
      <c r="A1693" s="1">
        <v>210.0</v>
      </c>
      <c r="B1693" s="1">
        <v>5.892492E7</v>
      </c>
      <c r="C1693" s="1">
        <v>2.3533115E8</v>
      </c>
      <c r="D1693" s="1" t="s">
        <v>761</v>
      </c>
    </row>
    <row r="1694">
      <c r="A1694" s="1">
        <v>504.0</v>
      </c>
      <c r="B1694" s="1">
        <v>5.8919133E7</v>
      </c>
      <c r="C1694" s="1">
        <v>2.35316345E8</v>
      </c>
      <c r="D1694" s="1" t="s">
        <v>2727</v>
      </c>
    </row>
    <row r="1695">
      <c r="A1695" s="1">
        <v>661.0</v>
      </c>
      <c r="B1695" s="1">
        <v>5.8915134E7</v>
      </c>
      <c r="C1695" s="1">
        <v>2.35340822E8</v>
      </c>
      <c r="D1695" s="1" t="s">
        <v>2728</v>
      </c>
    </row>
    <row r="1696">
      <c r="A1696" s="1">
        <v>597.0</v>
      </c>
      <c r="B1696" s="1">
        <v>5.8890754E7</v>
      </c>
      <c r="C1696" s="1">
        <v>2.35178804E8</v>
      </c>
      <c r="D1696" s="1" t="s">
        <v>2729</v>
      </c>
    </row>
    <row r="1697">
      <c r="A1697" s="1">
        <v>403.0</v>
      </c>
      <c r="B1697" s="1">
        <v>5.8816255E7</v>
      </c>
      <c r="C1697" s="1">
        <v>2.34779847E8</v>
      </c>
      <c r="D1697" s="1" t="s">
        <v>2730</v>
      </c>
    </row>
    <row r="1698">
      <c r="A1698" s="1">
        <v>642.0</v>
      </c>
      <c r="B1698" s="1">
        <v>5.8815232E7</v>
      </c>
      <c r="C1698" s="1">
        <v>2.34808003E8</v>
      </c>
      <c r="D1698" s="1" t="s">
        <v>2731</v>
      </c>
    </row>
    <row r="1699">
      <c r="A1699" s="1">
        <v>455.0</v>
      </c>
      <c r="B1699" s="1">
        <v>5.8791419E7</v>
      </c>
      <c r="C1699" s="1">
        <v>2.34773374E8</v>
      </c>
      <c r="D1699" s="1" t="s">
        <v>2732</v>
      </c>
    </row>
    <row r="1700">
      <c r="A1700" s="1">
        <v>669.0</v>
      </c>
      <c r="B1700" s="1">
        <v>5.8771559E7</v>
      </c>
      <c r="C1700" s="1">
        <v>2.34596955E8</v>
      </c>
      <c r="D1700" s="1" t="s">
        <v>865</v>
      </c>
    </row>
    <row r="1701">
      <c r="A1701" s="1">
        <v>179.0</v>
      </c>
      <c r="B1701" s="1">
        <v>5.8730066E7</v>
      </c>
      <c r="C1701" s="1">
        <v>2.34479488E8</v>
      </c>
      <c r="D1701" s="1" t="s">
        <v>2734</v>
      </c>
    </row>
    <row r="1702">
      <c r="A1702" s="1">
        <v>571.0</v>
      </c>
      <c r="B1702" s="1">
        <v>5.8658946E7</v>
      </c>
      <c r="C1702" s="1">
        <v>3.87958925E8</v>
      </c>
      <c r="D1702" s="1" t="s">
        <v>2735</v>
      </c>
    </row>
    <row r="1703">
      <c r="A1703" s="1">
        <v>713.0</v>
      </c>
      <c r="B1703" s="1">
        <v>5.8647893E7</v>
      </c>
      <c r="C1703" s="1">
        <v>2.34152361E8</v>
      </c>
      <c r="D1703" s="1" t="s">
        <v>2736</v>
      </c>
    </row>
    <row r="1704">
      <c r="A1704" s="1">
        <v>671.0</v>
      </c>
      <c r="B1704" s="1">
        <v>5.8472099E7</v>
      </c>
      <c r="C1704" s="1">
        <v>2.33414411E8</v>
      </c>
      <c r="D1704" s="1" t="s">
        <v>2738</v>
      </c>
    </row>
    <row r="1705">
      <c r="A1705" s="1">
        <v>394.0</v>
      </c>
      <c r="B1705" s="1">
        <v>5.8467432E7</v>
      </c>
      <c r="C1705" s="1">
        <v>2.33214432E8</v>
      </c>
      <c r="D1705" s="1" t="s">
        <v>2739</v>
      </c>
    </row>
    <row r="1706">
      <c r="A1706" s="1">
        <v>172.0</v>
      </c>
      <c r="B1706" s="1">
        <v>5.8460739E7</v>
      </c>
      <c r="C1706" s="1">
        <v>2.33235224E8</v>
      </c>
      <c r="D1706" s="1" t="s">
        <v>2741</v>
      </c>
    </row>
    <row r="1707">
      <c r="A1707" s="1">
        <v>602.0</v>
      </c>
      <c r="B1707" s="1">
        <v>5.8436042E7</v>
      </c>
      <c r="C1707" s="1">
        <v>2.33075855E8</v>
      </c>
      <c r="D1707" s="1" t="s">
        <v>2742</v>
      </c>
    </row>
    <row r="1708">
      <c r="A1708" s="1">
        <v>410.0</v>
      </c>
      <c r="B1708" s="1">
        <v>5.8372636E7</v>
      </c>
      <c r="C1708" s="1">
        <v>2.32813804E8</v>
      </c>
      <c r="D1708" s="1" t="s">
        <v>2744</v>
      </c>
    </row>
    <row r="1709">
      <c r="A1709" s="1">
        <v>319.0</v>
      </c>
      <c r="B1709" s="1">
        <v>5.8358075E7</v>
      </c>
      <c r="C1709" s="1">
        <v>2.3279709E8</v>
      </c>
      <c r="D1709" s="1" t="s">
        <v>2745</v>
      </c>
    </row>
    <row r="1710">
      <c r="A1710" s="1">
        <v>671.0</v>
      </c>
      <c r="B1710" s="1">
        <v>5.8348013E7</v>
      </c>
      <c r="C1710" s="1">
        <v>2.32707405E8</v>
      </c>
      <c r="D1710" s="1" t="s">
        <v>2746</v>
      </c>
    </row>
    <row r="1711">
      <c r="A1711" s="1">
        <v>586.0</v>
      </c>
      <c r="B1711" s="1">
        <v>5.8300396E7</v>
      </c>
      <c r="C1711" s="1">
        <v>2.32558132E8</v>
      </c>
      <c r="D1711" s="1" t="s">
        <v>2748</v>
      </c>
    </row>
    <row r="1712">
      <c r="A1712" s="1">
        <v>504.0</v>
      </c>
      <c r="B1712" s="1">
        <v>5.8147394E7</v>
      </c>
      <c r="C1712" s="1">
        <v>2.31882347E8</v>
      </c>
      <c r="D1712" s="1" t="s">
        <v>2749</v>
      </c>
    </row>
    <row r="1713">
      <c r="A1713" s="1">
        <v>403.0</v>
      </c>
      <c r="B1713" s="1">
        <v>5.8134375E7</v>
      </c>
      <c r="C1713" s="1">
        <v>2.31889934E8</v>
      </c>
      <c r="D1713" s="1" t="s">
        <v>2750</v>
      </c>
    </row>
    <row r="1714">
      <c r="A1714" s="1">
        <v>601.0</v>
      </c>
      <c r="B1714" s="1">
        <v>5.8102924E7</v>
      </c>
      <c r="C1714" s="1">
        <v>2.31589105E8</v>
      </c>
      <c r="D1714" s="1" t="s">
        <v>2752</v>
      </c>
    </row>
    <row r="1715">
      <c r="A1715" s="1">
        <v>403.0</v>
      </c>
      <c r="B1715" s="1">
        <v>5.8083951E7</v>
      </c>
      <c r="C1715" s="1">
        <v>3.42318191E8</v>
      </c>
      <c r="D1715" s="1" t="s">
        <v>2753</v>
      </c>
    </row>
    <row r="1716">
      <c r="A1716" s="1">
        <v>320.0</v>
      </c>
      <c r="B1716" s="1">
        <v>5.8074715E7</v>
      </c>
      <c r="C1716" s="1">
        <v>2.31481085E8</v>
      </c>
      <c r="D1716" s="1" t="s">
        <v>2754</v>
      </c>
    </row>
    <row r="1717">
      <c r="A1717" s="1">
        <v>319.0</v>
      </c>
      <c r="B1717" s="1">
        <v>5.8070053E7</v>
      </c>
      <c r="C1717" s="1">
        <v>2.31463141E8</v>
      </c>
      <c r="D1717" s="1" t="s">
        <v>2755</v>
      </c>
    </row>
    <row r="1718">
      <c r="A1718" s="1">
        <v>410.0</v>
      </c>
      <c r="B1718" s="1">
        <v>5.7953341E7</v>
      </c>
      <c r="C1718" s="1">
        <v>2.30991168E8</v>
      </c>
      <c r="D1718" s="1" t="s">
        <v>2756</v>
      </c>
    </row>
    <row r="1719">
      <c r="A1719" s="1">
        <v>498.0</v>
      </c>
      <c r="B1719" s="1">
        <v>5.7933021E7</v>
      </c>
      <c r="C1719" s="1">
        <v>2.31079711E8</v>
      </c>
      <c r="D1719" s="1" t="s">
        <v>1769</v>
      </c>
    </row>
    <row r="1720">
      <c r="A1720" s="1">
        <v>557.0</v>
      </c>
      <c r="B1720" s="1">
        <v>5.792562E7</v>
      </c>
      <c r="C1720" s="1">
        <v>2.30954032E8</v>
      </c>
      <c r="D1720" s="1" t="s">
        <v>2758</v>
      </c>
    </row>
    <row r="1721">
      <c r="A1721" s="1">
        <v>319.0</v>
      </c>
      <c r="B1721" s="1">
        <v>5.7864858E7</v>
      </c>
      <c r="C1721" s="1">
        <v>2.30607653E8</v>
      </c>
      <c r="D1721" s="1" t="s">
        <v>2760</v>
      </c>
    </row>
    <row r="1722">
      <c r="A1722" s="1">
        <v>602.0</v>
      </c>
      <c r="B1722" s="1">
        <v>5.7800253E7</v>
      </c>
      <c r="C1722" s="1">
        <v>2.30500141E8</v>
      </c>
      <c r="D1722" s="1" t="s">
        <v>1184</v>
      </c>
    </row>
    <row r="1723">
      <c r="A1723" s="1">
        <v>602.0</v>
      </c>
      <c r="B1723" s="1">
        <v>5.778486E7</v>
      </c>
      <c r="C1723" s="1">
        <v>2.30196394E8</v>
      </c>
      <c r="D1723" s="1" t="s">
        <v>2762</v>
      </c>
    </row>
    <row r="1724">
      <c r="A1724" s="1">
        <v>578.0</v>
      </c>
      <c r="B1724" s="1">
        <v>5.7750876E7</v>
      </c>
      <c r="C1724" s="1">
        <v>2.30019699E8</v>
      </c>
      <c r="D1724" s="1" t="s">
        <v>2078</v>
      </c>
    </row>
    <row r="1725">
      <c r="A1725" s="1">
        <v>343.0</v>
      </c>
      <c r="B1725" s="1">
        <v>5.7557895E7</v>
      </c>
      <c r="C1725" s="1">
        <v>2.29156087E8</v>
      </c>
      <c r="D1725" s="1" t="s">
        <v>2764</v>
      </c>
    </row>
    <row r="1726">
      <c r="A1726" s="1">
        <v>355.0</v>
      </c>
      <c r="B1726" s="1">
        <v>5.7397188E7</v>
      </c>
      <c r="C1726" s="1">
        <v>2.28576311E8</v>
      </c>
      <c r="D1726" s="1" t="s">
        <v>2766</v>
      </c>
    </row>
    <row r="1727">
      <c r="A1727" s="1">
        <v>498.0</v>
      </c>
      <c r="B1727" s="1">
        <v>5.7376826E7</v>
      </c>
      <c r="C1727" s="1">
        <v>2.28424682E8</v>
      </c>
      <c r="D1727" s="1" t="s">
        <v>2768</v>
      </c>
    </row>
    <row r="1728">
      <c r="A1728" s="1">
        <v>172.0</v>
      </c>
      <c r="B1728" s="1">
        <v>5.7370771E7</v>
      </c>
      <c r="C1728" s="1">
        <v>2.28571927E8</v>
      </c>
      <c r="D1728" s="1" t="s">
        <v>166</v>
      </c>
    </row>
    <row r="1729">
      <c r="A1729" s="1">
        <v>403.0</v>
      </c>
      <c r="B1729" s="1">
        <v>5.7256662E7</v>
      </c>
      <c r="C1729" s="1">
        <v>2.27909707E8</v>
      </c>
      <c r="D1729" s="1" t="s">
        <v>2769</v>
      </c>
    </row>
    <row r="1730">
      <c r="A1730" s="1">
        <v>586.0</v>
      </c>
      <c r="B1730" s="1">
        <v>5.7256407E7</v>
      </c>
      <c r="C1730" s="1">
        <v>2.27928404E8</v>
      </c>
      <c r="D1730" s="1" t="s">
        <v>2770</v>
      </c>
    </row>
    <row r="1731">
      <c r="A1731" s="1">
        <v>602.0</v>
      </c>
      <c r="B1731" s="1">
        <v>5.7232504E7</v>
      </c>
      <c r="C1731" s="1">
        <v>2.2802128E8</v>
      </c>
      <c r="D1731" s="1" t="s">
        <v>2771</v>
      </c>
    </row>
    <row r="1732">
      <c r="A1732" s="1">
        <v>602.0</v>
      </c>
      <c r="B1732" s="1">
        <v>5.7230676E7</v>
      </c>
      <c r="C1732" s="1">
        <v>2.28031093E8</v>
      </c>
      <c r="D1732" s="1" t="s">
        <v>1027</v>
      </c>
    </row>
    <row r="1733">
      <c r="A1733" s="1">
        <v>586.0</v>
      </c>
      <c r="B1733" s="1">
        <v>5.722774E7</v>
      </c>
      <c r="C1733" s="1">
        <v>2.27796741E8</v>
      </c>
      <c r="D1733" s="1" t="s">
        <v>2773</v>
      </c>
    </row>
    <row r="1734">
      <c r="A1734" s="1">
        <v>410.0</v>
      </c>
      <c r="B1734" s="1">
        <v>5.7194553E7</v>
      </c>
      <c r="C1734" s="1">
        <v>2.27644311E8</v>
      </c>
      <c r="D1734" s="1" t="s">
        <v>2775</v>
      </c>
    </row>
    <row r="1735">
      <c r="A1735" s="1">
        <v>656.0</v>
      </c>
      <c r="B1735" s="1">
        <v>5.7188516E7</v>
      </c>
      <c r="C1735" s="1">
        <v>2.27630466E8</v>
      </c>
      <c r="D1735" s="1" t="s">
        <v>403</v>
      </c>
    </row>
    <row r="1736">
      <c r="A1736" s="1">
        <v>488.0</v>
      </c>
      <c r="B1736" s="1">
        <v>5.7181843E7</v>
      </c>
      <c r="C1736" s="1">
        <v>2.35541547E8</v>
      </c>
      <c r="D1736" s="1" t="s">
        <v>1852</v>
      </c>
    </row>
    <row r="1737">
      <c r="A1737" s="1">
        <v>570.0</v>
      </c>
      <c r="B1737" s="1">
        <v>5.7153478E7</v>
      </c>
      <c r="C1737" s="1">
        <v>2.2740351E8</v>
      </c>
      <c r="D1737" s="1" t="s">
        <v>2779</v>
      </c>
    </row>
    <row r="1738">
      <c r="A1738" s="1">
        <v>526.0</v>
      </c>
      <c r="B1738" s="1">
        <v>5.7129942E7</v>
      </c>
      <c r="C1738" s="1">
        <v>2.27334746E8</v>
      </c>
      <c r="D1738" s="1" t="s">
        <v>2780</v>
      </c>
    </row>
    <row r="1739">
      <c r="A1739" s="1">
        <v>671.0</v>
      </c>
      <c r="B1739" s="1">
        <v>5.7113242E7</v>
      </c>
      <c r="C1739" s="1">
        <v>2.2733878E8</v>
      </c>
      <c r="D1739" s="1" t="s">
        <v>1862</v>
      </c>
    </row>
    <row r="1740">
      <c r="A1740" s="1">
        <v>531.0</v>
      </c>
      <c r="B1740" s="1">
        <v>5.7061614E7</v>
      </c>
      <c r="C1740" s="1">
        <v>2.27222988E8</v>
      </c>
      <c r="D1740" s="1" t="s">
        <v>2783</v>
      </c>
    </row>
    <row r="1741">
      <c r="A1741" s="1">
        <v>671.0</v>
      </c>
      <c r="B1741" s="1">
        <v>5.7036792E7</v>
      </c>
      <c r="C1741" s="1">
        <v>2.26987187E8</v>
      </c>
      <c r="D1741" s="1" t="s">
        <v>2784</v>
      </c>
    </row>
    <row r="1742">
      <c r="A1742" s="1">
        <v>661.0</v>
      </c>
      <c r="B1742" s="1">
        <v>5.6994128E7</v>
      </c>
      <c r="C1742" s="1">
        <v>2.2685371E8</v>
      </c>
      <c r="D1742" s="1" t="s">
        <v>2786</v>
      </c>
    </row>
    <row r="1743">
      <c r="A1743" s="1">
        <v>587.0</v>
      </c>
      <c r="B1743" s="1">
        <v>5.6925105E7</v>
      </c>
      <c r="C1743" s="1">
        <v>2.26483322E8</v>
      </c>
      <c r="D1743" s="1" t="s">
        <v>2787</v>
      </c>
    </row>
    <row r="1744">
      <c r="A1744" s="1">
        <v>394.0</v>
      </c>
      <c r="B1744" s="1">
        <v>5.6903952E7</v>
      </c>
      <c r="C1744" s="1">
        <v>2.26313787E8</v>
      </c>
      <c r="D1744" s="1" t="s">
        <v>2789</v>
      </c>
    </row>
    <row r="1745">
      <c r="A1745" s="1">
        <v>610.0</v>
      </c>
      <c r="B1745" s="1">
        <v>5.6900217E7</v>
      </c>
      <c r="C1745" s="1">
        <v>3.47526801E8</v>
      </c>
      <c r="D1745" s="1" t="s">
        <v>2791</v>
      </c>
    </row>
    <row r="1746">
      <c r="A1746" s="1">
        <v>394.0</v>
      </c>
      <c r="B1746" s="1">
        <v>5.6860579E7</v>
      </c>
      <c r="C1746" s="1">
        <v>2.26160858E8</v>
      </c>
      <c r="D1746" s="1" t="s">
        <v>2794</v>
      </c>
    </row>
    <row r="1747">
      <c r="A1747" s="1">
        <v>404.0</v>
      </c>
      <c r="B1747" s="1">
        <v>5.6803174E7</v>
      </c>
      <c r="C1747" s="1">
        <v>2.25903034E8</v>
      </c>
      <c r="D1747" s="1" t="s">
        <v>2796</v>
      </c>
    </row>
    <row r="1748">
      <c r="A1748" s="1">
        <v>403.0</v>
      </c>
      <c r="B1748" s="1">
        <v>5.6791145E7</v>
      </c>
      <c r="C1748" s="1">
        <v>2.25791738E8</v>
      </c>
      <c r="D1748" s="1" t="s">
        <v>2075</v>
      </c>
    </row>
    <row r="1749">
      <c r="A1749" s="1">
        <v>550.0</v>
      </c>
      <c r="B1749" s="1">
        <v>5.6767038E7</v>
      </c>
      <c r="C1749" s="1">
        <v>2.84763626E8</v>
      </c>
      <c r="D1749" s="1" t="s">
        <v>2797</v>
      </c>
    </row>
    <row r="1750">
      <c r="A1750" s="1">
        <v>394.0</v>
      </c>
      <c r="B1750" s="1">
        <v>5.6722304E7</v>
      </c>
      <c r="C1750" s="1">
        <v>2.25513659E8</v>
      </c>
      <c r="D1750" s="1" t="s">
        <v>2799</v>
      </c>
    </row>
    <row r="1751">
      <c r="A1751" s="1">
        <v>571.0</v>
      </c>
      <c r="B1751" s="1">
        <v>5.6678379E7</v>
      </c>
      <c r="C1751" s="1">
        <v>2.25682067E8</v>
      </c>
      <c r="D1751" s="1" t="s">
        <v>2801</v>
      </c>
    </row>
    <row r="1752">
      <c r="A1752" s="1">
        <v>381.0</v>
      </c>
      <c r="B1752" s="1">
        <v>5.6598582E7</v>
      </c>
      <c r="C1752" s="1">
        <v>2.25035677E8</v>
      </c>
      <c r="D1752" s="1" t="s">
        <v>2802</v>
      </c>
    </row>
    <row r="1753">
      <c r="A1753" s="1">
        <v>610.0</v>
      </c>
      <c r="B1753" s="1">
        <v>5.6557214E7</v>
      </c>
      <c r="C1753" s="1">
        <v>2.24954202E8</v>
      </c>
      <c r="D1753" s="1" t="s">
        <v>2803</v>
      </c>
    </row>
    <row r="1754">
      <c r="A1754" s="1">
        <v>642.0</v>
      </c>
      <c r="B1754" s="1">
        <v>5.6510193E7</v>
      </c>
      <c r="C1754" s="1">
        <v>2.24893538E8</v>
      </c>
      <c r="D1754" s="1" t="s">
        <v>2804</v>
      </c>
    </row>
    <row r="1755">
      <c r="A1755" s="1">
        <v>522.0</v>
      </c>
      <c r="B1755" s="1">
        <v>5.6466964E7</v>
      </c>
      <c r="C1755" s="1">
        <v>2.24464233E8</v>
      </c>
      <c r="D1755" s="1" t="s">
        <v>2805</v>
      </c>
    </row>
    <row r="1756">
      <c r="A1756" s="1">
        <v>661.0</v>
      </c>
      <c r="B1756" s="1">
        <v>5.6464565E7</v>
      </c>
      <c r="C1756" s="1">
        <v>2.24482179E8</v>
      </c>
      <c r="D1756" s="1" t="s">
        <v>2806</v>
      </c>
    </row>
    <row r="1757">
      <c r="A1757" s="1">
        <v>492.0</v>
      </c>
      <c r="B1757" s="1">
        <v>5.6427221E7</v>
      </c>
      <c r="C1757" s="1">
        <v>2.24324228E8</v>
      </c>
      <c r="D1757" s="25" t="str">
        <f>+10✔️✔️I will have to check out tomorrow morning. Have flights back to east coast. Finishing up work here to day in Sunnyvale. Should be in hotel by 3pm today. Thanks tommy</f>
        <v>#ERROR!</v>
      </c>
    </row>
    <row r="1758">
      <c r="A1758" s="1">
        <v>129.0</v>
      </c>
      <c r="B1758" s="1">
        <v>5.6372339E7</v>
      </c>
      <c r="C1758" s="1">
        <v>2.24025615E8</v>
      </c>
      <c r="D1758" s="1" t="s">
        <v>1139</v>
      </c>
    </row>
    <row r="1759">
      <c r="A1759" s="1">
        <v>610.0</v>
      </c>
      <c r="B1759" s="1">
        <v>5.6368379E7</v>
      </c>
      <c r="C1759" s="1">
        <v>2.58532773E8</v>
      </c>
      <c r="D1759" s="1" t="s">
        <v>2807</v>
      </c>
    </row>
    <row r="1760">
      <c r="A1760" s="1">
        <v>716.0</v>
      </c>
      <c r="B1760" s="1">
        <v>5.6337392E7</v>
      </c>
      <c r="C1760" s="1">
        <v>2.23901412E8</v>
      </c>
      <c r="D1760" s="1" t="s">
        <v>1046</v>
      </c>
    </row>
    <row r="1761">
      <c r="A1761" s="1">
        <v>378.0</v>
      </c>
      <c r="B1761" s="1">
        <v>5.6300362E7</v>
      </c>
      <c r="C1761" s="1">
        <v>2.23719626E8</v>
      </c>
      <c r="D1761" s="1" t="s">
        <v>2808</v>
      </c>
    </row>
    <row r="1762">
      <c r="A1762" s="1">
        <v>587.0</v>
      </c>
      <c r="B1762" s="1">
        <v>5.628226E7</v>
      </c>
      <c r="C1762" s="1">
        <v>2.23643479E8</v>
      </c>
      <c r="D1762" s="1" t="s">
        <v>2809</v>
      </c>
    </row>
    <row r="1763">
      <c r="A1763" s="1">
        <v>504.0</v>
      </c>
      <c r="B1763" s="1">
        <v>5.6178269E7</v>
      </c>
      <c r="C1763" s="1">
        <v>3.16673002E8</v>
      </c>
      <c r="D1763" s="1" t="s">
        <v>2810</v>
      </c>
    </row>
    <row r="1764">
      <c r="A1764" s="1">
        <v>550.0</v>
      </c>
      <c r="B1764" s="1">
        <v>5.608213E7</v>
      </c>
      <c r="C1764" s="1">
        <v>2.22983098E8</v>
      </c>
      <c r="D1764" s="1" t="s">
        <v>2811</v>
      </c>
    </row>
    <row r="1765">
      <c r="A1765" s="1">
        <v>661.0</v>
      </c>
      <c r="B1765" s="1">
        <v>5.6058594E7</v>
      </c>
      <c r="C1765" s="1">
        <v>2.22820291E8</v>
      </c>
      <c r="D1765" s="1" t="s">
        <v>2812</v>
      </c>
    </row>
    <row r="1766">
      <c r="A1766" s="1">
        <v>671.0</v>
      </c>
      <c r="B1766" s="1">
        <v>5.6023157E7</v>
      </c>
      <c r="C1766" s="1">
        <v>2.60911477E8</v>
      </c>
      <c r="D1766" s="1" t="s">
        <v>2813</v>
      </c>
    </row>
    <row r="1767">
      <c r="A1767" s="1">
        <v>498.0</v>
      </c>
      <c r="B1767" s="1">
        <v>5.6006085E7</v>
      </c>
      <c r="C1767" s="1">
        <v>2.2255059E8</v>
      </c>
      <c r="D1767" s="1" t="s">
        <v>2814</v>
      </c>
    </row>
    <row r="1768">
      <c r="A1768" s="1">
        <v>172.0</v>
      </c>
      <c r="B1768" s="1">
        <v>5.5945085E7</v>
      </c>
      <c r="C1768" s="1">
        <v>2.22221485E8</v>
      </c>
      <c r="D1768" s="1" t="s">
        <v>2815</v>
      </c>
    </row>
    <row r="1769">
      <c r="A1769" s="1">
        <v>403.0</v>
      </c>
      <c r="B1769" s="1">
        <v>5.59383E7</v>
      </c>
      <c r="C1769" s="1">
        <v>2.22219371E8</v>
      </c>
      <c r="D1769" s="1" t="s">
        <v>2816</v>
      </c>
    </row>
    <row r="1770">
      <c r="A1770" s="1">
        <v>462.0</v>
      </c>
      <c r="B1770" s="1">
        <v>5.5931605E7</v>
      </c>
      <c r="C1770" s="1">
        <v>2.2222089E8</v>
      </c>
      <c r="D1770" s="1" t="s">
        <v>2817</v>
      </c>
    </row>
    <row r="1771">
      <c r="A1771" s="1">
        <v>649.0</v>
      </c>
      <c r="B1771" s="1">
        <v>5.5913066E7</v>
      </c>
      <c r="C1771" s="1">
        <v>2.2212214E8</v>
      </c>
      <c r="D1771" s="1" t="s">
        <v>2818</v>
      </c>
    </row>
    <row r="1772">
      <c r="A1772" s="1">
        <v>394.0</v>
      </c>
      <c r="B1772" s="1">
        <v>5.5835572E7</v>
      </c>
      <c r="C1772" s="1">
        <v>2.21799456E8</v>
      </c>
      <c r="D1772" s="1" t="s">
        <v>2819</v>
      </c>
    </row>
    <row r="1773">
      <c r="A1773" s="1">
        <v>610.0</v>
      </c>
      <c r="B1773" s="1">
        <v>5.5806752E7</v>
      </c>
      <c r="C1773" s="1">
        <v>2.21708603E8</v>
      </c>
      <c r="D1773" s="1" t="s">
        <v>2820</v>
      </c>
    </row>
    <row r="1774">
      <c r="A1774" s="1">
        <v>654.0</v>
      </c>
      <c r="B1774" s="1">
        <v>5.5766887E7</v>
      </c>
      <c r="C1774" s="1">
        <v>2.21477697E8</v>
      </c>
      <c r="D1774" s="1" t="s">
        <v>2408</v>
      </c>
    </row>
    <row r="1775">
      <c r="A1775" s="1">
        <v>601.0</v>
      </c>
      <c r="B1775" s="1">
        <v>5.5742985E7</v>
      </c>
      <c r="C1775" s="1">
        <v>2.21373613E8</v>
      </c>
      <c r="D1775" s="1" t="s">
        <v>2821</v>
      </c>
    </row>
    <row r="1776">
      <c r="A1776" s="1">
        <v>602.0</v>
      </c>
      <c r="B1776" s="1">
        <v>5.5686794E7</v>
      </c>
      <c r="C1776" s="1">
        <v>2.2119851E8</v>
      </c>
      <c r="D1776" s="1" t="s">
        <v>2822</v>
      </c>
    </row>
    <row r="1777">
      <c r="A1777" s="1">
        <v>571.0</v>
      </c>
      <c r="B1777" s="1">
        <v>5.5630901E7</v>
      </c>
      <c r="C1777" s="1">
        <v>4.91552075E8</v>
      </c>
      <c r="D1777" s="1" t="s">
        <v>2823</v>
      </c>
    </row>
    <row r="1778">
      <c r="A1778" s="1">
        <v>571.0</v>
      </c>
      <c r="B1778" s="1">
        <v>5.5607719E7</v>
      </c>
      <c r="C1778" s="1">
        <v>2.20987188E8</v>
      </c>
      <c r="D1778" s="1" t="s">
        <v>2824</v>
      </c>
    </row>
    <row r="1779">
      <c r="A1779" s="1">
        <v>610.0</v>
      </c>
      <c r="B1779" s="1">
        <v>5.5525424E7</v>
      </c>
      <c r="C1779" s="1">
        <v>2.20612248E8</v>
      </c>
      <c r="D1779" s="1" t="s">
        <v>2825</v>
      </c>
    </row>
    <row r="1780">
      <c r="A1780" s="1">
        <v>672.0</v>
      </c>
      <c r="B1780" s="1">
        <v>5.5511884E7</v>
      </c>
      <c r="C1780" s="1">
        <v>2.20511437E8</v>
      </c>
      <c r="D1780" s="1" t="s">
        <v>2826</v>
      </c>
    </row>
    <row r="1781">
      <c r="A1781" s="1">
        <v>129.0</v>
      </c>
      <c r="B1781" s="1">
        <v>5.5493248E7</v>
      </c>
      <c r="C1781" s="1">
        <v>2.90310614E8</v>
      </c>
      <c r="D1781" s="1" t="s">
        <v>2828</v>
      </c>
    </row>
    <row r="1782">
      <c r="A1782" s="1">
        <v>608.0</v>
      </c>
      <c r="B1782" s="1">
        <v>5.5492722E7</v>
      </c>
      <c r="C1782" s="1">
        <v>2.20401372E8</v>
      </c>
      <c r="D1782" s="1" t="s">
        <v>2829</v>
      </c>
    </row>
    <row r="1783">
      <c r="A1783" s="1">
        <v>172.0</v>
      </c>
      <c r="B1783" s="1">
        <v>5.5420283E7</v>
      </c>
      <c r="C1783" s="1">
        <v>2.20095005E8</v>
      </c>
      <c r="D1783" s="1" t="s">
        <v>2831</v>
      </c>
    </row>
    <row r="1784">
      <c r="A1784" s="1">
        <v>610.0</v>
      </c>
      <c r="B1784" s="1">
        <v>5.539006E7</v>
      </c>
      <c r="C1784" s="1">
        <v>2.19932865E8</v>
      </c>
      <c r="D1784" s="1" t="s">
        <v>2832</v>
      </c>
    </row>
    <row r="1785">
      <c r="A1785" s="1">
        <v>602.0</v>
      </c>
      <c r="B1785" s="1">
        <v>5.5385246E7</v>
      </c>
      <c r="C1785" s="1">
        <v>2.19893947E8</v>
      </c>
      <c r="D1785" s="1" t="s">
        <v>2834</v>
      </c>
    </row>
    <row r="1786">
      <c r="A1786" s="1">
        <v>610.0</v>
      </c>
      <c r="B1786" s="1">
        <v>5.5372613E7</v>
      </c>
      <c r="C1786" s="1">
        <v>2.19848987E8</v>
      </c>
      <c r="D1786" s="1" t="s">
        <v>2054</v>
      </c>
    </row>
    <row r="1787">
      <c r="A1787" s="1">
        <v>492.0</v>
      </c>
      <c r="B1787" s="1">
        <v>5.5209396E7</v>
      </c>
      <c r="C1787" s="1">
        <v>2.19146167E8</v>
      </c>
      <c r="D1787" s="1" t="s">
        <v>2836</v>
      </c>
    </row>
    <row r="1788">
      <c r="A1788" s="1">
        <v>664.0</v>
      </c>
      <c r="B1788" s="1">
        <v>5.5191616E7</v>
      </c>
      <c r="C1788" s="1">
        <v>2.19243661E8</v>
      </c>
      <c r="D1788" s="1" t="s">
        <v>2837</v>
      </c>
    </row>
    <row r="1789">
      <c r="A1789" s="1">
        <v>656.0</v>
      </c>
      <c r="B1789" s="1">
        <v>5.5141295E7</v>
      </c>
      <c r="C1789" s="1">
        <v>3.75228038E8</v>
      </c>
      <c r="D1789" s="1" t="s">
        <v>2838</v>
      </c>
    </row>
    <row r="1790">
      <c r="A1790" s="1">
        <v>610.0</v>
      </c>
      <c r="B1790" s="1">
        <v>5.4983512E7</v>
      </c>
      <c r="C1790" s="1">
        <v>2.1820335E8</v>
      </c>
      <c r="D1790" s="1" t="s">
        <v>2840</v>
      </c>
    </row>
    <row r="1791">
      <c r="A1791" s="1">
        <v>394.0</v>
      </c>
      <c r="B1791" s="1">
        <v>5.4949001E7</v>
      </c>
      <c r="C1791" s="1">
        <v>2.1799978E8</v>
      </c>
      <c r="D1791" s="1" t="s">
        <v>2841</v>
      </c>
    </row>
    <row r="1792">
      <c r="A1792" s="1">
        <v>484.0</v>
      </c>
      <c r="B1792" s="1">
        <v>5.49414E7</v>
      </c>
      <c r="C1792" s="1">
        <v>2.18046178E8</v>
      </c>
      <c r="D1792" s="1" t="s">
        <v>2843</v>
      </c>
    </row>
    <row r="1793">
      <c r="A1793" s="1">
        <v>320.0</v>
      </c>
      <c r="B1793" s="1">
        <v>5.4866362E7</v>
      </c>
      <c r="C1793" s="1">
        <v>2.17678102E8</v>
      </c>
      <c r="D1793" s="1" t="s">
        <v>2463</v>
      </c>
    </row>
    <row r="1794">
      <c r="A1794" s="1">
        <v>578.0</v>
      </c>
      <c r="B1794" s="1">
        <v>5.4852606E7</v>
      </c>
      <c r="C1794" s="1">
        <v>2.74590399E8</v>
      </c>
      <c r="D1794" s="1" t="s">
        <v>2845</v>
      </c>
    </row>
    <row r="1795">
      <c r="A1795" s="1">
        <v>696.0</v>
      </c>
      <c r="B1795" s="1">
        <v>5.4845578E7</v>
      </c>
      <c r="C1795" s="1">
        <v>2.17676547E8</v>
      </c>
      <c r="D1795" s="1" t="s">
        <v>2846</v>
      </c>
    </row>
    <row r="1796">
      <c r="A1796" s="1">
        <v>671.0</v>
      </c>
      <c r="B1796" s="1">
        <v>5.4719333E7</v>
      </c>
      <c r="C1796" s="1">
        <v>2.17252407E8</v>
      </c>
      <c r="D1796" s="1" t="s">
        <v>2848</v>
      </c>
    </row>
    <row r="1797">
      <c r="A1797" s="1">
        <v>355.0</v>
      </c>
      <c r="B1797" s="1">
        <v>5.4711565E7</v>
      </c>
      <c r="C1797" s="1">
        <v>2.1723323E8</v>
      </c>
      <c r="D1797" s="1" t="s">
        <v>2849</v>
      </c>
    </row>
    <row r="1798">
      <c r="A1798" s="1">
        <v>355.0</v>
      </c>
      <c r="B1798" s="1">
        <v>5.4707103E7</v>
      </c>
      <c r="C1798" s="1">
        <v>2.17214643E8</v>
      </c>
      <c r="D1798" s="1" t="s">
        <v>2851</v>
      </c>
    </row>
    <row r="1799">
      <c r="A1799" s="1">
        <v>677.0</v>
      </c>
      <c r="B1799" s="1">
        <v>5.4688982E7</v>
      </c>
      <c r="C1799" s="1">
        <v>2.17040742E8</v>
      </c>
      <c r="D1799" s="1" t="s">
        <v>451</v>
      </c>
    </row>
    <row r="1800">
      <c r="A1800" s="1">
        <v>698.0</v>
      </c>
      <c r="B1800" s="1">
        <v>5.4651401E7</v>
      </c>
      <c r="C1800" s="1">
        <v>2.16868122E8</v>
      </c>
      <c r="D1800" s="1">
        <v>10.0</v>
      </c>
    </row>
    <row r="1801">
      <c r="A1801" s="1">
        <v>473.0</v>
      </c>
      <c r="B1801" s="1">
        <v>5.4635546E7</v>
      </c>
      <c r="C1801" s="1">
        <v>2.16680877E8</v>
      </c>
      <c r="D1801" s="1" t="s">
        <v>2854</v>
      </c>
    </row>
    <row r="1802">
      <c r="A1802" s="1">
        <v>669.0</v>
      </c>
      <c r="B1802" s="1">
        <v>5.4632774E7</v>
      </c>
      <c r="C1802" s="1">
        <v>2.16677208E8</v>
      </c>
      <c r="D1802" s="1" t="s">
        <v>2856</v>
      </c>
    </row>
    <row r="1803">
      <c r="A1803" s="1">
        <v>484.0</v>
      </c>
      <c r="B1803" s="1">
        <v>5.4527183E7</v>
      </c>
      <c r="C1803" s="1">
        <v>2.16667026E8</v>
      </c>
      <c r="D1803" s="1" t="s">
        <v>2858</v>
      </c>
    </row>
    <row r="1804">
      <c r="A1804" s="1">
        <v>661.0</v>
      </c>
      <c r="B1804" s="1">
        <v>5.4487784E7</v>
      </c>
      <c r="C1804" s="1">
        <v>2.16100946E8</v>
      </c>
      <c r="D1804" s="1" t="s">
        <v>2859</v>
      </c>
    </row>
    <row r="1805">
      <c r="A1805" s="1">
        <v>392.0</v>
      </c>
      <c r="B1805" s="1">
        <v>5.4461694E7</v>
      </c>
      <c r="C1805" s="1">
        <v>2.16055362E8</v>
      </c>
      <c r="D1805" s="1" t="s">
        <v>2861</v>
      </c>
    </row>
    <row r="1806">
      <c r="A1806" s="1">
        <v>610.0</v>
      </c>
      <c r="B1806" s="1">
        <v>5.4425974E7</v>
      </c>
      <c r="C1806" s="1">
        <v>2.16010694E8</v>
      </c>
      <c r="D1806" s="1" t="s">
        <v>2862</v>
      </c>
    </row>
    <row r="1807">
      <c r="A1807" s="1">
        <v>320.0</v>
      </c>
      <c r="B1807" s="1">
        <v>5.4406118E7</v>
      </c>
      <c r="C1807" s="1">
        <v>2.15768292E8</v>
      </c>
      <c r="D1807" s="1" t="s">
        <v>2863</v>
      </c>
    </row>
    <row r="1808">
      <c r="A1808" s="1">
        <v>578.0</v>
      </c>
      <c r="B1808" s="1">
        <v>5.4396895E7</v>
      </c>
      <c r="C1808" s="1">
        <v>2.15774275E8</v>
      </c>
      <c r="D1808" s="1" t="s">
        <v>2865</v>
      </c>
    </row>
    <row r="1809">
      <c r="A1809" s="1">
        <v>394.0</v>
      </c>
      <c r="B1809" s="1">
        <v>5.4379239E7</v>
      </c>
      <c r="C1809" s="1">
        <v>2.15811063E8</v>
      </c>
      <c r="D1809" s="1" t="s">
        <v>1461</v>
      </c>
    </row>
    <row r="1810">
      <c r="A1810" s="1">
        <v>414.0</v>
      </c>
      <c r="B1810" s="1">
        <v>5.4345639E7</v>
      </c>
      <c r="C1810" s="1">
        <v>2.15544833E8</v>
      </c>
      <c r="D1810" s="1" t="s">
        <v>2867</v>
      </c>
    </row>
    <row r="1811">
      <c r="A1811" s="1">
        <v>571.0</v>
      </c>
      <c r="B1811" s="1">
        <v>5.4266333E7</v>
      </c>
      <c r="C1811" s="1">
        <v>2.15559665E8</v>
      </c>
      <c r="D1811" s="1" t="s">
        <v>2869</v>
      </c>
    </row>
    <row r="1812">
      <c r="A1812" s="1">
        <v>571.0</v>
      </c>
      <c r="B1812" s="1">
        <v>5.4231028E7</v>
      </c>
      <c r="C1812" s="1">
        <v>2.16067527E8</v>
      </c>
      <c r="D1812" s="1" t="s">
        <v>2870</v>
      </c>
    </row>
    <row r="1813">
      <c r="A1813" s="1">
        <v>401.0</v>
      </c>
      <c r="B1813" s="1">
        <v>5.4222779E7</v>
      </c>
      <c r="C1813" s="1">
        <v>2.15780097E8</v>
      </c>
      <c r="D1813" s="1" t="s">
        <v>2871</v>
      </c>
    </row>
    <row r="1814">
      <c r="A1814" s="1">
        <v>120.0</v>
      </c>
      <c r="B1814" s="1">
        <v>5.4173576E7</v>
      </c>
      <c r="C1814" s="1">
        <v>2.14874675E8</v>
      </c>
      <c r="D1814" s="1" t="s">
        <v>2872</v>
      </c>
    </row>
    <row r="1815">
      <c r="A1815" s="1">
        <v>484.0</v>
      </c>
      <c r="B1815" s="1">
        <v>5.4169668E7</v>
      </c>
      <c r="C1815" s="1">
        <v>2.15111287E8</v>
      </c>
      <c r="D1815" s="1" t="s">
        <v>2874</v>
      </c>
    </row>
    <row r="1816">
      <c r="A1816" s="1">
        <v>504.0</v>
      </c>
      <c r="B1816" s="1">
        <v>5.4133131E7</v>
      </c>
      <c r="C1816" s="1">
        <v>2.14660795E8</v>
      </c>
      <c r="D1816" s="1" t="s">
        <v>2875</v>
      </c>
    </row>
    <row r="1817">
      <c r="A1817" s="1">
        <v>671.0</v>
      </c>
      <c r="B1817" s="1">
        <v>5.4106444E7</v>
      </c>
      <c r="C1817" s="1">
        <v>2.14959518E8</v>
      </c>
      <c r="D1817" s="1" t="s">
        <v>2876</v>
      </c>
    </row>
    <row r="1818">
      <c r="A1818" s="1">
        <v>337.0</v>
      </c>
      <c r="B1818" s="1">
        <v>5.4043677E7</v>
      </c>
      <c r="C1818" s="1">
        <v>2.14675723E8</v>
      </c>
      <c r="D1818" s="1" t="s">
        <v>2800</v>
      </c>
    </row>
    <row r="1819">
      <c r="A1819" s="1">
        <v>421.0</v>
      </c>
      <c r="B1819" s="1">
        <v>5.4036335E7</v>
      </c>
      <c r="C1819" s="1">
        <v>2.14465824E8</v>
      </c>
      <c r="D1819" s="1" t="s">
        <v>2879</v>
      </c>
    </row>
    <row r="1820">
      <c r="A1820" s="1">
        <v>665.0</v>
      </c>
      <c r="B1820" s="1">
        <v>5.4031435E7</v>
      </c>
      <c r="C1820" s="1">
        <v>2.14511481E8</v>
      </c>
      <c r="D1820" s="1" t="s">
        <v>2880</v>
      </c>
    </row>
    <row r="1821">
      <c r="A1821" s="1">
        <v>473.0</v>
      </c>
      <c r="B1821" s="1">
        <v>5.3953112E7</v>
      </c>
      <c r="C1821" s="1">
        <v>2.13919934E8</v>
      </c>
      <c r="D1821" s="1" t="s">
        <v>367</v>
      </c>
    </row>
    <row r="1822">
      <c r="A1822" s="1">
        <v>410.0</v>
      </c>
      <c r="B1822" s="1">
        <v>5.3952775E7</v>
      </c>
      <c r="C1822" s="1">
        <v>2.13977635E8</v>
      </c>
      <c r="D1822" s="1" t="s">
        <v>2881</v>
      </c>
    </row>
    <row r="1823">
      <c r="A1823" s="1">
        <v>406.0</v>
      </c>
      <c r="B1823" s="1">
        <v>5.3934484E7</v>
      </c>
      <c r="C1823" s="1">
        <v>2.14745204E8</v>
      </c>
      <c r="D1823" s="1" t="s">
        <v>2882</v>
      </c>
    </row>
    <row r="1824">
      <c r="A1824" s="1">
        <v>488.0</v>
      </c>
      <c r="B1824" s="1">
        <v>5.3816161E7</v>
      </c>
      <c r="C1824" s="1">
        <v>2.13705548E8</v>
      </c>
      <c r="D1824" s="1" t="s">
        <v>2883</v>
      </c>
    </row>
    <row r="1825">
      <c r="A1825" s="1">
        <v>593.0</v>
      </c>
      <c r="B1825" s="1">
        <v>5.3758127E7</v>
      </c>
      <c r="C1825" s="1">
        <v>2.13243666E8</v>
      </c>
      <c r="D1825" s="1" t="s">
        <v>2884</v>
      </c>
    </row>
    <row r="1826">
      <c r="A1826" s="1">
        <v>414.0</v>
      </c>
      <c r="B1826" s="1">
        <v>5.3727492E7</v>
      </c>
      <c r="C1826" s="1">
        <v>2.13175253E8</v>
      </c>
      <c r="D1826" s="1" t="s">
        <v>2885</v>
      </c>
    </row>
    <row r="1827">
      <c r="A1827" s="1">
        <v>244.0</v>
      </c>
      <c r="B1827" s="1">
        <v>5.3656999E7</v>
      </c>
      <c r="C1827" s="1">
        <v>2.12792728E8</v>
      </c>
      <c r="D1827" s="1" t="s">
        <v>2886</v>
      </c>
    </row>
    <row r="1828">
      <c r="A1828" s="1">
        <v>488.0</v>
      </c>
      <c r="B1828" s="1">
        <v>5.3639996E7</v>
      </c>
      <c r="C1828" s="1">
        <v>2.12708158E8</v>
      </c>
      <c r="D1828" s="1" t="s">
        <v>2888</v>
      </c>
    </row>
    <row r="1829">
      <c r="A1829" s="1">
        <v>355.0</v>
      </c>
      <c r="B1829" s="1">
        <v>5.3583797E7</v>
      </c>
      <c r="C1829" s="1">
        <v>2.12515816E8</v>
      </c>
      <c r="D1829" s="1" t="s">
        <v>2890</v>
      </c>
    </row>
    <row r="1830">
      <c r="A1830" s="1">
        <v>504.0</v>
      </c>
      <c r="B1830" s="1">
        <v>5.3544634E7</v>
      </c>
      <c r="C1830" s="1">
        <v>4.18049137E8</v>
      </c>
      <c r="D1830" s="1" t="s">
        <v>1811</v>
      </c>
    </row>
    <row r="1831">
      <c r="A1831" s="1">
        <v>380.0</v>
      </c>
      <c r="B1831" s="1">
        <v>5.3529867E7</v>
      </c>
      <c r="C1831" s="1">
        <v>2.12470261E8</v>
      </c>
      <c r="D1831" s="1" t="s">
        <v>2891</v>
      </c>
    </row>
    <row r="1832">
      <c r="A1832" s="1">
        <v>414.0</v>
      </c>
      <c r="B1832" s="1">
        <v>5.3479118E7</v>
      </c>
      <c r="C1832" s="1">
        <v>2.1220671E8</v>
      </c>
      <c r="D1832" s="1" t="s">
        <v>449</v>
      </c>
    </row>
    <row r="1833">
      <c r="A1833" s="1">
        <v>215.0</v>
      </c>
      <c r="B1833" s="1">
        <v>5.345363E7</v>
      </c>
      <c r="C1833" s="1">
        <v>2.12563391E8</v>
      </c>
      <c r="D1833" s="1" t="s">
        <v>2893</v>
      </c>
    </row>
    <row r="1834">
      <c r="A1834" s="1">
        <v>677.0</v>
      </c>
      <c r="B1834" s="1">
        <v>5.3443277E7</v>
      </c>
      <c r="C1834" s="1">
        <v>2.11944783E8</v>
      </c>
      <c r="D1834" s="1" t="s">
        <v>2894</v>
      </c>
    </row>
    <row r="1835">
      <c r="A1835" s="1">
        <v>593.0</v>
      </c>
      <c r="B1835" s="1">
        <v>5.3436242E7</v>
      </c>
      <c r="C1835" s="1">
        <v>2.11947961E8</v>
      </c>
      <c r="D1835" s="1" t="s">
        <v>2896</v>
      </c>
    </row>
    <row r="1836">
      <c r="A1836" s="1">
        <v>461.0</v>
      </c>
      <c r="B1836" s="1">
        <v>5.3410013E7</v>
      </c>
      <c r="C1836" s="1">
        <v>2.11743758E8</v>
      </c>
      <c r="D1836" s="1" t="s">
        <v>2898</v>
      </c>
    </row>
    <row r="1837">
      <c r="A1837" s="1">
        <v>578.0</v>
      </c>
      <c r="B1837" s="1">
        <v>5.3359717E7</v>
      </c>
      <c r="C1837" s="1">
        <v>2.11951385E8</v>
      </c>
      <c r="D1837" s="1" t="s">
        <v>2835</v>
      </c>
    </row>
    <row r="1838">
      <c r="A1838" s="1">
        <v>320.0</v>
      </c>
      <c r="B1838" s="1">
        <v>5.3359236E7</v>
      </c>
      <c r="C1838" s="1">
        <v>2.11732982E8</v>
      </c>
      <c r="D1838" s="1" t="s">
        <v>2900</v>
      </c>
    </row>
    <row r="1839">
      <c r="A1839" s="1">
        <v>488.0</v>
      </c>
      <c r="B1839" s="1">
        <v>5.3332069E7</v>
      </c>
      <c r="C1839" s="1">
        <v>2.11466339E8</v>
      </c>
      <c r="D1839" s="1" t="s">
        <v>2901</v>
      </c>
    </row>
    <row r="1840">
      <c r="A1840" s="1">
        <v>353.0</v>
      </c>
      <c r="B1840" s="1">
        <v>5.3316069E7</v>
      </c>
      <c r="C1840" s="1">
        <v>2.11719917E8</v>
      </c>
      <c r="D1840" s="1" t="s">
        <v>2902</v>
      </c>
    </row>
    <row r="1841">
      <c r="A1841" s="1">
        <v>602.0</v>
      </c>
      <c r="B1841" s="1">
        <v>5.3258797E7</v>
      </c>
      <c r="C1841" s="1">
        <v>2.11776402E8</v>
      </c>
      <c r="D1841" s="1" t="s">
        <v>2903</v>
      </c>
    </row>
    <row r="1842">
      <c r="A1842" s="1">
        <v>355.0</v>
      </c>
      <c r="B1842" s="1">
        <v>5.32419E7</v>
      </c>
      <c r="C1842" s="1">
        <v>2.11231487E8</v>
      </c>
      <c r="D1842" s="1" t="s">
        <v>2904</v>
      </c>
    </row>
    <row r="1843">
      <c r="A1843" s="1">
        <v>210.0</v>
      </c>
      <c r="B1843" s="1">
        <v>5.3228528E7</v>
      </c>
      <c r="C1843" s="1">
        <v>2.11981339E8</v>
      </c>
      <c r="D1843" s="1" t="s">
        <v>2102</v>
      </c>
    </row>
    <row r="1844">
      <c r="A1844" s="1">
        <v>408.0</v>
      </c>
      <c r="B1844" s="1">
        <v>5.3191125E7</v>
      </c>
      <c r="C1844" s="1">
        <v>2.10913118E8</v>
      </c>
      <c r="D1844" s="1" t="s">
        <v>2490</v>
      </c>
    </row>
    <row r="1845">
      <c r="A1845" s="1">
        <v>571.0</v>
      </c>
      <c r="B1845" s="1">
        <v>5.3186663E7</v>
      </c>
      <c r="C1845" s="1">
        <v>2.11069746E8</v>
      </c>
      <c r="D1845" s="1" t="s">
        <v>1210</v>
      </c>
    </row>
    <row r="1846">
      <c r="A1846" s="1">
        <v>712.0</v>
      </c>
      <c r="B1846" s="1">
        <v>5.3160618E7</v>
      </c>
      <c r="C1846" s="1">
        <v>2.10951367E8</v>
      </c>
      <c r="D1846" s="1" t="s">
        <v>2905</v>
      </c>
    </row>
    <row r="1847">
      <c r="A1847" s="1">
        <v>603.0</v>
      </c>
      <c r="B1847" s="1">
        <v>5.3156534E7</v>
      </c>
      <c r="C1847" s="1">
        <v>2.11191925E8</v>
      </c>
      <c r="D1847" s="1" t="s">
        <v>2798</v>
      </c>
    </row>
    <row r="1848">
      <c r="A1848" s="1">
        <v>172.0</v>
      </c>
      <c r="B1848" s="1">
        <v>5.3152818E7</v>
      </c>
      <c r="C1848" s="1">
        <v>2.11008732E8</v>
      </c>
      <c r="D1848" s="1" t="s">
        <v>2907</v>
      </c>
    </row>
    <row r="1849">
      <c r="A1849" s="1">
        <v>498.0</v>
      </c>
      <c r="B1849" s="1">
        <v>5.311314E7</v>
      </c>
      <c r="C1849" s="1">
        <v>2.10604317E8</v>
      </c>
      <c r="D1849" s="1" t="s">
        <v>2908</v>
      </c>
    </row>
    <row r="1850">
      <c r="A1850" s="1">
        <v>410.0</v>
      </c>
      <c r="B1850" s="1">
        <v>5.3102874E7</v>
      </c>
      <c r="C1850" s="1">
        <v>2.10660635E8</v>
      </c>
      <c r="D1850" s="1" t="s">
        <v>2910</v>
      </c>
    </row>
    <row r="1851">
      <c r="A1851" s="1">
        <v>671.0</v>
      </c>
      <c r="B1851" s="1">
        <v>5.3064691E7</v>
      </c>
      <c r="C1851" s="1">
        <v>2.1068387E8</v>
      </c>
      <c r="D1851" s="1" t="s">
        <v>2570</v>
      </c>
    </row>
    <row r="1852">
      <c r="A1852" s="1">
        <v>355.0</v>
      </c>
      <c r="B1852" s="1">
        <v>5.3060461E7</v>
      </c>
      <c r="C1852" s="1">
        <v>2.10370289E8</v>
      </c>
      <c r="D1852" s="1" t="s">
        <v>2911</v>
      </c>
    </row>
    <row r="1853">
      <c r="A1853" s="1">
        <v>602.0</v>
      </c>
      <c r="B1853" s="1">
        <v>5.3043067E7</v>
      </c>
      <c r="C1853" s="1">
        <v>2.10416021E8</v>
      </c>
      <c r="D1853" s="1" t="s">
        <v>2913</v>
      </c>
    </row>
    <row r="1854">
      <c r="A1854" s="1">
        <v>587.0</v>
      </c>
      <c r="B1854" s="1">
        <v>5.3016006E7</v>
      </c>
      <c r="C1854" s="1">
        <v>2.1016996E8</v>
      </c>
      <c r="D1854" s="1" t="s">
        <v>2460</v>
      </c>
    </row>
    <row r="1855">
      <c r="A1855" s="1">
        <v>586.0</v>
      </c>
      <c r="B1855" s="1">
        <v>5.294774E7</v>
      </c>
      <c r="C1855" s="1">
        <v>2.09904303E8</v>
      </c>
      <c r="D1855" s="1" t="s">
        <v>2914</v>
      </c>
    </row>
    <row r="1856">
      <c r="A1856" s="1">
        <v>671.0</v>
      </c>
      <c r="B1856" s="1">
        <v>5.2904008E7</v>
      </c>
      <c r="C1856" s="1">
        <v>2.09945662E8</v>
      </c>
      <c r="D1856" s="1" t="s">
        <v>2916</v>
      </c>
    </row>
    <row r="1857">
      <c r="A1857" s="1">
        <v>392.0</v>
      </c>
      <c r="B1857" s="1">
        <v>5.2892879E7</v>
      </c>
      <c r="C1857" s="1">
        <v>2.09924182E8</v>
      </c>
      <c r="D1857" s="1" t="s">
        <v>2172</v>
      </c>
    </row>
    <row r="1858">
      <c r="A1858" s="1">
        <v>578.0</v>
      </c>
      <c r="B1858" s="1">
        <v>5.2778865E7</v>
      </c>
      <c r="C1858" s="1">
        <v>2.09222693E8</v>
      </c>
      <c r="D1858" s="1" t="s">
        <v>2917</v>
      </c>
    </row>
    <row r="1859">
      <c r="A1859" s="1">
        <v>602.0</v>
      </c>
      <c r="B1859" s="1">
        <v>5.2775283E7</v>
      </c>
      <c r="C1859" s="1">
        <v>2.09635999E8</v>
      </c>
      <c r="D1859" s="1" t="s">
        <v>2664</v>
      </c>
    </row>
    <row r="1860">
      <c r="A1860" s="1">
        <v>194.0</v>
      </c>
      <c r="B1860" s="1">
        <v>5.2759409E7</v>
      </c>
      <c r="C1860" s="1">
        <v>2.0919026E8</v>
      </c>
      <c r="D1860" s="1" t="s">
        <v>2918</v>
      </c>
    </row>
    <row r="1861">
      <c r="A1861" s="1">
        <v>353.0</v>
      </c>
      <c r="B1861" s="1">
        <v>5.2754122E7</v>
      </c>
      <c r="C1861" s="1">
        <v>2.09270659E8</v>
      </c>
      <c r="D1861" s="1" t="s">
        <v>597</v>
      </c>
    </row>
    <row r="1862">
      <c r="A1862" s="1">
        <v>654.0</v>
      </c>
      <c r="B1862" s="1">
        <v>5.2749087E7</v>
      </c>
      <c r="C1862" s="1">
        <v>2.09175431E8</v>
      </c>
      <c r="D1862" s="1" t="s">
        <v>2919</v>
      </c>
    </row>
    <row r="1863">
      <c r="A1863" s="1">
        <v>392.0</v>
      </c>
      <c r="B1863" s="1">
        <v>5.2731192E7</v>
      </c>
      <c r="C1863" s="1">
        <v>2.09228703E8</v>
      </c>
      <c r="D1863" s="1" t="s">
        <v>2920</v>
      </c>
    </row>
    <row r="1864">
      <c r="A1864" s="1">
        <v>587.0</v>
      </c>
      <c r="B1864" s="1">
        <v>5.2704482E7</v>
      </c>
      <c r="C1864" s="1">
        <v>2.09203188E8</v>
      </c>
      <c r="D1864" s="1" t="s">
        <v>2921</v>
      </c>
    </row>
    <row r="1865">
      <c r="A1865" s="1">
        <v>224.0</v>
      </c>
      <c r="B1865" s="1">
        <v>5.2703719E7</v>
      </c>
      <c r="C1865" s="1">
        <v>2.08974015E8</v>
      </c>
      <c r="D1865" s="1" t="s">
        <v>2922</v>
      </c>
    </row>
    <row r="1866">
      <c r="A1866" s="1">
        <v>571.0</v>
      </c>
      <c r="B1866" s="1">
        <v>5.2590194E7</v>
      </c>
      <c r="C1866" s="1">
        <v>2.085513E8</v>
      </c>
      <c r="D1866" s="1" t="s">
        <v>447</v>
      </c>
    </row>
    <row r="1867">
      <c r="A1867" s="1">
        <v>571.0</v>
      </c>
      <c r="B1867" s="1">
        <v>5.2542886E7</v>
      </c>
      <c r="C1867" s="1">
        <v>2.08421083E8</v>
      </c>
      <c r="D1867" s="1" t="s">
        <v>2924</v>
      </c>
    </row>
    <row r="1868">
      <c r="A1868" s="1">
        <v>353.0</v>
      </c>
      <c r="B1868" s="1">
        <v>5.2541965E7</v>
      </c>
      <c r="C1868" s="1">
        <v>2.08526707E8</v>
      </c>
      <c r="D1868" s="1" t="s">
        <v>2726</v>
      </c>
    </row>
    <row r="1869">
      <c r="A1869" s="1">
        <v>353.0</v>
      </c>
      <c r="B1869" s="1">
        <v>5.2515146E7</v>
      </c>
      <c r="C1869" s="1">
        <v>2.08577107E8</v>
      </c>
      <c r="D1869" s="1" t="s">
        <v>2926</v>
      </c>
    </row>
    <row r="1870">
      <c r="A1870" s="1">
        <v>471.0</v>
      </c>
      <c r="B1870" s="1">
        <v>5.24639E7</v>
      </c>
      <c r="C1870" s="1">
        <v>2.08283642E8</v>
      </c>
      <c r="D1870" s="1" t="s">
        <v>2927</v>
      </c>
    </row>
    <row r="1871">
      <c r="A1871" s="1">
        <v>610.0</v>
      </c>
      <c r="B1871" s="1">
        <v>5.2418801E7</v>
      </c>
      <c r="C1871" s="1">
        <v>2.08260343E8</v>
      </c>
      <c r="D1871" s="1" t="s">
        <v>2929</v>
      </c>
    </row>
    <row r="1872">
      <c r="A1872" s="1">
        <v>398.0</v>
      </c>
      <c r="B1872" s="1">
        <v>5.2410112E7</v>
      </c>
      <c r="C1872" s="1">
        <v>2.07882439E8</v>
      </c>
      <c r="D1872" s="1" t="s">
        <v>2930</v>
      </c>
    </row>
    <row r="1873">
      <c r="A1873" s="1">
        <v>677.0</v>
      </c>
      <c r="B1873" s="1">
        <v>5.2374504E7</v>
      </c>
      <c r="C1873" s="1">
        <v>2.07622843E8</v>
      </c>
      <c r="D1873" s="1" t="s">
        <v>2540</v>
      </c>
    </row>
    <row r="1874">
      <c r="A1874" s="1">
        <v>484.0</v>
      </c>
      <c r="B1874" s="1">
        <v>5.2365189E7</v>
      </c>
      <c r="C1874" s="1">
        <v>2.11181562E8</v>
      </c>
      <c r="D1874" s="1" t="s">
        <v>2931</v>
      </c>
    </row>
    <row r="1875">
      <c r="A1875" s="1">
        <v>395.0</v>
      </c>
      <c r="B1875" s="1">
        <v>5.2349151E7</v>
      </c>
      <c r="C1875" s="1">
        <v>2.07633523E8</v>
      </c>
      <c r="D1875" s="1" t="s">
        <v>2517</v>
      </c>
    </row>
    <row r="1876">
      <c r="A1876" s="1">
        <v>392.0</v>
      </c>
      <c r="B1876" s="1">
        <v>5.2324079E7</v>
      </c>
      <c r="C1876" s="1">
        <v>2.07423145E8</v>
      </c>
      <c r="D1876" s="1" t="s">
        <v>2405</v>
      </c>
    </row>
    <row r="1877">
      <c r="A1877" s="1">
        <v>406.0</v>
      </c>
      <c r="B1877" s="1">
        <v>5.227847E7</v>
      </c>
      <c r="C1877" s="1">
        <v>2.0744513E8</v>
      </c>
      <c r="D1877" s="1" t="s">
        <v>2934</v>
      </c>
    </row>
    <row r="1878">
      <c r="A1878" s="1">
        <v>713.0</v>
      </c>
      <c r="B1878" s="1">
        <v>5.2268935E7</v>
      </c>
      <c r="C1878" s="1">
        <v>2.07616013E8</v>
      </c>
      <c r="D1878" s="1" t="s">
        <v>2935</v>
      </c>
    </row>
    <row r="1879">
      <c r="A1879" s="1">
        <v>414.0</v>
      </c>
      <c r="B1879" s="1">
        <v>5.2223747E7</v>
      </c>
      <c r="C1879" s="1">
        <v>2.06956168E8</v>
      </c>
      <c r="D1879" s="1" t="s">
        <v>2936</v>
      </c>
    </row>
    <row r="1880">
      <c r="A1880" s="1">
        <v>570.0</v>
      </c>
      <c r="B1880" s="1">
        <v>5.2168003E7</v>
      </c>
      <c r="C1880" s="1">
        <v>2.06964398E8</v>
      </c>
      <c r="D1880" s="1" t="s">
        <v>2938</v>
      </c>
    </row>
    <row r="1881">
      <c r="A1881" s="1">
        <v>410.0</v>
      </c>
      <c r="B1881" s="1">
        <v>5.2128209E7</v>
      </c>
      <c r="C1881" s="1">
        <v>2.06553282E8</v>
      </c>
      <c r="D1881" s="1" t="s">
        <v>2939</v>
      </c>
    </row>
    <row r="1882">
      <c r="A1882" s="1">
        <v>394.0</v>
      </c>
      <c r="B1882" s="1">
        <v>5.2119782E7</v>
      </c>
      <c r="C1882" s="1">
        <v>2.0653511E8</v>
      </c>
      <c r="D1882" s="1" t="s">
        <v>2852</v>
      </c>
    </row>
    <row r="1883">
      <c r="A1883" s="1">
        <v>215.0</v>
      </c>
      <c r="B1883" s="1">
        <v>5.2059535E7</v>
      </c>
      <c r="C1883" s="1">
        <v>2.0690574E8</v>
      </c>
      <c r="D1883" s="1" t="s">
        <v>2941</v>
      </c>
    </row>
    <row r="1884">
      <c r="A1884" s="1">
        <v>602.0</v>
      </c>
      <c r="B1884" s="1">
        <v>5.20234E7</v>
      </c>
      <c r="C1884" s="1">
        <v>2.0655137E8</v>
      </c>
      <c r="D1884" s="1" t="s">
        <v>2943</v>
      </c>
    </row>
    <row r="1885">
      <c r="A1885" s="1">
        <v>403.0</v>
      </c>
      <c r="B1885" s="1">
        <v>5.2007924E7</v>
      </c>
      <c r="C1885" s="1">
        <v>3.27863645E8</v>
      </c>
      <c r="D1885" s="1" t="s">
        <v>2945</v>
      </c>
    </row>
    <row r="1886">
      <c r="A1886" s="1">
        <v>394.0</v>
      </c>
      <c r="B1886" s="1">
        <v>5.197581E7</v>
      </c>
      <c r="C1886" s="1">
        <v>2.0614425E8</v>
      </c>
      <c r="D1886" s="1" t="s">
        <v>2946</v>
      </c>
    </row>
    <row r="1887">
      <c r="A1887" s="1">
        <v>504.0</v>
      </c>
      <c r="B1887" s="1">
        <v>5.1968798E7</v>
      </c>
      <c r="C1887" s="1">
        <v>2.06291361E8</v>
      </c>
      <c r="D1887" s="1" t="s">
        <v>2948</v>
      </c>
    </row>
    <row r="1888">
      <c r="A1888" s="1">
        <v>602.0</v>
      </c>
      <c r="B1888" s="1">
        <v>5.1932214E7</v>
      </c>
      <c r="C1888" s="1">
        <v>2.05899757E8</v>
      </c>
      <c r="D1888" s="1" t="s">
        <v>2949</v>
      </c>
    </row>
    <row r="1889">
      <c r="A1889" s="1">
        <v>173.0</v>
      </c>
      <c r="B1889" s="1">
        <v>5.1894503E7</v>
      </c>
      <c r="C1889" s="1">
        <v>2.05948839E8</v>
      </c>
      <c r="D1889" s="1" t="s">
        <v>553</v>
      </c>
    </row>
    <row r="1890">
      <c r="A1890" s="1">
        <v>671.0</v>
      </c>
      <c r="B1890" s="1">
        <v>5.1835883E7</v>
      </c>
      <c r="C1890" s="1">
        <v>2.05452361E8</v>
      </c>
      <c r="D1890" s="1" t="s">
        <v>2952</v>
      </c>
    </row>
    <row r="1891">
      <c r="A1891" s="1">
        <v>575.0</v>
      </c>
      <c r="B1891" s="1">
        <v>5.1799439E7</v>
      </c>
      <c r="C1891" s="1">
        <v>2.05430447E8</v>
      </c>
      <c r="D1891" s="1" t="s">
        <v>2954</v>
      </c>
    </row>
    <row r="1892">
      <c r="A1892" s="1">
        <v>696.0</v>
      </c>
      <c r="B1892" s="1">
        <v>5.1731587E7</v>
      </c>
      <c r="C1892" s="1">
        <v>2.05193112E8</v>
      </c>
      <c r="D1892" s="1" t="s">
        <v>2955</v>
      </c>
    </row>
    <row r="1893">
      <c r="A1893" s="1">
        <v>602.0</v>
      </c>
      <c r="B1893" s="1">
        <v>5.1713429E7</v>
      </c>
      <c r="C1893" s="1">
        <v>2.46080233E8</v>
      </c>
      <c r="D1893" s="1" t="s">
        <v>2956</v>
      </c>
    </row>
    <row r="1894">
      <c r="A1894" s="1">
        <v>194.0</v>
      </c>
      <c r="B1894" s="1">
        <v>5.1691573E7</v>
      </c>
      <c r="C1894" s="1">
        <v>2.04733535E8</v>
      </c>
      <c r="D1894" s="1" t="s">
        <v>2957</v>
      </c>
    </row>
    <row r="1895">
      <c r="A1895" s="1">
        <v>224.0</v>
      </c>
      <c r="B1895" s="1">
        <v>5.1679016E7</v>
      </c>
      <c r="C1895" s="1">
        <v>2.04761275E8</v>
      </c>
      <c r="D1895" s="1" t="s">
        <v>2958</v>
      </c>
    </row>
    <row r="1896">
      <c r="A1896" s="1">
        <v>677.0</v>
      </c>
      <c r="B1896" s="1">
        <v>5.1654231E7</v>
      </c>
      <c r="C1896" s="1">
        <v>2.04741029E8</v>
      </c>
      <c r="D1896" s="1" t="s">
        <v>2959</v>
      </c>
    </row>
    <row r="1897">
      <c r="A1897" s="1">
        <v>484.0</v>
      </c>
      <c r="B1897" s="1">
        <v>5.1648874E7</v>
      </c>
      <c r="C1897" s="1">
        <v>2.04770584E8</v>
      </c>
      <c r="D1897" s="1" t="s">
        <v>2960</v>
      </c>
    </row>
    <row r="1898">
      <c r="A1898" s="1">
        <v>409.0</v>
      </c>
      <c r="B1898" s="1">
        <v>5.1642469E7</v>
      </c>
      <c r="C1898" s="1">
        <v>2.04725121E8</v>
      </c>
      <c r="D1898" s="1" t="s">
        <v>2961</v>
      </c>
    </row>
    <row r="1899">
      <c r="A1899" s="1">
        <v>409.0</v>
      </c>
      <c r="B1899" s="1">
        <v>5.1618522E7</v>
      </c>
      <c r="C1899" s="1">
        <v>2.04516494E8</v>
      </c>
      <c r="D1899" s="1" t="s">
        <v>2962</v>
      </c>
    </row>
    <row r="1900">
      <c r="A1900" s="1">
        <v>550.0</v>
      </c>
      <c r="B1900" s="1">
        <v>5.1588589E7</v>
      </c>
      <c r="C1900" s="1">
        <v>2.04492954E8</v>
      </c>
      <c r="D1900" s="1" t="s">
        <v>2964</v>
      </c>
    </row>
    <row r="1901">
      <c r="A1901" s="1">
        <v>215.0</v>
      </c>
      <c r="B1901" s="1">
        <v>5.1512311E7</v>
      </c>
      <c r="C1901" s="1">
        <v>2.04841637E8</v>
      </c>
      <c r="D1901" s="1" t="s">
        <v>2966</v>
      </c>
    </row>
    <row r="1902">
      <c r="A1902" s="1">
        <v>353.0</v>
      </c>
      <c r="B1902" s="1">
        <v>5.1505355E7</v>
      </c>
      <c r="C1902" s="1">
        <v>2.04029606E8</v>
      </c>
      <c r="D1902" s="1" t="s">
        <v>2967</v>
      </c>
    </row>
    <row r="1903">
      <c r="A1903" s="1">
        <v>571.0</v>
      </c>
      <c r="B1903" s="1">
        <v>5.1475362E7</v>
      </c>
      <c r="C1903" s="1">
        <v>2.04310861E8</v>
      </c>
      <c r="D1903" s="1" t="s">
        <v>2795</v>
      </c>
    </row>
    <row r="1904">
      <c r="A1904" s="1">
        <v>713.0</v>
      </c>
      <c r="B1904" s="1">
        <v>5.1467948E7</v>
      </c>
      <c r="C1904" s="1">
        <v>2.04001695E8</v>
      </c>
      <c r="D1904" s="1" t="s">
        <v>2968</v>
      </c>
    </row>
    <row r="1905">
      <c r="A1905" s="1">
        <v>353.0</v>
      </c>
      <c r="B1905" s="1">
        <v>5.1460688E7</v>
      </c>
      <c r="C1905" s="1">
        <v>2.03828519E8</v>
      </c>
      <c r="D1905" s="1" t="s">
        <v>2969</v>
      </c>
    </row>
    <row r="1906">
      <c r="A1906" s="1">
        <v>288.0</v>
      </c>
      <c r="B1906" s="1">
        <v>5.143128E7</v>
      </c>
      <c r="C1906" s="1">
        <v>2.03815112E8</v>
      </c>
      <c r="D1906" s="1" t="s">
        <v>2970</v>
      </c>
    </row>
    <row r="1907">
      <c r="A1907" s="1">
        <v>644.0</v>
      </c>
      <c r="B1907" s="1">
        <v>5.1379592E7</v>
      </c>
      <c r="C1907" s="1">
        <v>2.03629237E8</v>
      </c>
      <c r="D1907" s="1" t="s">
        <v>2971</v>
      </c>
    </row>
    <row r="1908">
      <c r="A1908" s="1">
        <v>462.0</v>
      </c>
      <c r="B1908" s="1">
        <v>5.1295652E7</v>
      </c>
      <c r="C1908" s="1">
        <v>2.03215315E8</v>
      </c>
      <c r="D1908" s="1" t="s">
        <v>1281</v>
      </c>
    </row>
    <row r="1909">
      <c r="A1909" s="1">
        <v>571.0</v>
      </c>
      <c r="B1909" s="1">
        <v>5.1288926E7</v>
      </c>
      <c r="C1909" s="1">
        <v>2.036285E8</v>
      </c>
      <c r="D1909" s="1" t="s">
        <v>2973</v>
      </c>
    </row>
    <row r="1910">
      <c r="A1910" s="1">
        <v>484.0</v>
      </c>
      <c r="B1910" s="1">
        <v>5.1282538E7</v>
      </c>
      <c r="C1910" s="1">
        <v>2.03154554E8</v>
      </c>
      <c r="D1910" s="1" t="s">
        <v>2975</v>
      </c>
    </row>
    <row r="1911">
      <c r="A1911" s="1">
        <v>571.0</v>
      </c>
      <c r="B1911" s="1">
        <v>5.128025E7</v>
      </c>
      <c r="C1911" s="1">
        <v>4.10162804E8</v>
      </c>
      <c r="D1911" s="1" t="s">
        <v>2976</v>
      </c>
    </row>
    <row r="1912">
      <c r="A1912" s="1">
        <v>194.0</v>
      </c>
      <c r="B1912" s="1">
        <v>5.1271235E7</v>
      </c>
      <c r="C1912" s="1">
        <v>2.03197871E8</v>
      </c>
      <c r="D1912" s="1" t="s">
        <v>2977</v>
      </c>
    </row>
    <row r="1913">
      <c r="A1913" s="1">
        <v>379.0</v>
      </c>
      <c r="B1913" s="1">
        <v>5.1217379E7</v>
      </c>
      <c r="C1913" s="1">
        <v>2.03001448E8</v>
      </c>
      <c r="D1913" s="1" t="s">
        <v>2978</v>
      </c>
    </row>
    <row r="1914">
      <c r="A1914" s="1">
        <v>414.0</v>
      </c>
      <c r="B1914" s="1">
        <v>5.1200796E7</v>
      </c>
      <c r="C1914" s="1">
        <v>2.0296329E8</v>
      </c>
      <c r="D1914" s="1" t="s">
        <v>2980</v>
      </c>
    </row>
    <row r="1915">
      <c r="A1915" s="1">
        <v>484.0</v>
      </c>
      <c r="B1915" s="1">
        <v>5.1175082E7</v>
      </c>
      <c r="C1915" s="1">
        <v>2.02742507E8</v>
      </c>
      <c r="D1915" s="1" t="s">
        <v>1059</v>
      </c>
    </row>
    <row r="1916">
      <c r="A1916" s="1">
        <v>564.0</v>
      </c>
      <c r="B1916" s="1">
        <v>5.1169484E7</v>
      </c>
      <c r="C1916" s="1">
        <v>2.02970143E8</v>
      </c>
      <c r="D1916" s="1" t="s">
        <v>2981</v>
      </c>
    </row>
    <row r="1917">
      <c r="A1917" s="1">
        <v>603.0</v>
      </c>
      <c r="B1917" s="1">
        <v>5.1143975E7</v>
      </c>
      <c r="C1917" s="1">
        <v>2.0254216E8</v>
      </c>
      <c r="D1917" s="1" t="s">
        <v>2982</v>
      </c>
    </row>
    <row r="1918">
      <c r="A1918" s="1">
        <v>571.0</v>
      </c>
      <c r="B1918" s="1">
        <v>5.111982E7</v>
      </c>
      <c r="C1918" s="1">
        <v>2.02691386E8</v>
      </c>
      <c r="D1918" s="1" t="s">
        <v>2983</v>
      </c>
    </row>
    <row r="1919">
      <c r="A1919" s="1">
        <v>671.0</v>
      </c>
      <c r="B1919" s="1">
        <v>5.1063179E7</v>
      </c>
      <c r="C1919" s="1">
        <v>2.02451146E8</v>
      </c>
      <c r="D1919" s="1" t="s">
        <v>2984</v>
      </c>
    </row>
    <row r="1920">
      <c r="A1920" s="1">
        <v>571.0</v>
      </c>
      <c r="B1920" s="1">
        <v>5.1032293E7</v>
      </c>
      <c r="C1920" s="1">
        <v>2.0222743E8</v>
      </c>
      <c r="D1920" s="1" t="s">
        <v>2985</v>
      </c>
    </row>
    <row r="1921">
      <c r="A1921" s="1">
        <v>488.0</v>
      </c>
      <c r="B1921" s="1">
        <v>5.1029756E7</v>
      </c>
      <c r="C1921" s="1">
        <v>2.02390215E8</v>
      </c>
      <c r="D1921" s="1" t="s">
        <v>2986</v>
      </c>
    </row>
    <row r="1922">
      <c r="A1922" s="1">
        <v>671.0</v>
      </c>
      <c r="B1922" s="1">
        <v>5.1016879E7</v>
      </c>
      <c r="C1922" s="1">
        <v>2.02432059E8</v>
      </c>
      <c r="D1922" s="1" t="s">
        <v>2987</v>
      </c>
    </row>
    <row r="1923">
      <c r="A1923" s="1">
        <v>664.0</v>
      </c>
      <c r="B1923" s="1">
        <v>5.1001446E7</v>
      </c>
      <c r="C1923" s="1">
        <v>2.02238129E8</v>
      </c>
      <c r="D1923" s="1" t="s">
        <v>2988</v>
      </c>
    </row>
    <row r="1924">
      <c r="A1924" s="1">
        <v>569.0</v>
      </c>
      <c r="B1924" s="1">
        <v>5.0960883E7</v>
      </c>
      <c r="C1924" s="1">
        <v>2.01856611E8</v>
      </c>
      <c r="D1924" s="1" t="s">
        <v>2989</v>
      </c>
    </row>
    <row r="1925">
      <c r="A1925" s="1">
        <v>668.0</v>
      </c>
      <c r="B1925" s="1">
        <v>5.0957967E7</v>
      </c>
      <c r="C1925" s="1">
        <v>2.01876936E8</v>
      </c>
      <c r="D1925" s="1" t="s">
        <v>2990</v>
      </c>
    </row>
    <row r="1926">
      <c r="A1926" s="1">
        <v>353.0</v>
      </c>
      <c r="B1926" s="1">
        <v>5.0914442E7</v>
      </c>
      <c r="C1926" s="1">
        <v>2.02101813E8</v>
      </c>
      <c r="D1926" s="1" t="s">
        <v>2991</v>
      </c>
    </row>
    <row r="1927">
      <c r="A1927" s="1">
        <v>671.0</v>
      </c>
      <c r="B1927" s="1">
        <v>5.0836705E7</v>
      </c>
      <c r="C1927" s="1">
        <v>2.0167679E8</v>
      </c>
      <c r="D1927" s="1" t="s">
        <v>2992</v>
      </c>
    </row>
    <row r="1928">
      <c r="A1928" s="1">
        <v>401.0</v>
      </c>
      <c r="B1928" s="1">
        <v>5.0824355E7</v>
      </c>
      <c r="C1928" s="1">
        <v>2.01231871E8</v>
      </c>
      <c r="D1928" s="1" t="s">
        <v>2993</v>
      </c>
    </row>
    <row r="1929">
      <c r="A1929" s="1">
        <v>602.0</v>
      </c>
      <c r="B1929" s="1">
        <v>5.0812914E7</v>
      </c>
      <c r="C1929" s="1">
        <v>2.01230205E8</v>
      </c>
      <c r="D1929" s="1" t="s">
        <v>2994</v>
      </c>
    </row>
    <row r="1930">
      <c r="A1930" s="1">
        <v>672.0</v>
      </c>
      <c r="B1930" s="1">
        <v>5.0681554E7</v>
      </c>
      <c r="C1930" s="1">
        <v>2.83701698E8</v>
      </c>
      <c r="D1930" s="1" t="s">
        <v>2995</v>
      </c>
    </row>
    <row r="1931">
      <c r="A1931" s="1">
        <v>473.0</v>
      </c>
      <c r="B1931" s="1">
        <v>5.0673017E7</v>
      </c>
      <c r="C1931" s="1">
        <v>2.00593315E8</v>
      </c>
      <c r="D1931" s="1" t="s">
        <v>2996</v>
      </c>
    </row>
    <row r="1932">
      <c r="A1932" s="1">
        <v>571.0</v>
      </c>
      <c r="B1932" s="1">
        <v>5.067241E7</v>
      </c>
      <c r="C1932" s="1">
        <v>4.79220691E8</v>
      </c>
      <c r="D1932" s="1" t="s">
        <v>2997</v>
      </c>
    </row>
    <row r="1933">
      <c r="A1933" s="1">
        <v>194.0</v>
      </c>
      <c r="B1933" s="1">
        <v>5.0667153E7</v>
      </c>
      <c r="C1933" s="1">
        <v>2.00597582E8</v>
      </c>
      <c r="D1933" s="1" t="s">
        <v>2998</v>
      </c>
    </row>
    <row r="1934">
      <c r="A1934" s="1">
        <v>650.0</v>
      </c>
      <c r="B1934" s="1">
        <v>5.0646067E7</v>
      </c>
      <c r="C1934" s="1">
        <v>2.00631792E8</v>
      </c>
      <c r="D1934" s="1" t="s">
        <v>2999</v>
      </c>
    </row>
    <row r="1935">
      <c r="A1935" s="1">
        <v>671.0</v>
      </c>
      <c r="B1935" s="1">
        <v>5.0577754E7</v>
      </c>
      <c r="C1935" s="1">
        <v>2.00144821E8</v>
      </c>
      <c r="D1935" s="1" t="s">
        <v>3000</v>
      </c>
    </row>
    <row r="1936">
      <c r="A1936" s="1">
        <v>663.0</v>
      </c>
      <c r="B1936" s="1">
        <v>5.0556658E7</v>
      </c>
      <c r="C1936" s="1">
        <v>2.00180251E8</v>
      </c>
      <c r="D1936" s="1" t="s">
        <v>3001</v>
      </c>
    </row>
    <row r="1937">
      <c r="A1937" s="1">
        <v>379.0</v>
      </c>
      <c r="B1937" s="1">
        <v>5.0487941E7</v>
      </c>
      <c r="C1937" s="1">
        <v>1.99827039E8</v>
      </c>
      <c r="D1937" s="1" t="s">
        <v>3002</v>
      </c>
    </row>
    <row r="1938">
      <c r="A1938" s="1">
        <v>455.0</v>
      </c>
      <c r="B1938" s="1">
        <v>5.0482764E7</v>
      </c>
      <c r="C1938" s="1">
        <v>1.99858691E8</v>
      </c>
      <c r="D1938" s="1" t="s">
        <v>3004</v>
      </c>
    </row>
    <row r="1939">
      <c r="A1939" s="1">
        <v>337.0</v>
      </c>
      <c r="B1939" s="1">
        <v>5.0425638E7</v>
      </c>
      <c r="C1939" s="1">
        <v>1.99417279E8</v>
      </c>
      <c r="D1939" s="1" t="s">
        <v>1796</v>
      </c>
    </row>
    <row r="1940">
      <c r="A1940" s="1">
        <v>522.0</v>
      </c>
      <c r="B1940" s="1">
        <v>5.0401817E7</v>
      </c>
      <c r="C1940" s="1">
        <v>1.99425971E8</v>
      </c>
      <c r="D1940" s="1" t="s">
        <v>3006</v>
      </c>
    </row>
    <row r="1941">
      <c r="A1941" s="1">
        <v>596.0</v>
      </c>
      <c r="B1941" s="1">
        <v>5.0369547E7</v>
      </c>
      <c r="C1941" s="1">
        <v>1.99438784E8</v>
      </c>
      <c r="D1941" s="1" t="s">
        <v>2751</v>
      </c>
    </row>
    <row r="1942">
      <c r="A1942" s="1">
        <v>215.0</v>
      </c>
      <c r="B1942" s="1">
        <v>5.0317051E7</v>
      </c>
      <c r="C1942" s="1">
        <v>1.99147325E8</v>
      </c>
      <c r="D1942" s="1" t="s">
        <v>3008</v>
      </c>
    </row>
    <row r="1943">
      <c r="A1943" s="1">
        <v>713.0</v>
      </c>
      <c r="B1943" s="1">
        <v>5.0298324E7</v>
      </c>
      <c r="C1943" s="1">
        <v>1.99431072E8</v>
      </c>
      <c r="D1943" s="1" t="s">
        <v>1878</v>
      </c>
    </row>
    <row r="1944">
      <c r="A1944" s="1">
        <v>664.0</v>
      </c>
      <c r="B1944" s="1">
        <v>5.0254255E7</v>
      </c>
      <c r="C1944" s="1">
        <v>1.98914038E8</v>
      </c>
      <c r="D1944" s="1" t="s">
        <v>3010</v>
      </c>
    </row>
    <row r="1945">
      <c r="A1945" s="1">
        <v>410.0</v>
      </c>
      <c r="B1945" s="1">
        <v>5.0211352E7</v>
      </c>
      <c r="C1945" s="1">
        <v>1.98772078E8</v>
      </c>
      <c r="D1945" s="1" t="s">
        <v>3012</v>
      </c>
    </row>
    <row r="1946">
      <c r="A1946" s="1">
        <v>461.0</v>
      </c>
      <c r="B1946" s="1">
        <v>5.0208533E7</v>
      </c>
      <c r="C1946" s="1">
        <v>4.52811676E8</v>
      </c>
      <c r="D1946" s="1" t="s">
        <v>3013</v>
      </c>
    </row>
    <row r="1947">
      <c r="A1947" s="1">
        <v>586.0</v>
      </c>
      <c r="B1947" s="1">
        <v>5.0206904E7</v>
      </c>
      <c r="C1947" s="1">
        <v>1.98637457E8</v>
      </c>
      <c r="D1947" s="1" t="s">
        <v>3015</v>
      </c>
    </row>
    <row r="1948">
      <c r="A1948" s="1">
        <v>602.0</v>
      </c>
      <c r="B1948" s="1">
        <v>5.0180895E7</v>
      </c>
      <c r="C1948" s="1">
        <v>1.9866506E8</v>
      </c>
      <c r="D1948" s="1" t="s">
        <v>3017</v>
      </c>
    </row>
    <row r="1949">
      <c r="A1949" s="1">
        <v>407.0</v>
      </c>
      <c r="B1949" s="1">
        <v>5.0153582E7</v>
      </c>
      <c r="C1949" s="1">
        <v>1.98461944E8</v>
      </c>
      <c r="D1949" s="1" t="s">
        <v>3018</v>
      </c>
    </row>
    <row r="1950">
      <c r="A1950" s="1">
        <v>207.0</v>
      </c>
      <c r="B1950" s="1">
        <v>5.0101949E7</v>
      </c>
      <c r="C1950" s="1">
        <v>1.98224539E8</v>
      </c>
      <c r="D1950" s="1" t="s">
        <v>3020</v>
      </c>
    </row>
    <row r="1951">
      <c r="A1951" s="1">
        <v>608.0</v>
      </c>
      <c r="B1951" s="1">
        <v>5.0079525E7</v>
      </c>
      <c r="C1951" s="1">
        <v>1.98068642E8</v>
      </c>
      <c r="D1951" s="1" t="s">
        <v>3021</v>
      </c>
    </row>
    <row r="1952">
      <c r="A1952" s="1">
        <v>414.0</v>
      </c>
      <c r="B1952" s="1">
        <v>5.0008488E7</v>
      </c>
      <c r="C1952" s="1">
        <v>1.97835139E8</v>
      </c>
      <c r="D1952" s="1" t="s">
        <v>3022</v>
      </c>
    </row>
    <row r="1953">
      <c r="A1953" s="1">
        <v>504.0</v>
      </c>
      <c r="B1953" s="1">
        <v>4.999984E7</v>
      </c>
      <c r="C1953" s="1">
        <v>1.97840564E8</v>
      </c>
      <c r="D1953" s="1" t="s">
        <v>1290</v>
      </c>
    </row>
    <row r="1954">
      <c r="A1954" s="1">
        <v>207.0</v>
      </c>
      <c r="B1954" s="1">
        <v>4.9842204E7</v>
      </c>
      <c r="C1954" s="1">
        <v>1.97213889E8</v>
      </c>
      <c r="D1954" s="1" t="s">
        <v>1927</v>
      </c>
    </row>
    <row r="1955">
      <c r="A1955" s="1">
        <v>471.0</v>
      </c>
      <c r="B1955" s="1">
        <v>4.9811819E7</v>
      </c>
      <c r="C1955" s="1">
        <v>1.97638497E8</v>
      </c>
      <c r="D1955" s="1" t="s">
        <v>3005</v>
      </c>
    </row>
    <row r="1956">
      <c r="A1956" s="1">
        <v>410.0</v>
      </c>
      <c r="B1956" s="1">
        <v>4.9805161E7</v>
      </c>
      <c r="C1956" s="1">
        <v>1.9724987E8</v>
      </c>
      <c r="D1956" s="1" t="s">
        <v>3023</v>
      </c>
    </row>
    <row r="1957">
      <c r="A1957" s="1">
        <v>215.0</v>
      </c>
      <c r="B1957" s="1">
        <v>4.9801694E7</v>
      </c>
      <c r="C1957" s="1">
        <v>1.98727612E8</v>
      </c>
      <c r="D1957" s="1" t="s">
        <v>3024</v>
      </c>
    </row>
    <row r="1958">
      <c r="A1958" s="1">
        <v>484.0</v>
      </c>
      <c r="B1958" s="1">
        <v>4.9776387E7</v>
      </c>
      <c r="C1958" s="1">
        <v>1.96912742E8</v>
      </c>
      <c r="D1958" s="1" t="s">
        <v>3026</v>
      </c>
    </row>
    <row r="1959">
      <c r="A1959" s="1">
        <v>607.0</v>
      </c>
      <c r="B1959" s="1">
        <v>4.9748698E7</v>
      </c>
      <c r="C1959" s="1">
        <v>1.9674736E8</v>
      </c>
      <c r="D1959" s="1" t="s">
        <v>3028</v>
      </c>
    </row>
    <row r="1960">
      <c r="A1960" s="1">
        <v>564.0</v>
      </c>
      <c r="B1960" s="1">
        <v>4.9740998E7</v>
      </c>
      <c r="C1960" s="1">
        <v>1.96741919E8</v>
      </c>
      <c r="D1960" s="1" t="s">
        <v>3029</v>
      </c>
    </row>
    <row r="1961">
      <c r="A1961" s="1">
        <v>570.0</v>
      </c>
      <c r="B1961" s="1">
        <v>4.9735596E7</v>
      </c>
      <c r="C1961" s="1">
        <v>1.96721476E8</v>
      </c>
      <c r="D1961" s="1" t="s">
        <v>2181</v>
      </c>
    </row>
    <row r="1962">
      <c r="A1962" s="1">
        <v>425.0</v>
      </c>
      <c r="B1962" s="1">
        <v>4.9718134E7</v>
      </c>
      <c r="C1962" s="1">
        <v>1.96689059E8</v>
      </c>
      <c r="D1962" s="1" t="s">
        <v>206</v>
      </c>
    </row>
    <row r="1963">
      <c r="A1963" s="1">
        <v>644.0</v>
      </c>
      <c r="B1963" s="1">
        <v>4.9647076E7</v>
      </c>
      <c r="C1963" s="1">
        <v>1.96538512E8</v>
      </c>
      <c r="D1963" s="1" t="s">
        <v>3030</v>
      </c>
    </row>
    <row r="1964">
      <c r="A1964" s="1">
        <v>571.0</v>
      </c>
      <c r="B1964" s="1">
        <v>4.9622888E7</v>
      </c>
      <c r="C1964" s="1">
        <v>1.96393365E8</v>
      </c>
      <c r="D1964" s="1" t="s">
        <v>2497</v>
      </c>
    </row>
    <row r="1965">
      <c r="A1965" s="1">
        <v>608.0</v>
      </c>
      <c r="B1965" s="1">
        <v>4.9535004E7</v>
      </c>
      <c r="C1965" s="1">
        <v>1.95832725E8</v>
      </c>
      <c r="D1965" s="1" t="s">
        <v>3032</v>
      </c>
    </row>
    <row r="1966">
      <c r="A1966" s="1">
        <v>379.0</v>
      </c>
      <c r="B1966" s="1">
        <v>4.9517604E7</v>
      </c>
      <c r="C1966" s="1">
        <v>1.95793691E8</v>
      </c>
      <c r="D1966" s="1" t="s">
        <v>3034</v>
      </c>
    </row>
    <row r="1967">
      <c r="A1967" s="1">
        <v>379.0</v>
      </c>
      <c r="B1967" s="1">
        <v>4.95165E7</v>
      </c>
      <c r="C1967" s="1">
        <v>1.95797842E8</v>
      </c>
      <c r="D1967" s="1" t="s">
        <v>3035</v>
      </c>
    </row>
    <row r="1968">
      <c r="A1968" s="1">
        <v>172.0</v>
      </c>
      <c r="B1968" s="1">
        <v>4.951399E7</v>
      </c>
      <c r="C1968" s="1">
        <v>1.95833853E8</v>
      </c>
      <c r="D1968" s="1" t="s">
        <v>3036</v>
      </c>
    </row>
    <row r="1969">
      <c r="A1969" s="1">
        <v>669.0</v>
      </c>
      <c r="B1969" s="1">
        <v>4.9489079E7</v>
      </c>
      <c r="C1969" s="1">
        <v>1.95824718E8</v>
      </c>
      <c r="D1969" s="1" t="s">
        <v>3037</v>
      </c>
    </row>
    <row r="1970">
      <c r="A1970" s="1">
        <v>661.0</v>
      </c>
      <c r="B1970" s="1">
        <v>4.9480582E7</v>
      </c>
      <c r="C1970" s="1">
        <v>1.95842946E8</v>
      </c>
      <c r="D1970" s="1" t="s">
        <v>1819</v>
      </c>
    </row>
    <row r="1971">
      <c r="A1971" s="1">
        <v>355.0</v>
      </c>
      <c r="B1971" s="1">
        <v>4.9393772E7</v>
      </c>
      <c r="C1971" s="1">
        <v>1.95321637E8</v>
      </c>
      <c r="D1971" s="1" t="s">
        <v>3038</v>
      </c>
    </row>
    <row r="1972">
      <c r="A1972" s="1">
        <v>484.0</v>
      </c>
      <c r="B1972" s="1">
        <v>4.9387314E7</v>
      </c>
      <c r="C1972" s="1">
        <v>4.43337256E8</v>
      </c>
      <c r="D1972" s="1" t="s">
        <v>3040</v>
      </c>
    </row>
    <row r="1973">
      <c r="A1973" s="1">
        <v>392.0</v>
      </c>
      <c r="B1973" s="1">
        <v>4.9351392E7</v>
      </c>
      <c r="C1973" s="1">
        <v>1.95553909E8</v>
      </c>
      <c r="D1973" s="1" t="s">
        <v>3041</v>
      </c>
    </row>
    <row r="1974">
      <c r="A1974" s="1">
        <v>571.0</v>
      </c>
      <c r="B1974" s="1">
        <v>4.9329611E7</v>
      </c>
      <c r="C1974" s="1">
        <v>2.68505271E8</v>
      </c>
      <c r="D1974" s="1" t="s">
        <v>3043</v>
      </c>
    </row>
    <row r="1975">
      <c r="A1975" s="1">
        <v>571.0</v>
      </c>
      <c r="B1975" s="1">
        <v>4.9328086E7</v>
      </c>
      <c r="C1975" s="1">
        <v>1.95320387E8</v>
      </c>
      <c r="D1975" s="1" t="s">
        <v>3044</v>
      </c>
    </row>
    <row r="1976">
      <c r="A1976" s="1">
        <v>410.0</v>
      </c>
      <c r="B1976" s="1">
        <v>4.9312024E7</v>
      </c>
      <c r="C1976" s="1">
        <v>1.95099572E8</v>
      </c>
      <c r="D1976" s="1" t="s">
        <v>3045</v>
      </c>
    </row>
    <row r="1977">
      <c r="A1977" s="1">
        <v>355.0</v>
      </c>
      <c r="B1977" s="1">
        <v>4.9288362E7</v>
      </c>
      <c r="C1977" s="1">
        <v>1.95344238E8</v>
      </c>
      <c r="D1977" s="1" t="s">
        <v>3046</v>
      </c>
    </row>
    <row r="1978">
      <c r="A1978" s="1">
        <v>410.0</v>
      </c>
      <c r="B1978" s="1">
        <v>4.9287853E7</v>
      </c>
      <c r="C1978" s="1">
        <v>1.95056702E8</v>
      </c>
      <c r="D1978" s="1" t="s">
        <v>3047</v>
      </c>
    </row>
    <row r="1979">
      <c r="A1979" s="1">
        <v>355.0</v>
      </c>
      <c r="B1979" s="1">
        <v>4.9247782E7</v>
      </c>
      <c r="C1979" s="1">
        <v>1.94912297E8</v>
      </c>
      <c r="D1979" s="1" t="s">
        <v>3048</v>
      </c>
    </row>
    <row r="1980">
      <c r="A1980" s="1">
        <v>607.0</v>
      </c>
      <c r="B1980" s="1">
        <v>4.9225108E7</v>
      </c>
      <c r="C1980" s="1">
        <v>1.94883372E8</v>
      </c>
      <c r="D1980" s="1" t="s">
        <v>3049</v>
      </c>
    </row>
    <row r="1981">
      <c r="A1981" s="1">
        <v>172.0</v>
      </c>
      <c r="B1981" s="1">
        <v>4.9209544E7</v>
      </c>
      <c r="C1981" s="1">
        <v>1.94683411E8</v>
      </c>
      <c r="D1981" s="1" t="s">
        <v>3051</v>
      </c>
    </row>
    <row r="1982">
      <c r="A1982" s="1">
        <v>500.0</v>
      </c>
      <c r="B1982" s="1">
        <v>4.9075326E7</v>
      </c>
      <c r="C1982" s="1">
        <v>1.93983967E8</v>
      </c>
      <c r="D1982" s="1" t="s">
        <v>3052</v>
      </c>
    </row>
    <row r="1983">
      <c r="A1983" s="1">
        <v>129.0</v>
      </c>
      <c r="B1983" s="1">
        <v>4.9059155E7</v>
      </c>
      <c r="C1983" s="1">
        <v>1.93995466E8</v>
      </c>
      <c r="D1983" s="1" t="s">
        <v>3054</v>
      </c>
    </row>
    <row r="1984">
      <c r="A1984" s="1">
        <v>403.0</v>
      </c>
      <c r="B1984" s="1">
        <v>4.9044802E7</v>
      </c>
      <c r="C1984" s="1">
        <v>1.93984218E8</v>
      </c>
      <c r="D1984" s="1" t="s">
        <v>1855</v>
      </c>
    </row>
    <row r="1985">
      <c r="A1985" s="1">
        <v>395.0</v>
      </c>
      <c r="B1985" s="1">
        <v>4.9042077E7</v>
      </c>
      <c r="C1985" s="1">
        <v>1.94008322E8</v>
      </c>
      <c r="D1985" s="1" t="s">
        <v>3055</v>
      </c>
    </row>
    <row r="1986">
      <c r="A1986" s="1">
        <v>414.0</v>
      </c>
      <c r="B1986" s="1">
        <v>4.8983686E7</v>
      </c>
      <c r="C1986" s="1">
        <v>1.93711724E8</v>
      </c>
      <c r="D1986" s="1" t="s">
        <v>1708</v>
      </c>
    </row>
    <row r="1987">
      <c r="A1987" s="1">
        <v>129.0</v>
      </c>
      <c r="B1987" s="1">
        <v>4.8911303E7</v>
      </c>
      <c r="C1987" s="1">
        <v>1.93311685E8</v>
      </c>
      <c r="D1987" s="1" t="s">
        <v>3056</v>
      </c>
    </row>
    <row r="1988">
      <c r="A1988" s="1">
        <v>427.0</v>
      </c>
      <c r="B1988" s="1">
        <v>4.8862739E7</v>
      </c>
      <c r="C1988" s="1">
        <v>1.93114248E8</v>
      </c>
      <c r="D1988" s="1" t="s">
        <v>3057</v>
      </c>
    </row>
    <row r="1989">
      <c r="A1989" s="1">
        <v>713.0</v>
      </c>
      <c r="B1989" s="1">
        <v>4.8836232E7</v>
      </c>
      <c r="C1989" s="1">
        <v>1.93545021E8</v>
      </c>
      <c r="D1989" s="1" t="s">
        <v>3059</v>
      </c>
    </row>
    <row r="1990">
      <c r="A1990" s="1">
        <v>215.0</v>
      </c>
      <c r="B1990" s="1">
        <v>4.8822655E7</v>
      </c>
      <c r="C1990" s="1">
        <v>1.9302607E8</v>
      </c>
      <c r="D1990" s="1" t="s">
        <v>3060</v>
      </c>
    </row>
    <row r="1991">
      <c r="A1991" s="1">
        <v>642.0</v>
      </c>
      <c r="B1991" s="1">
        <v>4.8812143E7</v>
      </c>
      <c r="C1991" s="1">
        <v>1.92981665E8</v>
      </c>
      <c r="D1991" s="1" t="s">
        <v>3062</v>
      </c>
    </row>
    <row r="1992">
      <c r="A1992" s="1">
        <v>586.0</v>
      </c>
      <c r="B1992" s="1">
        <v>4.8788895E7</v>
      </c>
      <c r="C1992" s="1">
        <v>1.92768907E8</v>
      </c>
      <c r="D1992" s="1" t="s">
        <v>3063</v>
      </c>
    </row>
    <row r="1993">
      <c r="A1993" s="1">
        <v>484.0</v>
      </c>
      <c r="B1993" s="1">
        <v>4.8756029E7</v>
      </c>
      <c r="C1993" s="1">
        <v>1.92923262E8</v>
      </c>
      <c r="D1993" s="1" t="s">
        <v>3064</v>
      </c>
    </row>
    <row r="1994">
      <c r="A1994" s="1">
        <v>587.0</v>
      </c>
      <c r="B1994" s="1">
        <v>4.8733762E7</v>
      </c>
      <c r="C1994" s="1">
        <v>1.9280039E8</v>
      </c>
      <c r="D1994" s="1" t="s">
        <v>3065</v>
      </c>
    </row>
    <row r="1995">
      <c r="A1995" s="1">
        <v>665.0</v>
      </c>
      <c r="B1995" s="1">
        <v>4.8723262E7</v>
      </c>
      <c r="C1995" s="1">
        <v>1.92615244E8</v>
      </c>
      <c r="D1995" s="1" t="s">
        <v>3067</v>
      </c>
    </row>
    <row r="1996">
      <c r="A1996" s="1">
        <v>571.0</v>
      </c>
      <c r="B1996" s="1">
        <v>4.8713437E7</v>
      </c>
      <c r="C1996" s="1">
        <v>2.38619644E8</v>
      </c>
      <c r="D1996" s="1" t="s">
        <v>3068</v>
      </c>
    </row>
    <row r="1997">
      <c r="A1997" s="1">
        <v>656.0</v>
      </c>
      <c r="B1997" s="1">
        <v>4.8689227E7</v>
      </c>
      <c r="C1997" s="1">
        <v>1.92589855E8</v>
      </c>
      <c r="D1997" s="1" t="s">
        <v>1623</v>
      </c>
    </row>
    <row r="1998">
      <c r="A1998" s="1">
        <v>120.0</v>
      </c>
      <c r="B1998" s="1">
        <v>4.867257E7</v>
      </c>
      <c r="C1998" s="1">
        <v>1.92509956E8</v>
      </c>
      <c r="D1998" s="1" t="s">
        <v>3071</v>
      </c>
    </row>
    <row r="1999">
      <c r="A1999" s="1">
        <v>484.0</v>
      </c>
      <c r="B1999" s="1">
        <v>4.8636958E7</v>
      </c>
      <c r="C1999" s="1">
        <v>1.9226885E8</v>
      </c>
      <c r="D1999" s="1" t="s">
        <v>1884</v>
      </c>
    </row>
    <row r="2000">
      <c r="A2000" s="1">
        <v>644.0</v>
      </c>
      <c r="B2000" s="1">
        <v>4.8633577E7</v>
      </c>
      <c r="C2000" s="1">
        <v>1.92336241E8</v>
      </c>
      <c r="D2000" s="1" t="s">
        <v>1043</v>
      </c>
    </row>
    <row r="2001">
      <c r="A2001" s="1">
        <v>678.0</v>
      </c>
      <c r="B2001" s="1">
        <v>4.8628193E7</v>
      </c>
      <c r="C2001" s="1">
        <v>1.92285232E8</v>
      </c>
      <c r="D2001" s="1" t="s">
        <v>1809</v>
      </c>
    </row>
    <row r="2002">
      <c r="A2002" s="1">
        <v>355.0</v>
      </c>
      <c r="B2002" s="1">
        <v>4.8562279E7</v>
      </c>
      <c r="C2002" s="1">
        <v>1.91919361E8</v>
      </c>
      <c r="D2002" s="1" t="s">
        <v>3076</v>
      </c>
    </row>
    <row r="2003">
      <c r="A2003" s="1">
        <v>215.0</v>
      </c>
      <c r="B2003" s="1">
        <v>4.8542731E7</v>
      </c>
      <c r="C2003" s="1">
        <v>1.91728809E8</v>
      </c>
      <c r="D2003" s="1" t="s">
        <v>3077</v>
      </c>
    </row>
    <row r="2004">
      <c r="A2004" s="1">
        <v>656.0</v>
      </c>
      <c r="B2004" s="1">
        <v>4.8482453E7</v>
      </c>
      <c r="C2004" s="1">
        <v>1.91677753E8</v>
      </c>
      <c r="D2004" s="1" t="s">
        <v>3079</v>
      </c>
    </row>
    <row r="2005">
      <c r="A2005" s="1">
        <v>394.0</v>
      </c>
      <c r="B2005" s="1">
        <v>4.8442144E7</v>
      </c>
      <c r="C2005" s="1">
        <v>1.91415753E8</v>
      </c>
      <c r="D2005" s="1" t="s">
        <v>3083</v>
      </c>
    </row>
    <row r="2006">
      <c r="A2006" s="1">
        <v>484.0</v>
      </c>
      <c r="B2006" s="1">
        <v>4.8388071E7</v>
      </c>
      <c r="C2006" s="1">
        <v>3.89443567E8</v>
      </c>
      <c r="D2006" s="1" t="s">
        <v>3084</v>
      </c>
    </row>
    <row r="2007">
      <c r="A2007" s="1">
        <v>719.0</v>
      </c>
      <c r="B2007" s="1">
        <v>4.836378E7</v>
      </c>
      <c r="C2007" s="1">
        <v>1.91441645E8</v>
      </c>
      <c r="D2007" s="1" t="s">
        <v>1844</v>
      </c>
    </row>
    <row r="2008">
      <c r="A2008" s="1">
        <v>630.0</v>
      </c>
      <c r="B2008" s="1">
        <v>4.8339562E7</v>
      </c>
      <c r="C2008" s="1">
        <v>1.91291417E8</v>
      </c>
      <c r="D2008" s="1" t="s">
        <v>3087</v>
      </c>
    </row>
    <row r="2009">
      <c r="A2009" s="1">
        <v>394.0</v>
      </c>
      <c r="B2009" s="1">
        <v>4.8336256E7</v>
      </c>
      <c r="C2009" s="1">
        <v>1.90988106E8</v>
      </c>
      <c r="D2009" s="1" t="s">
        <v>3089</v>
      </c>
    </row>
    <row r="2010">
      <c r="A2010" s="1">
        <v>610.0</v>
      </c>
      <c r="B2010" s="1">
        <v>4.8295772E7</v>
      </c>
      <c r="C2010" s="1">
        <v>1.91403781E8</v>
      </c>
      <c r="D2010" s="1" t="s">
        <v>3090</v>
      </c>
    </row>
    <row r="2011">
      <c r="A2011" s="1">
        <v>355.0</v>
      </c>
      <c r="B2011" s="1">
        <v>4.8188994E7</v>
      </c>
      <c r="C2011" s="1">
        <v>1.90710864E8</v>
      </c>
      <c r="D2011" s="1" t="s">
        <v>3092</v>
      </c>
    </row>
    <row r="2012">
      <c r="A2012" s="1">
        <v>410.0</v>
      </c>
      <c r="B2012" s="1">
        <v>4.8172186E7</v>
      </c>
      <c r="C2012" s="1">
        <v>1.90538445E8</v>
      </c>
      <c r="D2012" s="1" t="s">
        <v>3094</v>
      </c>
    </row>
    <row r="2013">
      <c r="A2013" s="1">
        <v>471.0</v>
      </c>
      <c r="B2013" s="1">
        <v>4.8167244E7</v>
      </c>
      <c r="C2013" s="1">
        <v>1.90460154E8</v>
      </c>
      <c r="D2013" s="1" t="s">
        <v>3095</v>
      </c>
    </row>
    <row r="2014">
      <c r="A2014" s="1">
        <v>571.0</v>
      </c>
      <c r="B2014" s="1">
        <v>4.8163617E7</v>
      </c>
      <c r="C2014" s="1">
        <v>1.96353036E8</v>
      </c>
      <c r="D2014" s="1" t="s">
        <v>3097</v>
      </c>
    </row>
    <row r="2015">
      <c r="A2015" s="1">
        <v>132.0</v>
      </c>
      <c r="B2015" s="1">
        <v>4.8151405E7</v>
      </c>
      <c r="C2015" s="1">
        <v>1.90344337E8</v>
      </c>
      <c r="D2015" s="1" t="s">
        <v>3099</v>
      </c>
    </row>
    <row r="2016">
      <c r="A2016" s="1">
        <v>671.0</v>
      </c>
      <c r="B2016" s="1">
        <v>4.8147838E7</v>
      </c>
      <c r="C2016" s="1">
        <v>1.90283531E8</v>
      </c>
      <c r="D2016" s="1" t="s">
        <v>2359</v>
      </c>
    </row>
    <row r="2017">
      <c r="A2017" s="1">
        <v>461.0</v>
      </c>
      <c r="B2017" s="1">
        <v>4.8094235E7</v>
      </c>
      <c r="C2017" s="1">
        <v>1.89997686E8</v>
      </c>
      <c r="D2017" s="1" t="s">
        <v>3101</v>
      </c>
    </row>
    <row r="2018">
      <c r="A2018" s="1">
        <v>414.0</v>
      </c>
      <c r="B2018" s="1">
        <v>4.8077581E7</v>
      </c>
      <c r="C2018" s="1">
        <v>1.89975677E8</v>
      </c>
      <c r="D2018" s="1" t="s">
        <v>3103</v>
      </c>
    </row>
    <row r="2019">
      <c r="A2019" s="1">
        <v>129.0</v>
      </c>
      <c r="B2019" s="1">
        <v>4.8076486E7</v>
      </c>
      <c r="C2019" s="1">
        <v>2.02576146E8</v>
      </c>
      <c r="D2019" s="1" t="s">
        <v>3104</v>
      </c>
    </row>
    <row r="2020">
      <c r="A2020" s="1">
        <v>678.0</v>
      </c>
      <c r="B2020" s="1">
        <v>4.8068991E7</v>
      </c>
      <c r="C2020" s="1">
        <v>1.90003707E8</v>
      </c>
      <c r="D2020" s="1" t="s">
        <v>3106</v>
      </c>
    </row>
    <row r="2021">
      <c r="A2021" s="1">
        <v>670.0</v>
      </c>
      <c r="B2021" s="1">
        <v>4.8068331E7</v>
      </c>
      <c r="C2021" s="1">
        <v>1.89983733E8</v>
      </c>
      <c r="D2021" s="1" t="s">
        <v>3108</v>
      </c>
    </row>
    <row r="2022">
      <c r="A2022" s="1">
        <v>355.0</v>
      </c>
      <c r="B2022" s="1">
        <v>4.8058414E7</v>
      </c>
      <c r="C2022" s="1">
        <v>1.8999812E8</v>
      </c>
      <c r="D2022" s="1" t="s">
        <v>3109</v>
      </c>
    </row>
    <row r="2023">
      <c r="A2023" s="1">
        <v>671.0</v>
      </c>
      <c r="B2023" s="1">
        <v>4.8034969E7</v>
      </c>
      <c r="C2023" s="1">
        <v>1.89790455E8</v>
      </c>
      <c r="D2023" s="1" t="s">
        <v>3110</v>
      </c>
    </row>
    <row r="2024">
      <c r="A2024" s="1">
        <v>570.0</v>
      </c>
      <c r="B2024" s="1">
        <v>4.801599E7</v>
      </c>
      <c r="C2024" s="1">
        <v>1.89774429E8</v>
      </c>
      <c r="D2024" s="1" t="s">
        <v>3111</v>
      </c>
    </row>
    <row r="2025">
      <c r="A2025" s="1">
        <v>571.0</v>
      </c>
      <c r="B2025" s="1">
        <v>4.8004851E7</v>
      </c>
      <c r="C2025" s="1">
        <v>1.90056764E8</v>
      </c>
      <c r="D2025" s="1" t="s">
        <v>3112</v>
      </c>
    </row>
    <row r="2026">
      <c r="A2026" s="1">
        <v>664.0</v>
      </c>
      <c r="B2026" s="1">
        <v>4.8002689E7</v>
      </c>
      <c r="C2026" s="1">
        <v>1.89770831E8</v>
      </c>
      <c r="D2026" s="1" t="s">
        <v>3113</v>
      </c>
    </row>
    <row r="2027">
      <c r="A2027" s="1">
        <v>380.0</v>
      </c>
      <c r="B2027" s="1">
        <v>4.7955494E7</v>
      </c>
      <c r="C2027" s="1">
        <v>1.89536416E8</v>
      </c>
      <c r="D2027" s="1" t="s">
        <v>3114</v>
      </c>
    </row>
    <row r="2028">
      <c r="A2028" s="1">
        <v>365.0</v>
      </c>
      <c r="B2028" s="1">
        <v>4.7915971E7</v>
      </c>
      <c r="C2028" s="1">
        <v>1.89321661E8</v>
      </c>
      <c r="D2028" s="1" t="s">
        <v>3115</v>
      </c>
    </row>
    <row r="2029">
      <c r="A2029" s="1">
        <v>654.0</v>
      </c>
      <c r="B2029" s="1">
        <v>4.7890046E7</v>
      </c>
      <c r="C2029" s="1">
        <v>1.89265373E8</v>
      </c>
      <c r="D2029" s="1" t="s">
        <v>3116</v>
      </c>
    </row>
    <row r="2030">
      <c r="A2030" s="1">
        <v>380.0</v>
      </c>
      <c r="B2030" s="1">
        <v>4.7866685E7</v>
      </c>
      <c r="C2030" s="1">
        <v>1.89277155E8</v>
      </c>
      <c r="D2030" s="1" t="s">
        <v>3117</v>
      </c>
    </row>
    <row r="2031">
      <c r="A2031" s="1">
        <v>628.0</v>
      </c>
      <c r="B2031" s="1">
        <v>4.7862405E7</v>
      </c>
      <c r="C2031" s="1">
        <v>1.89282923E8</v>
      </c>
      <c r="D2031" s="1" t="s">
        <v>3118</v>
      </c>
    </row>
    <row r="2032">
      <c r="A2032" s="1">
        <v>414.0</v>
      </c>
      <c r="B2032" s="1">
        <v>4.7853135E7</v>
      </c>
      <c r="C2032" s="1">
        <v>1.8900588E8</v>
      </c>
      <c r="D2032" s="1" t="s">
        <v>3119</v>
      </c>
    </row>
    <row r="2033">
      <c r="A2033" s="1">
        <v>665.0</v>
      </c>
      <c r="B2033" s="1">
        <v>4.7843278E7</v>
      </c>
      <c r="C2033" s="1">
        <v>1.89089649E8</v>
      </c>
      <c r="D2033" s="1" t="s">
        <v>3120</v>
      </c>
    </row>
    <row r="2034">
      <c r="A2034" s="1">
        <v>403.0</v>
      </c>
      <c r="B2034" s="1">
        <v>4.7837513E7</v>
      </c>
      <c r="C2034" s="1">
        <v>1.89031132E8</v>
      </c>
      <c r="D2034" s="1" t="s">
        <v>3121</v>
      </c>
    </row>
    <row r="2035">
      <c r="A2035" s="1">
        <v>601.0</v>
      </c>
      <c r="B2035" s="1">
        <v>4.7833263E7</v>
      </c>
      <c r="C2035" s="1">
        <v>1.88995231E8</v>
      </c>
      <c r="D2035" s="1" t="s">
        <v>440</v>
      </c>
    </row>
    <row r="2036">
      <c r="A2036" s="1">
        <v>410.0</v>
      </c>
      <c r="B2036" s="1">
        <v>4.7817703E7</v>
      </c>
      <c r="C2036" s="1">
        <v>1.89334236E8</v>
      </c>
      <c r="D2036" s="1" t="s">
        <v>3122</v>
      </c>
    </row>
    <row r="2037">
      <c r="A2037" s="1">
        <v>194.0</v>
      </c>
      <c r="B2037" s="1">
        <v>4.7804294E7</v>
      </c>
      <c r="C2037" s="1">
        <v>1.88767942E8</v>
      </c>
      <c r="D2037" s="1" t="s">
        <v>226</v>
      </c>
    </row>
    <row r="2038">
      <c r="A2038" s="1">
        <v>484.0</v>
      </c>
      <c r="B2038" s="1">
        <v>4.7774705E7</v>
      </c>
      <c r="C2038" s="1">
        <v>1.88966855E8</v>
      </c>
      <c r="D2038" s="1" t="s">
        <v>3123</v>
      </c>
    </row>
    <row r="2039">
      <c r="A2039" s="1">
        <v>410.0</v>
      </c>
      <c r="B2039" s="1">
        <v>4.7728001E7</v>
      </c>
      <c r="C2039" s="1">
        <v>1.89058153E8</v>
      </c>
      <c r="D2039" s="1" t="s">
        <v>3124</v>
      </c>
    </row>
    <row r="2040">
      <c r="A2040" s="1">
        <v>569.0</v>
      </c>
      <c r="B2040" s="1">
        <v>4.7659857E7</v>
      </c>
      <c r="C2040" s="1">
        <v>1.88285329E8</v>
      </c>
      <c r="D2040" s="1" t="s">
        <v>3125</v>
      </c>
    </row>
    <row r="2041">
      <c r="A2041" s="1">
        <v>244.0</v>
      </c>
      <c r="B2041" s="1">
        <v>4.7659088E7</v>
      </c>
      <c r="C2041" s="1">
        <v>1.88269788E8</v>
      </c>
      <c r="D2041" s="1" t="s">
        <v>3127</v>
      </c>
    </row>
    <row r="2042">
      <c r="A2042" s="1">
        <v>578.0</v>
      </c>
      <c r="B2042" s="1">
        <v>4.7616238E7</v>
      </c>
      <c r="C2042" s="1">
        <v>1.88078509E8</v>
      </c>
      <c r="D2042" s="1" t="s">
        <v>3107</v>
      </c>
    </row>
    <row r="2043">
      <c r="A2043" s="1">
        <v>669.0</v>
      </c>
      <c r="B2043" s="1">
        <v>4.7601963E7</v>
      </c>
      <c r="C2043" s="1">
        <v>1.88040869E8</v>
      </c>
      <c r="D2043" s="1" t="s">
        <v>2853</v>
      </c>
    </row>
    <row r="2044">
      <c r="A2044" s="1">
        <v>522.0</v>
      </c>
      <c r="B2044" s="1">
        <v>4.7568429E7</v>
      </c>
      <c r="C2044" s="1">
        <v>1.88029009E8</v>
      </c>
      <c r="D2044" s="1" t="s">
        <v>3130</v>
      </c>
    </row>
    <row r="2045">
      <c r="A2045" s="1">
        <v>602.0</v>
      </c>
      <c r="B2045" s="1">
        <v>4.7538626E7</v>
      </c>
      <c r="C2045" s="1">
        <v>1.878145E8</v>
      </c>
      <c r="D2045" s="1" t="s">
        <v>437</v>
      </c>
    </row>
    <row r="2046">
      <c r="A2046" s="1">
        <v>458.0</v>
      </c>
      <c r="B2046" s="1">
        <v>4.7528073E7</v>
      </c>
      <c r="C2046" s="1">
        <v>1.87849992E8</v>
      </c>
      <c r="D2046" s="1" t="s">
        <v>3132</v>
      </c>
    </row>
    <row r="2047">
      <c r="A2047" s="1">
        <v>353.0</v>
      </c>
      <c r="B2047" s="1">
        <v>4.7505169E7</v>
      </c>
      <c r="C2047" s="1">
        <v>1.87853933E8</v>
      </c>
      <c r="D2047" s="1" t="s">
        <v>3134</v>
      </c>
    </row>
    <row r="2048">
      <c r="A2048" s="1">
        <v>256.0</v>
      </c>
      <c r="B2048" s="1">
        <v>4.7483456E7</v>
      </c>
      <c r="C2048" s="1">
        <v>1.87574089E8</v>
      </c>
      <c r="D2048" s="1" t="s">
        <v>3135</v>
      </c>
    </row>
    <row r="2049">
      <c r="A2049" s="1">
        <v>565.0</v>
      </c>
      <c r="B2049" s="1">
        <v>4.743742E7</v>
      </c>
      <c r="C2049" s="1">
        <v>1.8758234E8</v>
      </c>
      <c r="D2049" s="1" t="s">
        <v>3137</v>
      </c>
    </row>
    <row r="2050">
      <c r="A2050" s="1">
        <v>410.0</v>
      </c>
      <c r="B2050" s="1">
        <v>4.7430236E7</v>
      </c>
      <c r="C2050" s="1">
        <v>1.87662774E8</v>
      </c>
      <c r="D2050" s="1" t="s">
        <v>3139</v>
      </c>
    </row>
    <row r="2051">
      <c r="A2051" s="1">
        <v>471.0</v>
      </c>
      <c r="B2051" s="1">
        <v>4.7414711E7</v>
      </c>
      <c r="C2051" s="1">
        <v>1.87267254E8</v>
      </c>
      <c r="D2051" s="1" t="s">
        <v>3140</v>
      </c>
    </row>
    <row r="2052">
      <c r="A2052" s="1">
        <v>215.0</v>
      </c>
      <c r="B2052" s="1">
        <v>4.7225473E7</v>
      </c>
      <c r="C2052" s="1">
        <v>1.86850528E8</v>
      </c>
      <c r="D2052" s="1" t="s">
        <v>3142</v>
      </c>
    </row>
    <row r="2053">
      <c r="A2053" s="1">
        <v>601.0</v>
      </c>
      <c r="B2053" s="1">
        <v>4.7197982E7</v>
      </c>
      <c r="C2053" s="1">
        <v>3.38374684E8</v>
      </c>
      <c r="D2053" s="1" t="s">
        <v>3144</v>
      </c>
    </row>
    <row r="2054">
      <c r="A2054" s="1">
        <v>671.0</v>
      </c>
      <c r="B2054" s="1">
        <v>4.7183293E7</v>
      </c>
      <c r="C2054" s="1">
        <v>1.86292017E8</v>
      </c>
      <c r="D2054" s="1" t="s">
        <v>3145</v>
      </c>
    </row>
    <row r="2055">
      <c r="A2055" s="1">
        <v>379.0</v>
      </c>
      <c r="B2055" s="1">
        <v>4.7162012E7</v>
      </c>
      <c r="C2055" s="1">
        <v>1.86255574E8</v>
      </c>
      <c r="D2055" s="1" t="s">
        <v>3146</v>
      </c>
    </row>
    <row r="2056">
      <c r="A2056" s="1">
        <v>696.0</v>
      </c>
      <c r="B2056" s="1">
        <v>4.7155614E7</v>
      </c>
      <c r="C2056" s="1">
        <v>1.86258584E8</v>
      </c>
      <c r="D2056" s="1" t="s">
        <v>3147</v>
      </c>
    </row>
    <row r="2057">
      <c r="A2057" s="1">
        <v>210.0</v>
      </c>
      <c r="B2057" s="1">
        <v>4.7133348E7</v>
      </c>
      <c r="C2057" s="1">
        <v>1.86266177E8</v>
      </c>
      <c r="D2057" s="1" t="s">
        <v>3148</v>
      </c>
    </row>
    <row r="2058">
      <c r="A2058" s="1">
        <v>461.0</v>
      </c>
      <c r="B2058" s="1">
        <v>4.7105879E7</v>
      </c>
      <c r="C2058" s="1">
        <v>1.86026095E8</v>
      </c>
      <c r="D2058" s="1" t="s">
        <v>3149</v>
      </c>
    </row>
    <row r="2059">
      <c r="A2059" s="1">
        <v>570.0</v>
      </c>
      <c r="B2059" s="1">
        <v>4.70819E7</v>
      </c>
      <c r="C2059" s="1">
        <v>1.86012627E8</v>
      </c>
      <c r="D2059" s="1" t="s">
        <v>3151</v>
      </c>
    </row>
    <row r="2060">
      <c r="A2060" s="1">
        <v>414.0</v>
      </c>
      <c r="B2060" s="1">
        <v>4.7081694E7</v>
      </c>
      <c r="C2060" s="1">
        <v>1.86287102E8</v>
      </c>
      <c r="D2060" s="1" t="s">
        <v>3153</v>
      </c>
    </row>
    <row r="2061">
      <c r="A2061" s="1">
        <v>663.0</v>
      </c>
      <c r="B2061" s="1">
        <v>4.7040752E7</v>
      </c>
      <c r="C2061" s="1">
        <v>1.85848991E8</v>
      </c>
      <c r="D2061" s="1" t="s">
        <v>3154</v>
      </c>
    </row>
    <row r="2062">
      <c r="A2062" s="1">
        <v>215.0</v>
      </c>
      <c r="B2062" s="1">
        <v>4.7034257E7</v>
      </c>
      <c r="C2062" s="1">
        <v>1.86109528E8</v>
      </c>
      <c r="D2062" s="1" t="s">
        <v>3155</v>
      </c>
    </row>
    <row r="2063">
      <c r="A2063" s="1">
        <v>564.0</v>
      </c>
      <c r="B2063" s="1">
        <v>4.703157E7</v>
      </c>
      <c r="C2063" s="1">
        <v>1.85761626E8</v>
      </c>
      <c r="D2063" s="1" t="s">
        <v>3156</v>
      </c>
    </row>
    <row r="2064">
      <c r="A2064" s="1">
        <v>629.0</v>
      </c>
      <c r="B2064" s="1">
        <v>4.7018546E7</v>
      </c>
      <c r="C2064" s="1">
        <v>1.85796139E8</v>
      </c>
      <c r="D2064" s="1" t="s">
        <v>3158</v>
      </c>
    </row>
    <row r="2065">
      <c r="A2065" s="1">
        <v>719.0</v>
      </c>
      <c r="B2065" s="1">
        <v>4.6979214E7</v>
      </c>
      <c r="C2065" s="1">
        <v>1.86278187E8</v>
      </c>
      <c r="D2065" s="1" t="s">
        <v>2334</v>
      </c>
    </row>
    <row r="2066">
      <c r="A2066" s="1">
        <v>244.0</v>
      </c>
      <c r="B2066" s="1">
        <v>4.690097E7</v>
      </c>
      <c r="C2066" s="1">
        <v>1.85505817E8</v>
      </c>
      <c r="D2066" s="1" t="s">
        <v>3159</v>
      </c>
    </row>
    <row r="2067">
      <c r="A2067" s="1">
        <v>587.0</v>
      </c>
      <c r="B2067" s="1">
        <v>4.6861239E7</v>
      </c>
      <c r="C2067" s="1">
        <v>1.85018135E8</v>
      </c>
      <c r="D2067" s="1" t="s">
        <v>3161</v>
      </c>
    </row>
    <row r="2068">
      <c r="A2068" s="1">
        <v>379.0</v>
      </c>
      <c r="B2068" s="1">
        <v>4.681856E7</v>
      </c>
      <c r="C2068" s="1">
        <v>1.84996262E8</v>
      </c>
      <c r="D2068" s="1" t="s">
        <v>3163</v>
      </c>
    </row>
    <row r="2069">
      <c r="A2069" s="1">
        <v>602.0</v>
      </c>
      <c r="B2069" s="1">
        <v>4.6785195E7</v>
      </c>
      <c r="C2069" s="1">
        <v>1.84761991E8</v>
      </c>
      <c r="D2069" s="1" t="s">
        <v>3164</v>
      </c>
    </row>
    <row r="2070">
      <c r="A2070" s="1">
        <v>403.0</v>
      </c>
      <c r="B2070" s="1">
        <v>4.6754642E7</v>
      </c>
      <c r="C2070" s="1">
        <v>1.85005594E8</v>
      </c>
      <c r="D2070" s="1" t="s">
        <v>3166</v>
      </c>
    </row>
    <row r="2071">
      <c r="A2071" s="1">
        <v>410.0</v>
      </c>
      <c r="B2071" s="1">
        <v>4.6753128E7</v>
      </c>
      <c r="C2071" s="1">
        <v>1.84853049E8</v>
      </c>
      <c r="D2071" s="1" t="s">
        <v>3167</v>
      </c>
    </row>
    <row r="2072">
      <c r="A2072" s="1">
        <v>488.0</v>
      </c>
      <c r="B2072" s="1">
        <v>4.6752436E7</v>
      </c>
      <c r="C2072" s="1">
        <v>1.84799471E8</v>
      </c>
      <c r="D2072" s="1" t="s">
        <v>551</v>
      </c>
    </row>
    <row r="2073">
      <c r="A2073" s="1">
        <v>410.0</v>
      </c>
      <c r="B2073" s="1">
        <v>4.6733338E7</v>
      </c>
      <c r="C2073" s="1">
        <v>1.8481797E8</v>
      </c>
      <c r="D2073" s="1" t="s">
        <v>3170</v>
      </c>
    </row>
    <row r="2074">
      <c r="A2074" s="1">
        <v>700.0</v>
      </c>
      <c r="B2074" s="1">
        <v>4.6707786E7</v>
      </c>
      <c r="C2074" s="1">
        <v>1.84556378E8</v>
      </c>
      <c r="D2074" s="1" t="s">
        <v>3171</v>
      </c>
    </row>
    <row r="2075">
      <c r="A2075" s="1">
        <v>656.0</v>
      </c>
      <c r="B2075" s="1">
        <v>4.6704297E7</v>
      </c>
      <c r="C2075" s="1">
        <v>1.84564891E8</v>
      </c>
      <c r="D2075" s="1" t="s">
        <v>2236</v>
      </c>
    </row>
    <row r="2076">
      <c r="A2076" s="1">
        <v>353.0</v>
      </c>
      <c r="B2076" s="1">
        <v>4.6672872E7</v>
      </c>
      <c r="C2076" s="1">
        <v>1.8440592E8</v>
      </c>
      <c r="D2076" s="1" t="s">
        <v>3174</v>
      </c>
    </row>
    <row r="2077">
      <c r="A2077" s="1">
        <v>484.0</v>
      </c>
      <c r="B2077" s="1">
        <v>4.6669858E7</v>
      </c>
      <c r="C2077" s="1">
        <v>1.84259246E8</v>
      </c>
      <c r="D2077" s="1" t="s">
        <v>3175</v>
      </c>
    </row>
    <row r="2078">
      <c r="A2078" s="1">
        <v>355.0</v>
      </c>
      <c r="B2078" s="1">
        <v>4.6655767E7</v>
      </c>
      <c r="C2078" s="1">
        <v>1.84337834E8</v>
      </c>
      <c r="D2078" s="1" t="s">
        <v>3176</v>
      </c>
    </row>
    <row r="2079">
      <c r="A2079" s="1">
        <v>395.0</v>
      </c>
      <c r="B2079" s="1">
        <v>4.6626365E7</v>
      </c>
      <c r="C2079" s="1">
        <v>1.84282303E8</v>
      </c>
      <c r="D2079" s="1" t="s">
        <v>3178</v>
      </c>
    </row>
    <row r="2080">
      <c r="A2080" s="1">
        <v>674.0</v>
      </c>
      <c r="B2080" s="1">
        <v>4.6623708E7</v>
      </c>
      <c r="C2080" s="1">
        <v>1.84291422E8</v>
      </c>
      <c r="D2080" s="1" t="s">
        <v>3179</v>
      </c>
    </row>
    <row r="2081">
      <c r="A2081" s="1">
        <v>671.0</v>
      </c>
      <c r="B2081" s="1">
        <v>4.6585963E7</v>
      </c>
      <c r="C2081" s="1">
        <v>1.84079283E8</v>
      </c>
      <c r="D2081" s="1" t="s">
        <v>3181</v>
      </c>
    </row>
    <row r="2082">
      <c r="A2082" s="1">
        <v>569.0</v>
      </c>
      <c r="B2082" s="1">
        <v>4.6580321E7</v>
      </c>
      <c r="C2082" s="1">
        <v>1.84321346E8</v>
      </c>
      <c r="D2082" s="1" t="s">
        <v>3182</v>
      </c>
    </row>
    <row r="2083">
      <c r="A2083" s="1">
        <v>712.0</v>
      </c>
      <c r="B2083" s="1">
        <v>4.657091E7</v>
      </c>
      <c r="C2083" s="1">
        <v>1.84044277E8</v>
      </c>
      <c r="D2083" s="1" t="s">
        <v>3183</v>
      </c>
    </row>
    <row r="2084">
      <c r="A2084" s="1">
        <v>380.0</v>
      </c>
      <c r="B2084" s="1">
        <v>4.6553755E7</v>
      </c>
      <c r="C2084" s="1">
        <v>1.84539933E8</v>
      </c>
      <c r="D2084" s="1" t="s">
        <v>3184</v>
      </c>
    </row>
    <row r="2085">
      <c r="A2085" s="1">
        <v>671.0</v>
      </c>
      <c r="B2085" s="1">
        <v>4.6544636E7</v>
      </c>
      <c r="C2085" s="1">
        <v>1.83817207E8</v>
      </c>
      <c r="D2085" s="1" t="s">
        <v>3143</v>
      </c>
    </row>
    <row r="2086">
      <c r="A2086" s="1">
        <v>458.0</v>
      </c>
      <c r="B2086" s="1">
        <v>4.6538661E7</v>
      </c>
      <c r="C2086" s="1">
        <v>1.83801931E8</v>
      </c>
      <c r="D2086" s="1" t="s">
        <v>3185</v>
      </c>
    </row>
    <row r="2087">
      <c r="A2087" s="1">
        <v>578.0</v>
      </c>
      <c r="B2087" s="1">
        <v>4.647757E7</v>
      </c>
      <c r="C2087" s="1">
        <v>1.83584283E8</v>
      </c>
      <c r="D2087" s="1" t="s">
        <v>3187</v>
      </c>
    </row>
    <row r="2088">
      <c r="A2088" s="1">
        <v>630.0</v>
      </c>
      <c r="B2088" s="1">
        <v>4.6442758E7</v>
      </c>
      <c r="C2088" s="1">
        <v>1.83427325E8</v>
      </c>
      <c r="D2088" s="1" t="s">
        <v>3188</v>
      </c>
    </row>
    <row r="2089">
      <c r="A2089" s="1">
        <v>414.0</v>
      </c>
      <c r="B2089" s="1">
        <v>4.6429871E7</v>
      </c>
      <c r="C2089" s="1">
        <v>1.83282341E8</v>
      </c>
      <c r="D2089" s="1" t="s">
        <v>3190</v>
      </c>
    </row>
    <row r="2090">
      <c r="A2090" s="1">
        <v>412.0</v>
      </c>
      <c r="B2090" s="1">
        <v>4.6403456E7</v>
      </c>
      <c r="C2090" s="1">
        <v>1.83314864E8</v>
      </c>
      <c r="D2090" s="1" t="s">
        <v>3192</v>
      </c>
    </row>
    <row r="2091">
      <c r="A2091" s="1">
        <v>679.0</v>
      </c>
      <c r="B2091" s="1">
        <v>4.6387897E7</v>
      </c>
      <c r="C2091" s="1">
        <v>1.83089159E8</v>
      </c>
      <c r="D2091" s="1" t="s">
        <v>3193</v>
      </c>
    </row>
    <row r="2092">
      <c r="A2092" s="1">
        <v>578.0</v>
      </c>
      <c r="B2092" s="1">
        <v>4.6381877E7</v>
      </c>
      <c r="C2092" s="1">
        <v>1.83320368E8</v>
      </c>
      <c r="D2092" s="1" t="s">
        <v>2659</v>
      </c>
    </row>
    <row r="2093">
      <c r="A2093" s="1">
        <v>602.0</v>
      </c>
      <c r="B2093" s="1">
        <v>4.6381442E7</v>
      </c>
      <c r="C2093" s="1">
        <v>1.83118239E8</v>
      </c>
      <c r="D2093" s="1" t="s">
        <v>3195</v>
      </c>
    </row>
    <row r="2094">
      <c r="A2094" s="1">
        <v>414.0</v>
      </c>
      <c r="B2094" s="1">
        <v>4.636746E7</v>
      </c>
      <c r="C2094" s="1">
        <v>1.83040226E8</v>
      </c>
      <c r="D2094" s="1" t="s">
        <v>3196</v>
      </c>
    </row>
    <row r="2095">
      <c r="A2095" s="1">
        <v>365.0</v>
      </c>
      <c r="B2095" s="1">
        <v>4.6358272E7</v>
      </c>
      <c r="C2095" s="1">
        <v>3.25112742E8</v>
      </c>
      <c r="D2095" s="1" t="s">
        <v>1793</v>
      </c>
    </row>
    <row r="2096">
      <c r="A2096" s="1">
        <v>669.0</v>
      </c>
      <c r="B2096" s="1">
        <v>4.6348761E7</v>
      </c>
      <c r="C2096" s="1">
        <v>2.11724418E8</v>
      </c>
      <c r="D2096" s="1" t="s">
        <v>3197</v>
      </c>
    </row>
    <row r="2097">
      <c r="A2097" s="1">
        <v>671.0</v>
      </c>
      <c r="B2097" s="1">
        <v>4.6348005E7</v>
      </c>
      <c r="C2097" s="1">
        <v>1.831613E8</v>
      </c>
      <c r="D2097" s="1" t="s">
        <v>794</v>
      </c>
    </row>
    <row r="2098">
      <c r="A2098" s="1">
        <v>715.0</v>
      </c>
      <c r="B2098" s="1">
        <v>4.6335594E7</v>
      </c>
      <c r="C2098" s="1">
        <v>1.83037376E8</v>
      </c>
      <c r="D2098" s="1" t="s">
        <v>3199</v>
      </c>
    </row>
    <row r="2099">
      <c r="A2099" s="1">
        <v>665.0</v>
      </c>
      <c r="B2099" s="1">
        <v>4.6266521E7</v>
      </c>
      <c r="C2099" s="1">
        <v>1.82648402E8</v>
      </c>
      <c r="D2099" s="1" t="s">
        <v>3201</v>
      </c>
    </row>
    <row r="2100">
      <c r="A2100" s="1">
        <v>578.0</v>
      </c>
      <c r="B2100" s="1">
        <v>4.6264443E7</v>
      </c>
      <c r="C2100" s="1">
        <v>1.82602013E8</v>
      </c>
      <c r="D2100" s="1" t="s">
        <v>3202</v>
      </c>
    </row>
    <row r="2101">
      <c r="A2101" s="1">
        <v>578.0</v>
      </c>
      <c r="B2101" s="1">
        <v>4.6234936E7</v>
      </c>
      <c r="C2101" s="1">
        <v>1.82551042E8</v>
      </c>
      <c r="D2101" s="1" t="s">
        <v>3203</v>
      </c>
    </row>
    <row r="2102">
      <c r="A2102" s="1">
        <v>698.0</v>
      </c>
      <c r="B2102" s="1">
        <v>4.6176512E7</v>
      </c>
      <c r="C2102" s="1">
        <v>1.82329531E8</v>
      </c>
      <c r="D2102" s="1" t="s">
        <v>3204</v>
      </c>
    </row>
    <row r="2103">
      <c r="A2103" s="1">
        <v>565.0</v>
      </c>
      <c r="B2103" s="1">
        <v>4.6141014E7</v>
      </c>
      <c r="C2103" s="1">
        <v>1.82316317E8</v>
      </c>
      <c r="D2103" s="1" t="s">
        <v>3205</v>
      </c>
    </row>
    <row r="2104">
      <c r="A2104" s="1">
        <v>578.0</v>
      </c>
      <c r="B2104" s="1">
        <v>4.6096988E7</v>
      </c>
      <c r="C2104" s="1">
        <v>1.82321182E8</v>
      </c>
      <c r="D2104" s="1" t="s">
        <v>3207</v>
      </c>
    </row>
    <row r="2105">
      <c r="A2105" s="1">
        <v>410.0</v>
      </c>
      <c r="B2105" s="1">
        <v>4.6089655E7</v>
      </c>
      <c r="C2105" s="1">
        <v>1.82624532E8</v>
      </c>
      <c r="D2105" s="1" t="s">
        <v>3209</v>
      </c>
    </row>
    <row r="2106">
      <c r="A2106" s="1">
        <v>492.0</v>
      </c>
      <c r="B2106" s="1">
        <v>4.6062878E7</v>
      </c>
      <c r="C2106" s="1">
        <v>1.8187179E8</v>
      </c>
      <c r="D2106" s="1" t="s">
        <v>3210</v>
      </c>
    </row>
    <row r="2107">
      <c r="A2107" s="1">
        <v>355.0</v>
      </c>
      <c r="B2107" s="1">
        <v>4.6059828E7</v>
      </c>
      <c r="C2107" s="1">
        <v>1.81840473E8</v>
      </c>
      <c r="D2107" s="1" t="s">
        <v>3211</v>
      </c>
    </row>
    <row r="2108">
      <c r="A2108" s="1">
        <v>395.0</v>
      </c>
      <c r="B2108" s="1">
        <v>4.6036399E7</v>
      </c>
      <c r="C2108" s="1">
        <v>1.8182084E8</v>
      </c>
      <c r="D2108" s="1" t="s">
        <v>3212</v>
      </c>
    </row>
    <row r="2109">
      <c r="A2109" s="1">
        <v>378.0</v>
      </c>
      <c r="B2109" s="1">
        <v>4.603023E7</v>
      </c>
      <c r="C2109" s="1">
        <v>1.81650714E8</v>
      </c>
      <c r="D2109" s="1" t="s">
        <v>3214</v>
      </c>
    </row>
    <row r="2110">
      <c r="A2110" s="1">
        <v>461.0</v>
      </c>
      <c r="B2110" s="1">
        <v>4.5971833E7</v>
      </c>
      <c r="C2110" s="1">
        <v>1.81424479E8</v>
      </c>
      <c r="D2110" s="1" t="s">
        <v>3215</v>
      </c>
    </row>
    <row r="2111">
      <c r="A2111" s="1">
        <v>604.0</v>
      </c>
      <c r="B2111" s="1">
        <v>4.5966465E7</v>
      </c>
      <c r="C2111" s="1">
        <v>1.81498911E8</v>
      </c>
      <c r="D2111" s="1" t="s">
        <v>3141</v>
      </c>
    </row>
    <row r="2112">
      <c r="A2112" s="1">
        <v>715.0</v>
      </c>
      <c r="B2112" s="1">
        <v>4.5932274E7</v>
      </c>
      <c r="C2112" s="1">
        <v>1.8135346E8</v>
      </c>
      <c r="D2112" s="1" t="s">
        <v>3217</v>
      </c>
    </row>
    <row r="2113">
      <c r="A2113" s="1">
        <v>204.0</v>
      </c>
      <c r="B2113" s="1">
        <v>4.591364E7</v>
      </c>
      <c r="C2113" s="1">
        <v>1.81188317E8</v>
      </c>
      <c r="D2113" s="1" t="s">
        <v>3218</v>
      </c>
    </row>
    <row r="2114">
      <c r="A2114" s="1">
        <v>664.0</v>
      </c>
      <c r="B2114" s="1">
        <v>4.5874829E7</v>
      </c>
      <c r="C2114" s="1">
        <v>1.8122981E8</v>
      </c>
      <c r="D2114" s="1" t="s">
        <v>3219</v>
      </c>
    </row>
    <row r="2115">
      <c r="A2115" s="1">
        <v>671.0</v>
      </c>
      <c r="B2115" s="1">
        <v>4.5817382E7</v>
      </c>
      <c r="C2115" s="1">
        <v>1.80992121E8</v>
      </c>
      <c r="D2115" s="1" t="s">
        <v>3221</v>
      </c>
    </row>
    <row r="2116">
      <c r="A2116" s="1">
        <v>679.0</v>
      </c>
      <c r="B2116" s="1">
        <v>4.5755753E7</v>
      </c>
      <c r="C2116" s="1">
        <v>1.80699206E8</v>
      </c>
      <c r="D2116" s="1" t="s">
        <v>3222</v>
      </c>
    </row>
    <row r="2117">
      <c r="A2117" s="1">
        <v>565.0</v>
      </c>
      <c r="B2117" s="1">
        <v>4.5740845E7</v>
      </c>
      <c r="C2117" s="1">
        <v>1.80727019E8</v>
      </c>
      <c r="D2117" s="1" t="s">
        <v>2793</v>
      </c>
    </row>
    <row r="2118">
      <c r="A2118" s="1">
        <v>662.0</v>
      </c>
      <c r="B2118" s="1">
        <v>4.5669863E7</v>
      </c>
      <c r="C2118" s="1">
        <v>1.80236113E8</v>
      </c>
      <c r="D2118" s="25" t="str">
        <f>+15879747496: Stop texting me</f>
        <v>#ERROR!</v>
      </c>
    </row>
    <row r="2119">
      <c r="A2119" s="1">
        <v>473.0</v>
      </c>
      <c r="B2119" s="1">
        <v>4.5647777E7</v>
      </c>
      <c r="C2119" s="1">
        <v>1.8024159E8</v>
      </c>
      <c r="D2119" s="1" t="s">
        <v>3229</v>
      </c>
    </row>
    <row r="2120">
      <c r="A2120" s="1">
        <v>673.0</v>
      </c>
      <c r="B2120" s="1">
        <v>4.5628015E7</v>
      </c>
      <c r="C2120" s="1">
        <v>1.80060498E8</v>
      </c>
      <c r="D2120" s="1" t="s">
        <v>3231</v>
      </c>
    </row>
    <row r="2121">
      <c r="A2121" s="1">
        <v>500.0</v>
      </c>
      <c r="B2121" s="1">
        <v>4.5604986E7</v>
      </c>
      <c r="C2121" s="1">
        <v>1.83365166E8</v>
      </c>
      <c r="D2121" s="1" t="s">
        <v>3232</v>
      </c>
    </row>
    <row r="2122">
      <c r="A2122" s="1">
        <v>353.0</v>
      </c>
      <c r="B2122" s="1">
        <v>4.5542679E7</v>
      </c>
      <c r="C2122" s="1">
        <v>1.79818762E8</v>
      </c>
      <c r="D2122" s="17" t="s">
        <v>3233</v>
      </c>
    </row>
    <row r="2123">
      <c r="A2123" s="1">
        <v>410.0</v>
      </c>
      <c r="B2123" s="1">
        <v>4.5514048E7</v>
      </c>
      <c r="C2123" s="1">
        <v>1.79623597E8</v>
      </c>
      <c r="D2123" s="1" t="s">
        <v>3234</v>
      </c>
    </row>
    <row r="2124">
      <c r="A2124" s="1">
        <v>120.0</v>
      </c>
      <c r="B2124" s="1">
        <v>4.5472027E7</v>
      </c>
      <c r="C2124" s="1">
        <v>1.79575806E8</v>
      </c>
      <c r="D2124" s="1" t="s">
        <v>3235</v>
      </c>
    </row>
    <row r="2125">
      <c r="A2125" s="1">
        <v>593.0</v>
      </c>
      <c r="B2125" s="1">
        <v>4.5449862E7</v>
      </c>
      <c r="C2125" s="1">
        <v>1.79787513E8</v>
      </c>
      <c r="D2125" s="1" t="s">
        <v>3237</v>
      </c>
    </row>
    <row r="2126">
      <c r="A2126" s="1">
        <v>355.0</v>
      </c>
      <c r="B2126" s="1">
        <v>4.5426345E7</v>
      </c>
      <c r="C2126" s="1">
        <v>1.79360243E8</v>
      </c>
      <c r="D2126" s="1" t="s">
        <v>2187</v>
      </c>
    </row>
    <row r="2127">
      <c r="A2127" s="1">
        <v>639.0</v>
      </c>
      <c r="B2127" s="1">
        <v>4.5291914E7</v>
      </c>
      <c r="C2127" s="1">
        <v>1.78861087E8</v>
      </c>
      <c r="D2127" s="1" t="s">
        <v>3238</v>
      </c>
    </row>
    <row r="2128">
      <c r="A2128" s="1">
        <v>401.0</v>
      </c>
      <c r="B2128" s="1">
        <v>4.5273875E7</v>
      </c>
      <c r="C2128" s="1">
        <v>1.79069089E8</v>
      </c>
      <c r="D2128" s="1" t="s">
        <v>3240</v>
      </c>
    </row>
    <row r="2129">
      <c r="A2129" s="1">
        <v>179.0</v>
      </c>
      <c r="B2129" s="1">
        <v>4.5142903E7</v>
      </c>
      <c r="C2129" s="1">
        <v>1.78134187E8</v>
      </c>
      <c r="D2129" s="1" t="s">
        <v>3241</v>
      </c>
    </row>
    <row r="2130">
      <c r="A2130" s="1">
        <v>403.0</v>
      </c>
      <c r="B2130" s="1">
        <v>4.5118961E7</v>
      </c>
      <c r="C2130" s="1">
        <v>2.41229195E8</v>
      </c>
      <c r="D2130" s="1" t="s">
        <v>604</v>
      </c>
    </row>
    <row r="2131">
      <c r="A2131" s="1">
        <v>712.0</v>
      </c>
      <c r="B2131" s="1">
        <v>4.5072161E7</v>
      </c>
      <c r="C2131" s="1">
        <v>1.78145114E8</v>
      </c>
      <c r="D2131" s="1" t="s">
        <v>3242</v>
      </c>
    </row>
    <row r="2132">
      <c r="A2132" s="1">
        <v>455.0</v>
      </c>
      <c r="B2132" s="1">
        <v>4.5063372E7</v>
      </c>
      <c r="C2132" s="1">
        <v>1.77917196E8</v>
      </c>
      <c r="D2132" s="1" t="s">
        <v>3243</v>
      </c>
    </row>
    <row r="2133">
      <c r="A2133" s="1">
        <v>671.0</v>
      </c>
      <c r="B2133" s="1">
        <v>4.501984E7</v>
      </c>
      <c r="C2133" s="1">
        <v>1.77698539E8</v>
      </c>
      <c r="D2133" s="1" t="s">
        <v>434</v>
      </c>
    </row>
    <row r="2134">
      <c r="A2134" s="1">
        <v>571.0</v>
      </c>
      <c r="B2134" s="1">
        <v>4.5017907E7</v>
      </c>
      <c r="C2134" s="1">
        <v>1.77738883E8</v>
      </c>
      <c r="D2134" s="1" t="s">
        <v>3244</v>
      </c>
    </row>
    <row r="2135">
      <c r="A2135" s="1">
        <v>458.0</v>
      </c>
      <c r="B2135" s="1">
        <v>4.5015719E7</v>
      </c>
      <c r="C2135" s="1">
        <v>2.50012359E8</v>
      </c>
      <c r="D2135" s="1" t="s">
        <v>3245</v>
      </c>
    </row>
    <row r="2136">
      <c r="A2136" s="1">
        <v>570.0</v>
      </c>
      <c r="B2136" s="1">
        <v>4.4982193E7</v>
      </c>
      <c r="C2136" s="1">
        <v>1.77663513E8</v>
      </c>
      <c r="D2136" s="1" t="s">
        <v>3246</v>
      </c>
    </row>
    <row r="2137">
      <c r="A2137" s="1">
        <v>665.0</v>
      </c>
      <c r="B2137" s="1">
        <v>4.4976829E7</v>
      </c>
      <c r="C2137" s="1">
        <v>2.82353459E8</v>
      </c>
      <c r="D2137" s="1" t="s">
        <v>3247</v>
      </c>
    </row>
    <row r="2138">
      <c r="A2138" s="1">
        <v>380.0</v>
      </c>
      <c r="B2138" s="1">
        <v>4.497506E7</v>
      </c>
      <c r="C2138" s="1">
        <v>1.77698635E8</v>
      </c>
      <c r="D2138" s="1" t="s">
        <v>3248</v>
      </c>
    </row>
    <row r="2139">
      <c r="A2139" s="1">
        <v>497.0</v>
      </c>
      <c r="B2139" s="1">
        <v>4.4939779E7</v>
      </c>
      <c r="C2139" s="1">
        <v>1.77390344E8</v>
      </c>
      <c r="D2139" s="1" t="s">
        <v>3249</v>
      </c>
    </row>
    <row r="2140">
      <c r="A2140" s="1">
        <v>120.0</v>
      </c>
      <c r="B2140" s="1">
        <v>4.4860413E7</v>
      </c>
      <c r="C2140" s="1">
        <v>1.77172799E8</v>
      </c>
      <c r="D2140" s="1" t="s">
        <v>3251</v>
      </c>
    </row>
    <row r="2141">
      <c r="A2141" s="1">
        <v>394.0</v>
      </c>
      <c r="B2141" s="1">
        <v>4.480422E7</v>
      </c>
      <c r="C2141" s="1">
        <v>1.76968731E8</v>
      </c>
      <c r="D2141" s="1" t="s">
        <v>3252</v>
      </c>
    </row>
    <row r="2142">
      <c r="A2142" s="1">
        <v>475.0</v>
      </c>
      <c r="B2142" s="1">
        <v>4.4781078E7</v>
      </c>
      <c r="C2142" s="1">
        <v>1.7674902E8</v>
      </c>
      <c r="D2142" s="1" t="s">
        <v>3254</v>
      </c>
    </row>
    <row r="2143">
      <c r="A2143" s="1">
        <v>414.0</v>
      </c>
      <c r="B2143" s="1">
        <v>4.47558E7</v>
      </c>
      <c r="C2143" s="1">
        <v>1.76692987E8</v>
      </c>
      <c r="D2143" s="1" t="s">
        <v>3255</v>
      </c>
    </row>
    <row r="2144">
      <c r="A2144" s="1">
        <v>410.0</v>
      </c>
      <c r="B2144" s="1">
        <v>4.4698958E7</v>
      </c>
      <c r="C2144" s="1">
        <v>1.76756991E8</v>
      </c>
      <c r="D2144" s="1" t="s">
        <v>3257</v>
      </c>
    </row>
    <row r="2145">
      <c r="A2145" s="1">
        <v>661.0</v>
      </c>
      <c r="B2145" s="1">
        <v>4.466008E7</v>
      </c>
      <c r="C2145" s="1">
        <v>1.76481747E8</v>
      </c>
      <c r="D2145" s="1" t="s">
        <v>908</v>
      </c>
    </row>
    <row r="2146">
      <c r="A2146" s="1">
        <v>610.0</v>
      </c>
      <c r="B2146" s="1">
        <v>4.4624876E7</v>
      </c>
      <c r="C2146" s="1">
        <v>2.8609096E8</v>
      </c>
      <c r="D2146" s="1" t="s">
        <v>1963</v>
      </c>
    </row>
    <row r="2147">
      <c r="A2147" s="1">
        <v>571.0</v>
      </c>
      <c r="B2147" s="1">
        <v>4.4392679E7</v>
      </c>
      <c r="C2147" s="1">
        <v>1.75376622E8</v>
      </c>
      <c r="D2147" s="1" t="s">
        <v>3258</v>
      </c>
    </row>
    <row r="2148">
      <c r="A2148" s="1">
        <v>656.0</v>
      </c>
      <c r="B2148" s="1">
        <v>4.437565E7</v>
      </c>
      <c r="C2148" s="1">
        <v>1.75531727E8</v>
      </c>
      <c r="D2148" s="1" t="s">
        <v>3259</v>
      </c>
    </row>
    <row r="2149">
      <c r="A2149" s="1">
        <v>564.0</v>
      </c>
      <c r="B2149" s="1">
        <v>4.4358442E7</v>
      </c>
      <c r="C2149" s="1">
        <v>1.75526E8</v>
      </c>
      <c r="D2149" s="1" t="s">
        <v>3260</v>
      </c>
    </row>
    <row r="2150">
      <c r="A2150" s="1">
        <v>319.0</v>
      </c>
      <c r="B2150" s="1">
        <v>4.4350891E7</v>
      </c>
      <c r="C2150" s="1">
        <v>1.75522549E8</v>
      </c>
      <c r="D2150" s="1" t="s">
        <v>370</v>
      </c>
    </row>
    <row r="2151">
      <c r="A2151" s="1">
        <v>461.0</v>
      </c>
      <c r="B2151" s="1">
        <v>4.432424E7</v>
      </c>
      <c r="C2151" s="1">
        <v>1.75126361E8</v>
      </c>
      <c r="D2151" s="1" t="s">
        <v>3261</v>
      </c>
    </row>
    <row r="2152">
      <c r="A2152" s="1">
        <v>565.0</v>
      </c>
      <c r="B2152" s="1">
        <v>4.4231994E7</v>
      </c>
      <c r="C2152" s="1">
        <v>1.74914164E8</v>
      </c>
      <c r="D2152" s="1" t="s">
        <v>3262</v>
      </c>
    </row>
    <row r="2153">
      <c r="A2153" s="1">
        <v>665.0</v>
      </c>
      <c r="B2153" s="1">
        <v>4.416015E7</v>
      </c>
      <c r="C2153" s="1">
        <v>1.74465283E8</v>
      </c>
      <c r="D2153" s="1" t="s">
        <v>3263</v>
      </c>
    </row>
    <row r="2154">
      <c r="A2154" s="1">
        <v>392.0</v>
      </c>
      <c r="B2154" s="1">
        <v>4.4141609E7</v>
      </c>
      <c r="C2154" s="1">
        <v>1.74451607E8</v>
      </c>
      <c r="D2154" s="1" t="s">
        <v>3264</v>
      </c>
    </row>
    <row r="2155">
      <c r="A2155" s="1">
        <v>715.0</v>
      </c>
      <c r="B2155" s="1">
        <v>4.4107895E7</v>
      </c>
      <c r="C2155" s="1">
        <v>1.7440354E8</v>
      </c>
      <c r="D2155" s="1" t="s">
        <v>3265</v>
      </c>
    </row>
    <row r="2156">
      <c r="A2156" s="1">
        <v>602.0</v>
      </c>
      <c r="B2156" s="1">
        <v>4.4084767E7</v>
      </c>
      <c r="C2156" s="1">
        <v>2.31122709E8</v>
      </c>
      <c r="D2156" s="1" t="s">
        <v>3266</v>
      </c>
    </row>
    <row r="2157">
      <c r="A2157" s="1">
        <v>669.0</v>
      </c>
      <c r="B2157" s="1">
        <v>4.4049001E7</v>
      </c>
      <c r="C2157" s="1">
        <v>1.73985871E8</v>
      </c>
      <c r="D2157" s="1" t="s">
        <v>3267</v>
      </c>
    </row>
    <row r="2158">
      <c r="A2158" s="1">
        <v>379.0</v>
      </c>
      <c r="B2158" s="1">
        <v>4.4011387E7</v>
      </c>
      <c r="C2158" s="1">
        <v>1.73995536E8</v>
      </c>
      <c r="D2158" s="1" t="s">
        <v>3268</v>
      </c>
    </row>
    <row r="2159">
      <c r="A2159" s="1">
        <v>414.0</v>
      </c>
      <c r="B2159" s="1">
        <v>4.4001677E7</v>
      </c>
      <c r="C2159" s="1">
        <v>1.73790401E8</v>
      </c>
      <c r="D2159" s="1" t="s">
        <v>3269</v>
      </c>
    </row>
    <row r="2160">
      <c r="A2160" s="1">
        <v>407.0</v>
      </c>
      <c r="B2160" s="1">
        <v>4.3999551E7</v>
      </c>
      <c r="C2160" s="1">
        <v>1.7385016E8</v>
      </c>
      <c r="D2160" s="1" t="s">
        <v>3270</v>
      </c>
    </row>
    <row r="2161">
      <c r="A2161" s="1">
        <v>564.0</v>
      </c>
      <c r="B2161" s="1">
        <v>4.3965155E7</v>
      </c>
      <c r="C2161" s="1">
        <v>1.73798971E8</v>
      </c>
      <c r="D2161" s="1" t="s">
        <v>2627</v>
      </c>
    </row>
    <row r="2162">
      <c r="A2162" s="1">
        <v>712.0</v>
      </c>
      <c r="B2162" s="1">
        <v>4.3952133E7</v>
      </c>
      <c r="C2162" s="1">
        <v>1.74003417E8</v>
      </c>
      <c r="D2162" s="1" t="s">
        <v>3271</v>
      </c>
    </row>
    <row r="2163">
      <c r="A2163" s="1">
        <v>461.0</v>
      </c>
      <c r="B2163" s="1">
        <v>4.3838431E7</v>
      </c>
      <c r="C2163" s="1">
        <v>1.73232874E8</v>
      </c>
      <c r="D2163" s="1" t="s">
        <v>3272</v>
      </c>
    </row>
    <row r="2164">
      <c r="A2164" s="1">
        <v>355.0</v>
      </c>
      <c r="B2164" s="1">
        <v>4.3837301E7</v>
      </c>
      <c r="C2164" s="1">
        <v>1.73288017E8</v>
      </c>
      <c r="D2164" s="1" t="s">
        <v>3273</v>
      </c>
    </row>
    <row r="2165">
      <c r="A2165" s="1">
        <v>355.0</v>
      </c>
      <c r="B2165" s="1">
        <v>4.3826184E7</v>
      </c>
      <c r="C2165" s="1">
        <v>3.46835259E8</v>
      </c>
      <c r="D2165" s="1" t="s">
        <v>3274</v>
      </c>
    </row>
    <row r="2166">
      <c r="A2166" s="1">
        <v>215.0</v>
      </c>
      <c r="B2166" s="1">
        <v>4.3799954E7</v>
      </c>
      <c r="C2166" s="1">
        <v>1.73301452E8</v>
      </c>
      <c r="D2166" s="1" t="s">
        <v>3275</v>
      </c>
    </row>
    <row r="2167">
      <c r="A2167" s="1">
        <v>410.0</v>
      </c>
      <c r="B2167" s="1">
        <v>4.3795285E7</v>
      </c>
      <c r="C2167" s="1">
        <v>1.73010363E8</v>
      </c>
      <c r="D2167" s="1" t="s">
        <v>3276</v>
      </c>
    </row>
    <row r="2168">
      <c r="A2168" s="1">
        <v>120.0</v>
      </c>
      <c r="B2168" s="1">
        <v>4.3790178E7</v>
      </c>
      <c r="C2168" s="1">
        <v>1.73400281E8</v>
      </c>
      <c r="D2168" s="1" t="s">
        <v>3277</v>
      </c>
    </row>
    <row r="2169">
      <c r="A2169" s="1">
        <v>673.0</v>
      </c>
      <c r="B2169" s="1">
        <v>4.3782623E7</v>
      </c>
      <c r="C2169" s="1">
        <v>1.73045515E8</v>
      </c>
      <c r="D2169" s="1" t="s">
        <v>3278</v>
      </c>
    </row>
    <row r="2170">
      <c r="A2170" s="1">
        <v>616.0</v>
      </c>
      <c r="B2170" s="1">
        <v>4.3765733E7</v>
      </c>
      <c r="C2170" s="1">
        <v>1.7299444E8</v>
      </c>
      <c r="D2170" s="1" t="s">
        <v>3279</v>
      </c>
    </row>
    <row r="2171">
      <c r="A2171" s="1">
        <v>665.0</v>
      </c>
      <c r="B2171" s="1">
        <v>4.3709869E7</v>
      </c>
      <c r="C2171" s="1">
        <v>2.00170026E8</v>
      </c>
      <c r="D2171" s="1" t="s">
        <v>3280</v>
      </c>
    </row>
    <row r="2172">
      <c r="A2172" s="1">
        <v>419.0</v>
      </c>
      <c r="B2172" s="1">
        <v>4.3657935E7</v>
      </c>
      <c r="C2172" s="1">
        <v>1.72684844E8</v>
      </c>
      <c r="D2172" s="1" t="s">
        <v>3281</v>
      </c>
    </row>
    <row r="2173">
      <c r="A2173" s="1">
        <v>378.0</v>
      </c>
      <c r="B2173" s="1">
        <v>4.3573667E7</v>
      </c>
      <c r="C2173" s="1">
        <v>1.72286135E8</v>
      </c>
      <c r="D2173" s="1" t="s">
        <v>822</v>
      </c>
    </row>
    <row r="2174">
      <c r="A2174" s="1">
        <v>610.0</v>
      </c>
      <c r="B2174" s="1">
        <v>4.346825E7</v>
      </c>
      <c r="C2174" s="1">
        <v>2.32078853E8</v>
      </c>
      <c r="D2174" s="1" t="s">
        <v>3283</v>
      </c>
    </row>
    <row r="2175">
      <c r="A2175" s="1">
        <v>602.0</v>
      </c>
      <c r="B2175" s="1">
        <v>4.346007E7</v>
      </c>
      <c r="C2175" s="1">
        <v>1.71868767E8</v>
      </c>
      <c r="D2175" s="1" t="s">
        <v>3284</v>
      </c>
    </row>
    <row r="2176">
      <c r="A2176" s="1">
        <v>409.0</v>
      </c>
      <c r="B2176" s="1">
        <v>4.3415566E7</v>
      </c>
      <c r="C2176" s="1">
        <v>1.7184752E8</v>
      </c>
      <c r="D2176" s="1" t="s">
        <v>3285</v>
      </c>
    </row>
    <row r="2177">
      <c r="A2177" s="1">
        <v>641.0</v>
      </c>
      <c r="B2177" s="1">
        <v>4.3319857E7</v>
      </c>
      <c r="C2177" s="1">
        <v>1.71375593E8</v>
      </c>
      <c r="D2177" s="1" t="s">
        <v>3286</v>
      </c>
    </row>
    <row r="2178">
      <c r="A2178" s="1">
        <v>504.0</v>
      </c>
      <c r="B2178" s="1">
        <v>4.3262637E7</v>
      </c>
      <c r="C2178" s="1">
        <v>1.71085623E8</v>
      </c>
      <c r="D2178" s="1" t="s">
        <v>3287</v>
      </c>
    </row>
    <row r="2179">
      <c r="A2179" s="1">
        <v>664.0</v>
      </c>
      <c r="B2179" s="1">
        <v>4.3211577E7</v>
      </c>
      <c r="C2179" s="1">
        <v>1.70887037E8</v>
      </c>
      <c r="D2179" s="1" t="s">
        <v>3288</v>
      </c>
    </row>
    <row r="2180">
      <c r="A2180" s="1">
        <v>488.0</v>
      </c>
      <c r="B2180" s="1">
        <v>4.3131813E7</v>
      </c>
      <c r="C2180" s="1">
        <v>1.70685404E8</v>
      </c>
      <c r="D2180" s="1" t="s">
        <v>3289</v>
      </c>
    </row>
    <row r="2181">
      <c r="A2181" s="1">
        <v>665.0</v>
      </c>
      <c r="B2181" s="1">
        <v>4.3111931E7</v>
      </c>
      <c r="C2181" s="1">
        <v>1.7048791E8</v>
      </c>
      <c r="D2181" s="1" t="s">
        <v>3290</v>
      </c>
    </row>
    <row r="2182">
      <c r="A2182" s="1">
        <v>414.0</v>
      </c>
      <c r="B2182" s="1">
        <v>4.3047651E7</v>
      </c>
      <c r="C2182" s="1">
        <v>1.70209718E8</v>
      </c>
      <c r="D2182" s="1" t="s">
        <v>3292</v>
      </c>
    </row>
    <row r="2183">
      <c r="A2183" s="1">
        <v>587.0</v>
      </c>
      <c r="B2183" s="1">
        <v>4.3037204E7</v>
      </c>
      <c r="C2183" s="1">
        <v>1.70175681E8</v>
      </c>
      <c r="D2183" s="1" t="s">
        <v>2974</v>
      </c>
    </row>
    <row r="2184">
      <c r="A2184" s="1">
        <v>203.0</v>
      </c>
      <c r="B2184" s="1">
        <v>4.3035037E7</v>
      </c>
      <c r="C2184" s="1">
        <v>2.00596846E8</v>
      </c>
      <c r="D2184" s="1" t="s">
        <v>3294</v>
      </c>
    </row>
    <row r="2185">
      <c r="A2185" s="1">
        <v>610.0</v>
      </c>
      <c r="B2185" s="1">
        <v>4.3033824E7</v>
      </c>
      <c r="C2185" s="1">
        <v>3.3894254E8</v>
      </c>
      <c r="D2185" s="1" t="s">
        <v>3295</v>
      </c>
    </row>
    <row r="2186">
      <c r="A2186" s="1">
        <v>337.0</v>
      </c>
      <c r="B2186" s="1">
        <v>4.3023745E7</v>
      </c>
      <c r="C2186" s="1">
        <v>1.70883004E8</v>
      </c>
      <c r="D2186" s="1" t="s">
        <v>3296</v>
      </c>
    </row>
    <row r="2187">
      <c r="A2187" s="1">
        <v>380.0</v>
      </c>
      <c r="B2187" s="1">
        <v>4.296745E7</v>
      </c>
      <c r="C2187" s="1">
        <v>1.69975798E8</v>
      </c>
      <c r="D2187" s="1" t="s">
        <v>2224</v>
      </c>
    </row>
    <row r="2188">
      <c r="A2188" s="1">
        <v>504.0</v>
      </c>
      <c r="B2188" s="1">
        <v>4.2961428E7</v>
      </c>
      <c r="C2188" s="1">
        <v>1.69918446E8</v>
      </c>
      <c r="D2188" s="1" t="s">
        <v>3298</v>
      </c>
    </row>
    <row r="2189">
      <c r="A2189" s="1">
        <v>355.0</v>
      </c>
      <c r="B2189" s="1">
        <v>4.2924529E7</v>
      </c>
      <c r="C2189" s="1">
        <v>1.69797575E8</v>
      </c>
      <c r="D2189" s="1" t="s">
        <v>3299</v>
      </c>
    </row>
    <row r="2190">
      <c r="A2190" s="1">
        <v>419.0</v>
      </c>
      <c r="B2190" s="1">
        <v>4.2835315E7</v>
      </c>
      <c r="C2190" s="1">
        <v>1.69415323E8</v>
      </c>
      <c r="D2190" s="1" t="s">
        <v>2953</v>
      </c>
    </row>
    <row r="2191">
      <c r="A2191" s="1">
        <v>409.0</v>
      </c>
      <c r="B2191" s="1">
        <v>4.2798843E7</v>
      </c>
      <c r="C2191" s="1">
        <v>1.69197207E8</v>
      </c>
      <c r="D2191" s="1" t="s">
        <v>1857</v>
      </c>
    </row>
    <row r="2192">
      <c r="A2192" s="1">
        <v>406.0</v>
      </c>
      <c r="B2192" s="1">
        <v>4.2776721E7</v>
      </c>
      <c r="C2192" s="1">
        <v>2.81121616E8</v>
      </c>
      <c r="D2192" s="1" t="s">
        <v>3301</v>
      </c>
    </row>
    <row r="2193">
      <c r="A2193" s="1">
        <v>355.0</v>
      </c>
      <c r="B2193" s="1">
        <v>4.2679689E7</v>
      </c>
      <c r="C2193" s="1">
        <v>1.69050097E8</v>
      </c>
      <c r="D2193" s="1" t="s">
        <v>3303</v>
      </c>
    </row>
    <row r="2194">
      <c r="A2194" s="1">
        <v>471.0</v>
      </c>
      <c r="B2194" s="1">
        <v>4.2641976E7</v>
      </c>
      <c r="C2194" s="1">
        <v>1.68969089E8</v>
      </c>
      <c r="D2194" s="1" t="s">
        <v>3304</v>
      </c>
    </row>
    <row r="2195">
      <c r="A2195" s="1">
        <v>210.0</v>
      </c>
      <c r="B2195" s="1">
        <v>4.262963E7</v>
      </c>
      <c r="C2195" s="1">
        <v>1.68486644E8</v>
      </c>
      <c r="D2195" s="1" t="s">
        <v>3306</v>
      </c>
    </row>
    <row r="2196">
      <c r="A2196" s="1">
        <v>597.0</v>
      </c>
      <c r="B2196" s="1">
        <v>4.2597217E7</v>
      </c>
      <c r="C2196" s="1">
        <v>1.68513738E8</v>
      </c>
      <c r="D2196" s="1" t="s">
        <v>3307</v>
      </c>
    </row>
    <row r="2197">
      <c r="A2197" s="1">
        <v>355.0</v>
      </c>
      <c r="B2197" s="1">
        <v>4.2568659E7</v>
      </c>
      <c r="C2197" s="1">
        <v>1.68262016E8</v>
      </c>
      <c r="D2197" s="1" t="s">
        <v>3308</v>
      </c>
    </row>
    <row r="2198">
      <c r="A2198" s="1">
        <v>673.0</v>
      </c>
      <c r="B2198" s="1">
        <v>4.2559343E7</v>
      </c>
      <c r="C2198" s="1">
        <v>1.6877656E8</v>
      </c>
      <c r="D2198" s="1" t="s">
        <v>3310</v>
      </c>
    </row>
    <row r="2199">
      <c r="A2199" s="1">
        <v>407.0</v>
      </c>
      <c r="B2199" s="1">
        <v>4.2464797E7</v>
      </c>
      <c r="C2199" s="1">
        <v>1.68308705E8</v>
      </c>
      <c r="D2199" s="1" t="s">
        <v>2347</v>
      </c>
    </row>
    <row r="2200">
      <c r="A2200" s="1">
        <v>414.0</v>
      </c>
      <c r="B2200" s="1">
        <v>4.238053E7</v>
      </c>
      <c r="C2200" s="1">
        <v>1.67766438E8</v>
      </c>
      <c r="D2200" s="1" t="s">
        <v>3311</v>
      </c>
    </row>
    <row r="2201">
      <c r="A2201" s="1">
        <v>215.0</v>
      </c>
      <c r="B2201" s="1">
        <v>4.2374616E7</v>
      </c>
      <c r="C2201" s="1">
        <v>1.68102503E8</v>
      </c>
      <c r="D2201" s="1" t="s">
        <v>1184</v>
      </c>
    </row>
    <row r="2202">
      <c r="A2202" s="1">
        <v>587.0</v>
      </c>
      <c r="B2202" s="1">
        <v>4.2343147E7</v>
      </c>
      <c r="C2202" s="1">
        <v>1.67781416E8</v>
      </c>
      <c r="D2202" s="1" t="s">
        <v>970</v>
      </c>
    </row>
    <row r="2203">
      <c r="A2203" s="1">
        <v>355.0</v>
      </c>
      <c r="B2203" s="1">
        <v>4.2237053E7</v>
      </c>
      <c r="C2203" s="1">
        <v>1.67105425E8</v>
      </c>
      <c r="D2203" s="1" t="s">
        <v>3312</v>
      </c>
    </row>
    <row r="2204">
      <c r="A2204" s="1">
        <v>210.0</v>
      </c>
      <c r="B2204" s="1">
        <v>4.2205891E7</v>
      </c>
      <c r="C2204" s="1">
        <v>1.67021907E8</v>
      </c>
      <c r="D2204" s="1" t="s">
        <v>3105</v>
      </c>
    </row>
    <row r="2205">
      <c r="A2205" s="1">
        <v>671.0</v>
      </c>
      <c r="B2205" s="1">
        <v>4.2197437E7</v>
      </c>
      <c r="C2205" s="1">
        <v>3.63780334E8</v>
      </c>
      <c r="D2205" s="1" t="s">
        <v>3315</v>
      </c>
    </row>
    <row r="2206">
      <c r="A2206" s="1">
        <v>380.0</v>
      </c>
      <c r="B2206" s="1">
        <v>4.2173422E7</v>
      </c>
      <c r="C2206" s="1">
        <v>1.66842787E8</v>
      </c>
      <c r="D2206" s="1" t="s">
        <v>3316</v>
      </c>
    </row>
    <row r="2207">
      <c r="A2207" s="1">
        <v>215.0</v>
      </c>
      <c r="B2207" s="1">
        <v>4.2097492E7</v>
      </c>
      <c r="C2207" s="1">
        <v>1.66672352E8</v>
      </c>
      <c r="D2207" s="1" t="s">
        <v>3318</v>
      </c>
    </row>
    <row r="2208">
      <c r="A2208" s="1">
        <v>207.0</v>
      </c>
      <c r="B2208" s="1">
        <v>4.2037019E7</v>
      </c>
      <c r="C2208" s="1">
        <v>1.66560223E8</v>
      </c>
      <c r="D2208" s="1" t="s">
        <v>3319</v>
      </c>
    </row>
    <row r="2209">
      <c r="A2209" s="1">
        <v>419.0</v>
      </c>
      <c r="B2209" s="1">
        <v>4.1984523E7</v>
      </c>
      <c r="C2209" s="1">
        <v>1.66016474E8</v>
      </c>
      <c r="D2209" s="1" t="s">
        <v>3321</v>
      </c>
    </row>
    <row r="2210">
      <c r="A2210" s="1">
        <v>392.0</v>
      </c>
      <c r="B2210" s="1">
        <v>4.1949964E7</v>
      </c>
      <c r="C2210" s="1">
        <v>1.6607045E8</v>
      </c>
      <c r="D2210" s="1" t="s">
        <v>3322</v>
      </c>
    </row>
    <row r="2211">
      <c r="A2211" s="1">
        <v>419.0</v>
      </c>
      <c r="B2211" s="1">
        <v>4.1906112E7</v>
      </c>
      <c r="C2211" s="1">
        <v>1.65781759E8</v>
      </c>
      <c r="D2211" s="1" t="s">
        <v>1561</v>
      </c>
    </row>
    <row r="2212">
      <c r="A2212" s="1">
        <v>587.0</v>
      </c>
      <c r="B2212" s="1">
        <v>4.1850343E7</v>
      </c>
      <c r="C2212" s="1">
        <v>1.68796365E8</v>
      </c>
      <c r="D2212" s="1" t="s">
        <v>3324</v>
      </c>
    </row>
    <row r="2213">
      <c r="A2213" s="1">
        <v>215.0</v>
      </c>
      <c r="B2213" s="1">
        <v>4.1765034E7</v>
      </c>
      <c r="C2213" s="1">
        <v>1.65476162E8</v>
      </c>
      <c r="D2213" s="1" t="s">
        <v>3019</v>
      </c>
    </row>
    <row r="2214">
      <c r="A2214" s="1">
        <v>578.0</v>
      </c>
      <c r="B2214" s="1">
        <v>4.1724818E7</v>
      </c>
      <c r="C2214" s="1">
        <v>1.65350078E8</v>
      </c>
      <c r="D2214" s="1" t="s">
        <v>3326</v>
      </c>
    </row>
    <row r="2215">
      <c r="A2215" s="1">
        <v>403.0</v>
      </c>
      <c r="B2215" s="1">
        <v>4.1724121E7</v>
      </c>
      <c r="C2215" s="1">
        <v>1.6511177E8</v>
      </c>
      <c r="D2215" s="1" t="s">
        <v>3327</v>
      </c>
    </row>
    <row r="2216">
      <c r="A2216" s="1">
        <v>587.0</v>
      </c>
      <c r="B2216" s="1">
        <v>4.1701283E7</v>
      </c>
      <c r="C2216" s="1">
        <v>3.68750781E8</v>
      </c>
      <c r="D2216" s="1" t="s">
        <v>2458</v>
      </c>
    </row>
    <row r="2217">
      <c r="A2217" s="1">
        <v>665.0</v>
      </c>
      <c r="B2217" s="1">
        <v>4.1678365E7</v>
      </c>
      <c r="C2217" s="1">
        <v>1.64968796E8</v>
      </c>
      <c r="D2217" s="1" t="s">
        <v>3329</v>
      </c>
    </row>
    <row r="2218">
      <c r="A2218" s="1">
        <v>629.0</v>
      </c>
      <c r="B2218" s="1">
        <v>4.167418E7</v>
      </c>
      <c r="C2218" s="1">
        <v>1.6492312E8</v>
      </c>
      <c r="D2218" s="1" t="s">
        <v>3331</v>
      </c>
    </row>
    <row r="2219">
      <c r="A2219" s="1">
        <v>597.0</v>
      </c>
      <c r="B2219" s="1">
        <v>4.1637592E7</v>
      </c>
      <c r="C2219" s="1">
        <v>1.64673687E8</v>
      </c>
      <c r="D2219" s="1" t="s">
        <v>3332</v>
      </c>
    </row>
    <row r="2220">
      <c r="A2220" s="1">
        <v>410.0</v>
      </c>
      <c r="B2220" s="1">
        <v>4.1612942E7</v>
      </c>
      <c r="C2220" s="1">
        <v>1.64708358E8</v>
      </c>
      <c r="D2220" s="1" t="s">
        <v>3333</v>
      </c>
    </row>
    <row r="2221">
      <c r="A2221" s="1">
        <v>410.0</v>
      </c>
      <c r="B2221" s="1">
        <v>4.1611025E7</v>
      </c>
      <c r="C2221" s="1">
        <v>1.6477051E8</v>
      </c>
      <c r="D2221" s="1" t="s">
        <v>3334</v>
      </c>
    </row>
    <row r="2222">
      <c r="A2222" s="1">
        <v>578.0</v>
      </c>
      <c r="B2222" s="1">
        <v>4.1605653E7</v>
      </c>
      <c r="C2222" s="1">
        <v>4.18155063E8</v>
      </c>
      <c r="D2222" s="1" t="s">
        <v>3309</v>
      </c>
    </row>
    <row r="2223">
      <c r="A2223" s="1">
        <v>522.0</v>
      </c>
      <c r="B2223" s="1">
        <v>4.1589351E7</v>
      </c>
      <c r="C2223" s="1">
        <v>1.64650359E8</v>
      </c>
      <c r="D2223" s="1" t="s">
        <v>624</v>
      </c>
    </row>
    <row r="2224">
      <c r="A2224" s="1">
        <v>671.0</v>
      </c>
      <c r="B2224" s="1">
        <v>4.1566791E7</v>
      </c>
      <c r="C2224" s="1">
        <v>1.64747513E8</v>
      </c>
      <c r="D2224" s="1" t="s">
        <v>3336</v>
      </c>
    </row>
    <row r="2225">
      <c r="A2225" s="1">
        <v>410.0</v>
      </c>
      <c r="B2225" s="1">
        <v>4.1556855E7</v>
      </c>
      <c r="C2225" s="1">
        <v>1.64421799E8</v>
      </c>
      <c r="D2225" s="1" t="s">
        <v>3337</v>
      </c>
    </row>
    <row r="2226">
      <c r="A2226" s="1">
        <v>395.0</v>
      </c>
      <c r="B2226" s="1">
        <v>4.144527E7</v>
      </c>
      <c r="C2226" s="1">
        <v>1.64115201E8</v>
      </c>
      <c r="D2226" s="1" t="s">
        <v>3339</v>
      </c>
    </row>
    <row r="2227">
      <c r="A2227" s="1">
        <v>630.0</v>
      </c>
      <c r="B2227" s="1">
        <v>4.1435786E7</v>
      </c>
      <c r="C2227" s="1">
        <v>1.63992677E8</v>
      </c>
      <c r="D2227" s="1" t="s">
        <v>3340</v>
      </c>
    </row>
    <row r="2228">
      <c r="A2228" s="1">
        <v>571.0</v>
      </c>
      <c r="B2228" s="1">
        <v>4.1418537E7</v>
      </c>
      <c r="C2228" s="1">
        <v>1.64113069E8</v>
      </c>
      <c r="D2228" s="1" t="s">
        <v>3342</v>
      </c>
    </row>
    <row r="2229">
      <c r="A2229" s="1">
        <v>414.0</v>
      </c>
      <c r="B2229" s="1">
        <v>4.1404158E7</v>
      </c>
      <c r="C2229" s="1">
        <v>1.63867921E8</v>
      </c>
      <c r="D2229" s="1" t="s">
        <v>3344</v>
      </c>
    </row>
    <row r="2230">
      <c r="A2230" s="1">
        <v>410.0</v>
      </c>
      <c r="B2230" s="1">
        <v>4.136461E7</v>
      </c>
      <c r="C2230" s="1">
        <v>1.63675877E8</v>
      </c>
      <c r="D2230" s="1" t="s">
        <v>3345</v>
      </c>
    </row>
    <row r="2231">
      <c r="A2231" s="1">
        <v>256.0</v>
      </c>
      <c r="B2231" s="1">
        <v>4.1356743E7</v>
      </c>
      <c r="C2231" s="1">
        <v>1.63917541E8</v>
      </c>
      <c r="D2231" s="1" t="s">
        <v>3346</v>
      </c>
    </row>
    <row r="2232">
      <c r="A2232" s="1">
        <v>597.0</v>
      </c>
      <c r="B2232" s="1">
        <v>4.129266E7</v>
      </c>
      <c r="C2232" s="1">
        <v>1.63676648E8</v>
      </c>
      <c r="D2232" s="1" t="s">
        <v>3347</v>
      </c>
    </row>
    <row r="2233">
      <c r="A2233" s="1">
        <v>665.0</v>
      </c>
      <c r="B2233" s="1">
        <v>4.1290539E7</v>
      </c>
      <c r="C2233" s="1">
        <v>1.63458283E8</v>
      </c>
      <c r="D2233" s="1" t="s">
        <v>3348</v>
      </c>
    </row>
    <row r="2234">
      <c r="A2234" s="1">
        <v>564.0</v>
      </c>
      <c r="B2234" s="1">
        <v>4.1219204E7</v>
      </c>
      <c r="C2234" s="1">
        <v>1.63195922E8</v>
      </c>
      <c r="D2234" s="1" t="s">
        <v>3349</v>
      </c>
    </row>
    <row r="2235">
      <c r="A2235" s="1">
        <v>488.0</v>
      </c>
      <c r="B2235" s="1">
        <v>4.1211549E7</v>
      </c>
      <c r="C2235" s="1">
        <v>1.63183915E8</v>
      </c>
      <c r="D2235" s="1" t="s">
        <v>3350</v>
      </c>
    </row>
    <row r="2236">
      <c r="A2236" s="1">
        <v>395.0</v>
      </c>
      <c r="B2236" s="1">
        <v>4.1187565E7</v>
      </c>
      <c r="C2236" s="1">
        <v>1.63150677E8</v>
      </c>
      <c r="D2236" s="1" t="s">
        <v>3351</v>
      </c>
    </row>
    <row r="2237">
      <c r="A2237" s="1">
        <v>414.0</v>
      </c>
      <c r="B2237" s="1">
        <v>4.1150438E7</v>
      </c>
      <c r="C2237" s="1">
        <v>1.62906673E8</v>
      </c>
      <c r="D2237" s="1" t="s">
        <v>3352</v>
      </c>
    </row>
    <row r="2238">
      <c r="A2238" s="1">
        <v>521.0</v>
      </c>
      <c r="B2238" s="1">
        <v>4.1137672E7</v>
      </c>
      <c r="C2238" s="1">
        <v>1.62889983E8</v>
      </c>
      <c r="D2238" s="1" t="s">
        <v>3353</v>
      </c>
    </row>
    <row r="2239">
      <c r="A2239" s="1">
        <v>488.0</v>
      </c>
      <c r="B2239" s="1">
        <v>4.1103335E7</v>
      </c>
      <c r="C2239" s="1">
        <v>1.62945922E8</v>
      </c>
      <c r="D2239" s="1" t="s">
        <v>3354</v>
      </c>
    </row>
    <row r="2240">
      <c r="A2240" s="1">
        <v>410.0</v>
      </c>
      <c r="B2240" s="1">
        <v>4.1033838E7</v>
      </c>
      <c r="C2240" s="1">
        <v>1.62463363E8</v>
      </c>
      <c r="D2240" s="1" t="s">
        <v>3355</v>
      </c>
    </row>
    <row r="2241">
      <c r="A2241" s="1">
        <v>408.0</v>
      </c>
      <c r="B2241" s="1">
        <v>4.1013341E7</v>
      </c>
      <c r="C2241" s="1">
        <v>1.6263469E8</v>
      </c>
      <c r="D2241" s="1" t="s">
        <v>3356</v>
      </c>
    </row>
    <row r="2242">
      <c r="A2242" s="1">
        <v>601.0</v>
      </c>
      <c r="B2242" s="1">
        <v>4.1007889E7</v>
      </c>
      <c r="C2242" s="1">
        <v>1.62403035E8</v>
      </c>
      <c r="D2242" s="1" t="s">
        <v>3357</v>
      </c>
    </row>
    <row r="2243">
      <c r="A2243" s="1">
        <v>672.0</v>
      </c>
      <c r="B2243" s="1">
        <v>4.0607697E7</v>
      </c>
      <c r="C2243" s="1">
        <v>1.61185112E8</v>
      </c>
      <c r="D2243" s="1" t="s">
        <v>3359</v>
      </c>
    </row>
    <row r="2244">
      <c r="A2244" s="1">
        <v>671.0</v>
      </c>
      <c r="B2244" s="1">
        <v>4.0464501E7</v>
      </c>
      <c r="C2244" s="1">
        <v>1.6049071E8</v>
      </c>
      <c r="D2244" s="1" t="s">
        <v>3361</v>
      </c>
    </row>
    <row r="2245">
      <c r="A2245" s="1">
        <v>654.0</v>
      </c>
      <c r="B2245" s="1">
        <v>4.0418496E7</v>
      </c>
      <c r="C2245" s="1">
        <v>1.60235505E8</v>
      </c>
      <c r="D2245" s="1" t="s">
        <v>1182</v>
      </c>
    </row>
    <row r="2246">
      <c r="A2246" s="1">
        <v>401.0</v>
      </c>
      <c r="B2246" s="1">
        <v>4.0379851E7</v>
      </c>
      <c r="C2246" s="1">
        <v>1.60238229E8</v>
      </c>
      <c r="D2246" s="1" t="s">
        <v>3362</v>
      </c>
    </row>
    <row r="2247">
      <c r="A2247" s="1">
        <v>531.0</v>
      </c>
      <c r="B2247" s="1">
        <v>4.0373491E7</v>
      </c>
      <c r="C2247" s="1">
        <v>1.60465096E8</v>
      </c>
      <c r="D2247" s="1" t="s">
        <v>1340</v>
      </c>
    </row>
    <row r="2248">
      <c r="A2248" s="1">
        <v>665.0</v>
      </c>
      <c r="B2248" s="1">
        <v>4.0332025E7</v>
      </c>
      <c r="C2248" s="1">
        <v>1.59795204E8</v>
      </c>
      <c r="D2248" s="1" t="s">
        <v>3365</v>
      </c>
    </row>
    <row r="2249">
      <c r="A2249" s="1">
        <v>557.0</v>
      </c>
      <c r="B2249" s="1">
        <v>4.0322189E7</v>
      </c>
      <c r="C2249" s="1">
        <v>1.59770055E8</v>
      </c>
      <c r="D2249" s="1" t="s">
        <v>3367</v>
      </c>
    </row>
    <row r="2250">
      <c r="A2250" s="1">
        <v>355.0</v>
      </c>
      <c r="B2250" s="1">
        <v>4.0305703E7</v>
      </c>
      <c r="C2250" s="1">
        <v>3.46501922E8</v>
      </c>
      <c r="D2250" s="1" t="s">
        <v>3368</v>
      </c>
    </row>
    <row r="2251">
      <c r="A2251" s="1">
        <v>414.0</v>
      </c>
      <c r="B2251" s="1">
        <v>4.0270493E7</v>
      </c>
      <c r="C2251" s="1">
        <v>1.59537642E8</v>
      </c>
      <c r="D2251" s="1" t="s">
        <v>3370</v>
      </c>
    </row>
    <row r="2252">
      <c r="A2252" s="1">
        <v>194.0</v>
      </c>
      <c r="B2252" s="1">
        <v>4.023686E7</v>
      </c>
      <c r="C2252" s="1">
        <v>1.59582571E8</v>
      </c>
      <c r="D2252" s="17" t="s">
        <v>3371</v>
      </c>
    </row>
    <row r="2253">
      <c r="A2253" s="1">
        <v>355.0</v>
      </c>
      <c r="B2253" s="1">
        <v>4.0205889E7</v>
      </c>
      <c r="C2253" s="1">
        <v>1.59358984E8</v>
      </c>
      <c r="D2253" s="1" t="s">
        <v>3373</v>
      </c>
    </row>
    <row r="2254">
      <c r="A2254" s="1">
        <v>661.0</v>
      </c>
      <c r="B2254" s="1">
        <v>4.0184529E7</v>
      </c>
      <c r="C2254" s="1">
        <v>1.59326187E8</v>
      </c>
      <c r="D2254" s="1" t="s">
        <v>3375</v>
      </c>
    </row>
    <row r="2255">
      <c r="A2255" s="1">
        <v>173.0</v>
      </c>
      <c r="B2255" s="1">
        <v>4.0181819E7</v>
      </c>
      <c r="C2255" s="1">
        <v>1.59587471E8</v>
      </c>
      <c r="D2255" s="1" t="s">
        <v>3376</v>
      </c>
    </row>
    <row r="2256">
      <c r="A2256" s="1">
        <v>421.0</v>
      </c>
      <c r="B2256" s="1">
        <v>4.0132656E7</v>
      </c>
      <c r="C2256" s="1">
        <v>1.59055264E8</v>
      </c>
      <c r="D2256" s="1" t="s">
        <v>3378</v>
      </c>
    </row>
    <row r="2257">
      <c r="A2257" s="1">
        <v>503.0</v>
      </c>
      <c r="B2257" s="1">
        <v>4.0118863E7</v>
      </c>
      <c r="C2257" s="1">
        <v>1.59612309E8</v>
      </c>
      <c r="D2257" s="1" t="s">
        <v>2303</v>
      </c>
    </row>
    <row r="2258">
      <c r="A2258" s="1">
        <v>414.0</v>
      </c>
      <c r="B2258" s="1">
        <v>3.9927625E7</v>
      </c>
      <c r="C2258" s="1">
        <v>1.58792967E8</v>
      </c>
      <c r="D2258" s="1" t="s">
        <v>2492</v>
      </c>
    </row>
    <row r="2259">
      <c r="A2259" s="1">
        <v>194.0</v>
      </c>
      <c r="B2259" s="1">
        <v>3.9908385E7</v>
      </c>
      <c r="C2259" s="1">
        <v>1.95797672E8</v>
      </c>
      <c r="D2259" s="1" t="s">
        <v>3380</v>
      </c>
    </row>
    <row r="2260">
      <c r="A2260" s="1">
        <v>662.0</v>
      </c>
      <c r="B2260" s="1">
        <v>3.9894186E7</v>
      </c>
      <c r="C2260" s="1">
        <v>1.58059768E8</v>
      </c>
      <c r="D2260" s="25" t="str">
        <f>+17802183868: What are the mall hours on Canada day</f>
        <v>#ERROR!</v>
      </c>
    </row>
    <row r="2261">
      <c r="A2261" s="1">
        <v>498.0</v>
      </c>
      <c r="B2261" s="1">
        <v>3.9874114E7</v>
      </c>
      <c r="C2261" s="1">
        <v>1.58237403E8</v>
      </c>
      <c r="D2261" s="1" t="s">
        <v>3382</v>
      </c>
    </row>
    <row r="2262">
      <c r="A2262" s="1">
        <v>644.0</v>
      </c>
      <c r="B2262" s="1">
        <v>3.9835545E7</v>
      </c>
      <c r="C2262" s="1">
        <v>1.58225866E8</v>
      </c>
      <c r="D2262" s="1" t="s">
        <v>3383</v>
      </c>
    </row>
    <row r="2263">
      <c r="A2263" s="1">
        <v>215.0</v>
      </c>
      <c r="B2263" s="1">
        <v>3.9804063E7</v>
      </c>
      <c r="C2263" s="1">
        <v>1.58148204E8</v>
      </c>
      <c r="D2263" s="1" t="s">
        <v>3384</v>
      </c>
    </row>
    <row r="2264">
      <c r="A2264" s="1">
        <v>593.0</v>
      </c>
      <c r="B2264" s="1">
        <v>3.9741007E7</v>
      </c>
      <c r="C2264" s="1">
        <v>1.5826763E8</v>
      </c>
      <c r="D2264" s="1" t="s">
        <v>3385</v>
      </c>
    </row>
    <row r="2265">
      <c r="A2265" s="1">
        <v>414.0</v>
      </c>
      <c r="B2265" s="1">
        <v>3.9592588E7</v>
      </c>
      <c r="C2265" s="1">
        <v>1.57015625E8</v>
      </c>
      <c r="D2265" s="1" t="s">
        <v>2035</v>
      </c>
    </row>
    <row r="2266">
      <c r="A2266" s="1">
        <v>194.0</v>
      </c>
      <c r="B2266" s="1">
        <v>3.9547766E7</v>
      </c>
      <c r="C2266" s="1">
        <v>1.56773665E8</v>
      </c>
      <c r="D2266" s="1" t="s">
        <v>3388</v>
      </c>
    </row>
    <row r="2267">
      <c r="A2267" s="1">
        <v>719.0</v>
      </c>
      <c r="B2267" s="1">
        <v>3.9531348E7</v>
      </c>
      <c r="C2267" s="1">
        <v>1.56822869E8</v>
      </c>
      <c r="D2267" s="1" t="s">
        <v>3389</v>
      </c>
    </row>
    <row r="2268">
      <c r="A2268" s="1">
        <v>503.0</v>
      </c>
      <c r="B2268" s="1">
        <v>3.9509486E7</v>
      </c>
      <c r="C2268" s="1">
        <v>1.57581E8</v>
      </c>
      <c r="D2268" s="1" t="s">
        <v>1024</v>
      </c>
    </row>
    <row r="2269">
      <c r="A2269" s="1">
        <v>587.0</v>
      </c>
      <c r="B2269" s="1">
        <v>3.9496337E7</v>
      </c>
      <c r="C2269" s="1">
        <v>1.56812186E8</v>
      </c>
      <c r="D2269" s="1" t="s">
        <v>3392</v>
      </c>
    </row>
    <row r="2270">
      <c r="A2270" s="1">
        <v>597.0</v>
      </c>
      <c r="B2270" s="1">
        <v>3.9456791E7</v>
      </c>
      <c r="C2270" s="1">
        <v>1.56549676E8</v>
      </c>
      <c r="D2270" s="1" t="s">
        <v>3393</v>
      </c>
    </row>
    <row r="2271">
      <c r="A2271" s="1">
        <v>665.0</v>
      </c>
      <c r="B2271" s="1">
        <v>3.9423567E7</v>
      </c>
      <c r="C2271" s="1">
        <v>1.56337182E8</v>
      </c>
      <c r="D2271" s="1" t="s">
        <v>2624</v>
      </c>
    </row>
    <row r="2272">
      <c r="A2272" s="1">
        <v>410.0</v>
      </c>
      <c r="B2272" s="1">
        <v>3.9228508E7</v>
      </c>
      <c r="C2272" s="1">
        <v>1.55800083E8</v>
      </c>
      <c r="D2272" s="1" t="s">
        <v>3396</v>
      </c>
    </row>
    <row r="2273">
      <c r="A2273" s="1">
        <v>410.0</v>
      </c>
      <c r="B2273" s="1">
        <v>3.9173389E7</v>
      </c>
      <c r="C2273" s="1">
        <v>1.55364508E8</v>
      </c>
      <c r="D2273" s="1" t="s">
        <v>3397</v>
      </c>
    </row>
    <row r="2274">
      <c r="A2274" s="1">
        <v>593.0</v>
      </c>
      <c r="B2274" s="1">
        <v>3.900696E7</v>
      </c>
      <c r="C2274" s="1">
        <v>1.55517747E8</v>
      </c>
      <c r="D2274" s="1" t="s">
        <v>3398</v>
      </c>
    </row>
    <row r="2275">
      <c r="A2275" s="1">
        <v>662.0</v>
      </c>
      <c r="B2275" s="1">
        <v>3.900107E7</v>
      </c>
      <c r="C2275" s="1">
        <v>1.54604511E8</v>
      </c>
      <c r="D2275" s="25" t="str">
        <f>+17803999061: I'm. Sorry.</f>
        <v>#ERROR!</v>
      </c>
    </row>
    <row r="2276">
      <c r="A2276" s="1">
        <v>671.0</v>
      </c>
      <c r="B2276" s="1">
        <v>3.8935328E7</v>
      </c>
      <c r="C2276" s="1">
        <v>1.88339726E8</v>
      </c>
      <c r="D2276" s="1" t="s">
        <v>3410</v>
      </c>
    </row>
    <row r="2277">
      <c r="A2277" s="1">
        <v>401.0</v>
      </c>
      <c r="B2277" s="1">
        <v>3.8881592E7</v>
      </c>
      <c r="C2277" s="1">
        <v>1.54599862E8</v>
      </c>
      <c r="D2277" s="1" t="s">
        <v>3411</v>
      </c>
    </row>
    <row r="2278">
      <c r="A2278" s="1">
        <v>473.0</v>
      </c>
      <c r="B2278" s="1">
        <v>3.8844405E7</v>
      </c>
      <c r="C2278" s="1">
        <v>1.54112443E8</v>
      </c>
      <c r="D2278" s="1" t="s">
        <v>3413</v>
      </c>
    </row>
    <row r="2279">
      <c r="A2279" s="1">
        <v>664.0</v>
      </c>
      <c r="B2279" s="1">
        <v>3.8807157E7</v>
      </c>
      <c r="C2279" s="1">
        <v>1.53873698E8</v>
      </c>
      <c r="D2279" s="1" t="s">
        <v>3415</v>
      </c>
    </row>
    <row r="2280">
      <c r="A2280" s="1">
        <v>320.0</v>
      </c>
      <c r="B2280" s="1">
        <v>3.8747654E7</v>
      </c>
      <c r="C2280" s="1">
        <v>1.54116158E8</v>
      </c>
      <c r="D2280" s="1" t="s">
        <v>1645</v>
      </c>
    </row>
    <row r="2281">
      <c r="A2281" s="1">
        <v>603.0</v>
      </c>
      <c r="B2281" s="1">
        <v>3.8730618E7</v>
      </c>
      <c r="C2281" s="1">
        <v>1.88261499E8</v>
      </c>
      <c r="D2281" s="1" t="s">
        <v>3417</v>
      </c>
    </row>
    <row r="2282">
      <c r="A2282" s="1">
        <v>521.0</v>
      </c>
      <c r="B2282" s="1">
        <v>3.8722206E7</v>
      </c>
      <c r="C2282" s="1">
        <v>1.53670622E8</v>
      </c>
      <c r="D2282" s="1" t="s">
        <v>3419</v>
      </c>
    </row>
    <row r="2283">
      <c r="A2283" s="1">
        <v>194.0</v>
      </c>
      <c r="B2283" s="1">
        <v>3.8716547E7</v>
      </c>
      <c r="C2283" s="1">
        <v>1.53900918E8</v>
      </c>
      <c r="D2283" s="1" t="s">
        <v>3420</v>
      </c>
    </row>
    <row r="2284">
      <c r="A2284" s="1">
        <v>410.0</v>
      </c>
      <c r="B2284" s="1">
        <v>3.8693577E7</v>
      </c>
      <c r="C2284" s="1">
        <v>1.5348472E8</v>
      </c>
      <c r="D2284" s="1" t="s">
        <v>3422</v>
      </c>
    </row>
    <row r="2285">
      <c r="A2285" s="1">
        <v>716.0</v>
      </c>
      <c r="B2285" s="1">
        <v>3.8676399E7</v>
      </c>
      <c r="C2285" s="1">
        <v>1.54336304E8</v>
      </c>
      <c r="D2285" s="1" t="s">
        <v>3423</v>
      </c>
    </row>
    <row r="2286">
      <c r="A2286" s="1">
        <v>353.0</v>
      </c>
      <c r="B2286" s="1">
        <v>3.8651064E7</v>
      </c>
      <c r="C2286" s="1">
        <v>1.53686219E8</v>
      </c>
      <c r="D2286" s="1" t="s">
        <v>3425</v>
      </c>
    </row>
    <row r="2287">
      <c r="A2287" s="1">
        <v>678.0</v>
      </c>
      <c r="B2287" s="1">
        <v>3.8455177E7</v>
      </c>
      <c r="C2287" s="1">
        <v>1.52723552E8</v>
      </c>
      <c r="D2287" s="1" t="s">
        <v>3426</v>
      </c>
    </row>
    <row r="2288">
      <c r="A2288" s="1">
        <v>401.0</v>
      </c>
      <c r="B2288" s="1">
        <v>3.8422586E7</v>
      </c>
      <c r="C2288" s="1">
        <v>1.52517785E8</v>
      </c>
      <c r="D2288" s="1" t="s">
        <v>1832</v>
      </c>
    </row>
    <row r="2289">
      <c r="A2289" s="1">
        <v>504.0</v>
      </c>
      <c r="B2289" s="1">
        <v>3.8401995E7</v>
      </c>
      <c r="C2289" s="1">
        <v>1.52447824E8</v>
      </c>
      <c r="D2289" s="1" t="s">
        <v>3428</v>
      </c>
    </row>
    <row r="2290">
      <c r="A2290" s="1">
        <v>215.0</v>
      </c>
      <c r="B2290" s="1">
        <v>3.8389751E7</v>
      </c>
      <c r="C2290" s="1">
        <v>1.52826428E8</v>
      </c>
      <c r="D2290" s="1" t="s">
        <v>1293</v>
      </c>
    </row>
    <row r="2291">
      <c r="A2291" s="1">
        <v>414.0</v>
      </c>
      <c r="B2291" s="1">
        <v>3.8325826E7</v>
      </c>
      <c r="C2291" s="1">
        <v>1.52041085E8</v>
      </c>
      <c r="D2291" s="1" t="s">
        <v>3069</v>
      </c>
    </row>
    <row r="2292">
      <c r="A2292" s="1">
        <v>410.0</v>
      </c>
      <c r="B2292" s="1">
        <v>3.8129963E7</v>
      </c>
      <c r="C2292" s="1">
        <v>1.51435539E8</v>
      </c>
      <c r="D2292" s="1" t="s">
        <v>2278</v>
      </c>
    </row>
    <row r="2293">
      <c r="A2293" s="1">
        <v>410.0</v>
      </c>
      <c r="B2293" s="1">
        <v>3.8088119E7</v>
      </c>
      <c r="C2293" s="1">
        <v>1.51183307E8</v>
      </c>
      <c r="D2293" s="1" t="s">
        <v>3431</v>
      </c>
    </row>
    <row r="2294">
      <c r="A2294" s="1">
        <v>355.0</v>
      </c>
      <c r="B2294" s="1">
        <v>3.7943351E7</v>
      </c>
      <c r="C2294" s="1">
        <v>1.50727042E8</v>
      </c>
      <c r="D2294" s="1" t="s">
        <v>2951</v>
      </c>
    </row>
    <row r="2295">
      <c r="A2295" s="1">
        <v>671.0</v>
      </c>
      <c r="B2295" s="1">
        <v>3.7937312E7</v>
      </c>
      <c r="C2295" s="1">
        <v>1.50755897E8</v>
      </c>
      <c r="D2295" s="1" t="s">
        <v>692</v>
      </c>
    </row>
    <row r="2296">
      <c r="A2296" s="1">
        <v>630.0</v>
      </c>
      <c r="B2296" s="1">
        <v>3.7903103E7</v>
      </c>
      <c r="C2296" s="1">
        <v>1.5082291E8</v>
      </c>
      <c r="D2296" s="1" t="s">
        <v>3432</v>
      </c>
    </row>
    <row r="2297">
      <c r="A2297" s="1">
        <v>571.0</v>
      </c>
      <c r="B2297" s="1">
        <v>3.7884282E7</v>
      </c>
      <c r="C2297" s="1">
        <v>1.50532929E8</v>
      </c>
      <c r="D2297" s="1" t="s">
        <v>3433</v>
      </c>
    </row>
    <row r="2298">
      <c r="A2298" s="1">
        <v>392.0</v>
      </c>
      <c r="B2298" s="1">
        <v>3.7803228E7</v>
      </c>
      <c r="C2298" s="1">
        <v>1.50320269E8</v>
      </c>
      <c r="D2298" s="1" t="s">
        <v>3434</v>
      </c>
    </row>
    <row r="2299">
      <c r="A2299" s="1">
        <v>713.0</v>
      </c>
      <c r="B2299" s="1">
        <v>3.7789731E7</v>
      </c>
      <c r="C2299" s="1">
        <v>1.50131087E8</v>
      </c>
      <c r="D2299" s="1" t="s">
        <v>3381</v>
      </c>
    </row>
    <row r="2300">
      <c r="A2300" s="1">
        <v>587.0</v>
      </c>
      <c r="B2300" s="1">
        <v>3.7738511E7</v>
      </c>
      <c r="C2300" s="1">
        <v>2.95448759E8</v>
      </c>
      <c r="D2300" s="1" t="s">
        <v>3435</v>
      </c>
    </row>
    <row r="2301">
      <c r="A2301" s="1">
        <v>194.0</v>
      </c>
      <c r="B2301" s="1">
        <v>3.7723417E7</v>
      </c>
      <c r="C2301" s="1">
        <v>1.50121101E8</v>
      </c>
      <c r="D2301" s="1" t="s">
        <v>3436</v>
      </c>
    </row>
    <row r="2302">
      <c r="A2302" s="1">
        <v>410.0</v>
      </c>
      <c r="B2302" s="1">
        <v>3.7697075E7</v>
      </c>
      <c r="C2302" s="1">
        <v>1.50385857E8</v>
      </c>
      <c r="D2302" s="1" t="s">
        <v>3437</v>
      </c>
    </row>
    <row r="2303">
      <c r="A2303" s="1">
        <v>207.0</v>
      </c>
      <c r="B2303" s="1">
        <v>3.767084E7</v>
      </c>
      <c r="C2303" s="1">
        <v>1.49593449E8</v>
      </c>
      <c r="D2303" s="1" t="s">
        <v>3438</v>
      </c>
    </row>
    <row r="2304">
      <c r="A2304" s="1">
        <v>380.0</v>
      </c>
      <c r="B2304" s="1">
        <v>3.7596485E7</v>
      </c>
      <c r="C2304" s="1">
        <v>1.49393013E8</v>
      </c>
      <c r="D2304" s="1" t="s">
        <v>3050</v>
      </c>
    </row>
    <row r="2305">
      <c r="A2305" s="1">
        <v>504.0</v>
      </c>
      <c r="B2305" s="1">
        <v>3.7532239E7</v>
      </c>
      <c r="C2305" s="1">
        <v>1.49170384E8</v>
      </c>
      <c r="D2305" s="1" t="s">
        <v>3439</v>
      </c>
    </row>
    <row r="2306">
      <c r="A2306" s="1">
        <v>565.0</v>
      </c>
      <c r="B2306" s="1">
        <v>3.752582E7</v>
      </c>
      <c r="C2306" s="1">
        <v>1.49188589E8</v>
      </c>
      <c r="D2306" s="1" t="s">
        <v>3440</v>
      </c>
    </row>
    <row r="2307">
      <c r="A2307" s="1">
        <v>673.0</v>
      </c>
      <c r="B2307" s="1">
        <v>3.747581E7</v>
      </c>
      <c r="C2307" s="1">
        <v>1.49065989E8</v>
      </c>
      <c r="D2307" s="1" t="s">
        <v>960</v>
      </c>
    </row>
    <row r="2308">
      <c r="A2308" s="1">
        <v>571.0</v>
      </c>
      <c r="B2308" s="1">
        <v>3.7461456E7</v>
      </c>
      <c r="C2308" s="1">
        <v>1.49066707E8</v>
      </c>
      <c r="D2308" s="1" t="s">
        <v>3427</v>
      </c>
    </row>
    <row r="2309">
      <c r="A2309" s="1">
        <v>602.0</v>
      </c>
      <c r="B2309" s="1">
        <v>3.7424826E7</v>
      </c>
      <c r="C2309" s="1">
        <v>2.19814186E8</v>
      </c>
      <c r="D2309" s="1" t="s">
        <v>3442</v>
      </c>
    </row>
    <row r="2310">
      <c r="A2310" s="1">
        <v>602.0</v>
      </c>
      <c r="B2310" s="1">
        <v>3.7234913E7</v>
      </c>
      <c r="C2310" s="1">
        <v>1.48110007E8</v>
      </c>
      <c r="D2310" s="1" t="s">
        <v>3443</v>
      </c>
    </row>
    <row r="2311">
      <c r="A2311" s="1">
        <v>504.0</v>
      </c>
      <c r="B2311" s="1">
        <v>3.7170322E7</v>
      </c>
      <c r="C2311" s="1">
        <v>1.48539438E8</v>
      </c>
      <c r="D2311" s="1" t="s">
        <v>3444</v>
      </c>
    </row>
    <row r="2312">
      <c r="A2312" s="1">
        <v>353.0</v>
      </c>
      <c r="B2312" s="1">
        <v>3.7020578E7</v>
      </c>
      <c r="C2312" s="1">
        <v>1.47499147E8</v>
      </c>
      <c r="D2312" s="1" t="s">
        <v>3445</v>
      </c>
    </row>
    <row r="2313">
      <c r="A2313" s="1">
        <v>601.0</v>
      </c>
      <c r="B2313" s="1">
        <v>3.6998569E7</v>
      </c>
      <c r="C2313" s="1">
        <v>1.47205179E8</v>
      </c>
      <c r="D2313" s="1" t="s">
        <v>3447</v>
      </c>
    </row>
    <row r="2314">
      <c r="A2314" s="1">
        <v>575.0</v>
      </c>
      <c r="B2314" s="1">
        <v>3.694174E7</v>
      </c>
      <c r="C2314" s="1">
        <v>1.47021124E8</v>
      </c>
      <c r="D2314" s="1" t="s">
        <v>3448</v>
      </c>
    </row>
    <row r="2315">
      <c r="A2315" s="1">
        <v>492.0</v>
      </c>
      <c r="B2315" s="1">
        <v>3.692741E7</v>
      </c>
      <c r="C2315" s="1">
        <v>1.470747E8</v>
      </c>
      <c r="D2315" s="1" t="s">
        <v>431</v>
      </c>
    </row>
    <row r="2316">
      <c r="A2316" s="1">
        <v>410.0</v>
      </c>
      <c r="B2316" s="1">
        <v>3.6837837E7</v>
      </c>
      <c r="C2316" s="1">
        <v>1.46879608E8</v>
      </c>
      <c r="D2316" s="1" t="s">
        <v>3449</v>
      </c>
    </row>
    <row r="2317">
      <c r="A2317" s="1">
        <v>531.0</v>
      </c>
      <c r="B2317" s="1">
        <v>3.6835717E7</v>
      </c>
      <c r="C2317" s="1">
        <v>1.46898298E8</v>
      </c>
      <c r="D2317" s="1" t="s">
        <v>3450</v>
      </c>
    </row>
    <row r="2318">
      <c r="A2318" s="1">
        <v>395.0</v>
      </c>
      <c r="B2318" s="1">
        <v>3.6811573E7</v>
      </c>
      <c r="C2318" s="1">
        <v>2.17231375E8</v>
      </c>
      <c r="D2318" s="1" t="s">
        <v>3451</v>
      </c>
    </row>
    <row r="2319">
      <c r="A2319" s="1">
        <v>427.0</v>
      </c>
      <c r="B2319" s="1">
        <v>3.6802681E7</v>
      </c>
      <c r="C2319" s="1">
        <v>1.46340499E8</v>
      </c>
      <c r="D2319" s="1" t="s">
        <v>3452</v>
      </c>
    </row>
    <row r="2320">
      <c r="A2320" s="1">
        <v>565.0</v>
      </c>
      <c r="B2320" s="1">
        <v>3.6701531E7</v>
      </c>
      <c r="C2320" s="1">
        <v>4.28212768E8</v>
      </c>
      <c r="D2320" s="1" t="s">
        <v>3453</v>
      </c>
    </row>
    <row r="2321">
      <c r="A2321" s="1">
        <v>129.0</v>
      </c>
      <c r="B2321" s="1">
        <v>3.6694526E7</v>
      </c>
      <c r="C2321" s="1">
        <v>2.03811294E8</v>
      </c>
      <c r="D2321" s="1" t="s">
        <v>3454</v>
      </c>
    </row>
    <row r="2322">
      <c r="A2322" s="1">
        <v>550.0</v>
      </c>
      <c r="B2322" s="1">
        <v>3.6621329E7</v>
      </c>
      <c r="C2322" s="1">
        <v>3.68699268E8</v>
      </c>
      <c r="D2322" s="1" t="s">
        <v>3455</v>
      </c>
    </row>
    <row r="2323">
      <c r="A2323" s="1">
        <v>656.0</v>
      </c>
      <c r="B2323" s="1">
        <v>3.6607273E7</v>
      </c>
      <c r="C2323" s="1">
        <v>1.4572232E8</v>
      </c>
      <c r="D2323" s="1" t="s">
        <v>2650</v>
      </c>
    </row>
    <row r="2324">
      <c r="A2324" s="1">
        <v>378.0</v>
      </c>
      <c r="B2324" s="1">
        <v>3.6573254E7</v>
      </c>
      <c r="C2324" s="1">
        <v>1.45588439E8</v>
      </c>
      <c r="D2324" s="1" t="s">
        <v>3456</v>
      </c>
    </row>
    <row r="2325">
      <c r="A2325" s="1">
        <v>672.0</v>
      </c>
      <c r="B2325" s="1">
        <v>3.6556191E7</v>
      </c>
      <c r="C2325" s="1">
        <v>1.4594914E8</v>
      </c>
      <c r="D2325" s="1" t="s">
        <v>3457</v>
      </c>
    </row>
    <row r="2326">
      <c r="A2326" s="1">
        <v>702.0</v>
      </c>
      <c r="B2326" s="1">
        <v>3.6399732E7</v>
      </c>
      <c r="C2326" s="1">
        <v>1.4529706E8</v>
      </c>
      <c r="D2326" s="1" t="s">
        <v>3458</v>
      </c>
    </row>
    <row r="2327">
      <c r="A2327" s="1">
        <v>120.0</v>
      </c>
      <c r="B2327" s="1">
        <v>3.6379742E7</v>
      </c>
      <c r="C2327" s="1">
        <v>1.45020932E8</v>
      </c>
      <c r="D2327" s="1" t="s">
        <v>3459</v>
      </c>
    </row>
    <row r="2328">
      <c r="A2328" s="1">
        <v>244.0</v>
      </c>
      <c r="B2328" s="1">
        <v>3.6342388E7</v>
      </c>
      <c r="C2328" s="1">
        <v>1.45312945E8</v>
      </c>
      <c r="D2328" s="1" t="s">
        <v>3460</v>
      </c>
    </row>
    <row r="2329">
      <c r="A2329" s="1">
        <v>522.0</v>
      </c>
      <c r="B2329" s="1">
        <v>3.6295245E7</v>
      </c>
      <c r="C2329" s="1">
        <v>1.44645041E8</v>
      </c>
      <c r="D2329" s="1" t="s">
        <v>3462</v>
      </c>
    </row>
    <row r="2330">
      <c r="A2330" s="1">
        <v>410.0</v>
      </c>
      <c r="B2330" s="1">
        <v>3.62694E7</v>
      </c>
      <c r="C2330" s="1">
        <v>1.44491237E8</v>
      </c>
      <c r="D2330" s="1" t="s">
        <v>3463</v>
      </c>
    </row>
    <row r="2331">
      <c r="A2331" s="1">
        <v>671.0</v>
      </c>
      <c r="B2331" s="1">
        <v>3.6217367E7</v>
      </c>
      <c r="C2331" s="1">
        <v>4.09222406E8</v>
      </c>
      <c r="D2331" s="1" t="s">
        <v>3464</v>
      </c>
    </row>
    <row r="2332">
      <c r="A2332" s="1">
        <v>578.0</v>
      </c>
      <c r="B2332" s="1">
        <v>3.6201352E7</v>
      </c>
      <c r="C2332" s="1">
        <v>1.44456267E8</v>
      </c>
      <c r="D2332" s="1" t="s">
        <v>2850</v>
      </c>
    </row>
    <row r="2333">
      <c r="A2333" s="1">
        <v>671.0</v>
      </c>
      <c r="B2333" s="1">
        <v>3.6079961E7</v>
      </c>
      <c r="C2333" s="1">
        <v>1.43876788E8</v>
      </c>
      <c r="D2333" s="1" t="s">
        <v>3230</v>
      </c>
    </row>
    <row r="2334">
      <c r="A2334" s="1">
        <v>410.0</v>
      </c>
      <c r="B2334" s="1">
        <v>3.6030481E7</v>
      </c>
      <c r="C2334" s="1">
        <v>1.43623965E8</v>
      </c>
      <c r="D2334" s="1" t="s">
        <v>3467</v>
      </c>
    </row>
    <row r="2335">
      <c r="A2335" s="1">
        <v>597.0</v>
      </c>
      <c r="B2335" s="1">
        <v>3.5953949E7</v>
      </c>
      <c r="C2335" s="1">
        <v>1.43345835E8</v>
      </c>
      <c r="D2335" s="1" t="s">
        <v>1792</v>
      </c>
    </row>
    <row r="2336">
      <c r="A2336" s="1">
        <v>564.0</v>
      </c>
      <c r="B2336" s="1">
        <v>3.5837011E7</v>
      </c>
      <c r="C2336" s="1">
        <v>1.42947456E8</v>
      </c>
      <c r="D2336" s="1" t="s">
        <v>3469</v>
      </c>
    </row>
    <row r="2337">
      <c r="A2337" s="1">
        <v>670.0</v>
      </c>
      <c r="B2337" s="1">
        <v>3.5832767E7</v>
      </c>
      <c r="C2337" s="1">
        <v>1.42879613E8</v>
      </c>
      <c r="D2337" s="1" t="s">
        <v>3470</v>
      </c>
    </row>
    <row r="2338">
      <c r="A2338" s="1">
        <v>571.0</v>
      </c>
      <c r="B2338" s="1">
        <v>3.5811059E7</v>
      </c>
      <c r="C2338" s="1">
        <v>1.43208474E8</v>
      </c>
      <c r="D2338" s="1" t="s">
        <v>3472</v>
      </c>
    </row>
    <row r="2339">
      <c r="A2339" s="1">
        <v>700.0</v>
      </c>
      <c r="B2339" s="1">
        <v>3.5780962E7</v>
      </c>
      <c r="C2339" s="1">
        <v>1.42637982E8</v>
      </c>
      <c r="D2339" s="1" t="s">
        <v>3473</v>
      </c>
    </row>
    <row r="2340">
      <c r="A2340" s="1">
        <v>716.0</v>
      </c>
      <c r="B2340" s="1">
        <v>3.5779703E7</v>
      </c>
      <c r="C2340" s="1">
        <v>1.42679986E8</v>
      </c>
      <c r="D2340" s="1" t="s">
        <v>704</v>
      </c>
    </row>
    <row r="2341">
      <c r="A2341" s="1">
        <v>665.0</v>
      </c>
      <c r="B2341" s="1">
        <v>3.5759473E7</v>
      </c>
      <c r="C2341" s="1">
        <v>1.42673213E8</v>
      </c>
      <c r="D2341" s="1" t="s">
        <v>2169</v>
      </c>
    </row>
    <row r="2342">
      <c r="A2342" s="1">
        <v>320.0</v>
      </c>
      <c r="B2342" s="1">
        <v>3.5682696E7</v>
      </c>
      <c r="C2342" s="1">
        <v>1.42299055E8</v>
      </c>
      <c r="D2342" s="1" t="s">
        <v>3475</v>
      </c>
    </row>
    <row r="2343">
      <c r="A2343" s="1">
        <v>571.0</v>
      </c>
      <c r="B2343" s="1">
        <v>3.5440023E7</v>
      </c>
      <c r="C2343" s="1">
        <v>1.41855211E8</v>
      </c>
      <c r="D2343" s="1" t="s">
        <v>429</v>
      </c>
    </row>
    <row r="2344">
      <c r="A2344" s="1">
        <v>557.0</v>
      </c>
      <c r="B2344" s="1">
        <v>3.5369095E7</v>
      </c>
      <c r="C2344" s="1">
        <v>1.41139346E8</v>
      </c>
      <c r="D2344" s="1" t="s">
        <v>3477</v>
      </c>
    </row>
    <row r="2345">
      <c r="A2345" s="1">
        <v>503.0</v>
      </c>
      <c r="B2345" s="1">
        <v>3.5336844E7</v>
      </c>
      <c r="C2345" s="1">
        <v>1.40983082E8</v>
      </c>
      <c r="D2345" s="1" t="s">
        <v>1330</v>
      </c>
    </row>
    <row r="2346">
      <c r="A2346" s="1">
        <v>593.0</v>
      </c>
      <c r="B2346" s="1">
        <v>3.5333498E7</v>
      </c>
      <c r="C2346" s="1">
        <v>1.82654357E8</v>
      </c>
      <c r="D2346" s="1" t="s">
        <v>3479</v>
      </c>
    </row>
    <row r="2347">
      <c r="A2347" s="1">
        <v>700.0</v>
      </c>
      <c r="B2347" s="1">
        <v>3.5153749E7</v>
      </c>
      <c r="C2347" s="1">
        <v>1.40217249E8</v>
      </c>
      <c r="D2347" s="1" t="s">
        <v>3480</v>
      </c>
    </row>
    <row r="2348">
      <c r="A2348" s="1">
        <v>224.0</v>
      </c>
      <c r="B2348" s="1">
        <v>3.5069624E7</v>
      </c>
      <c r="C2348" s="1">
        <v>1.90741748E8</v>
      </c>
      <c r="D2348" s="1" t="s">
        <v>3430</v>
      </c>
    </row>
    <row r="2349">
      <c r="A2349" s="1">
        <v>410.0</v>
      </c>
      <c r="B2349" s="1">
        <v>3.4989993E7</v>
      </c>
      <c r="C2349" s="1">
        <v>1.39625259E8</v>
      </c>
      <c r="D2349" s="1" t="s">
        <v>3482</v>
      </c>
    </row>
    <row r="2350">
      <c r="A2350" s="1">
        <v>410.0</v>
      </c>
      <c r="B2350" s="1">
        <v>3.4934624E7</v>
      </c>
      <c r="C2350" s="1">
        <v>1.39423595E8</v>
      </c>
      <c r="D2350" s="1" t="s">
        <v>3483</v>
      </c>
    </row>
    <row r="2351">
      <c r="A2351" s="1">
        <v>678.0</v>
      </c>
      <c r="B2351" s="1">
        <v>3.4875159E7</v>
      </c>
      <c r="C2351" s="1">
        <v>1.39190537E8</v>
      </c>
      <c r="D2351" s="1" t="s">
        <v>3485</v>
      </c>
    </row>
    <row r="2352">
      <c r="A2352" s="1">
        <v>601.0</v>
      </c>
      <c r="B2352" s="1">
        <v>3.4839569E7</v>
      </c>
      <c r="C2352" s="1">
        <v>1.40043731E8</v>
      </c>
      <c r="D2352" s="1" t="s">
        <v>3486</v>
      </c>
    </row>
    <row r="2353">
      <c r="A2353" s="1">
        <v>619.0</v>
      </c>
      <c r="B2353" s="1">
        <v>3.4824847E7</v>
      </c>
      <c r="C2353" s="1">
        <v>1.39190166E8</v>
      </c>
      <c r="D2353" s="1" t="s">
        <v>3487</v>
      </c>
    </row>
    <row r="2354">
      <c r="A2354" s="1">
        <v>578.0</v>
      </c>
      <c r="B2354" s="1">
        <v>3.480553E7</v>
      </c>
      <c r="C2354" s="1">
        <v>1.38906626E8</v>
      </c>
      <c r="D2354" s="1" t="s">
        <v>3488</v>
      </c>
    </row>
    <row r="2355">
      <c r="A2355" s="1">
        <v>414.0</v>
      </c>
      <c r="B2355" s="1">
        <v>3.4687705E7</v>
      </c>
      <c r="C2355" s="1">
        <v>1.38486871E8</v>
      </c>
      <c r="D2355" s="1" t="s">
        <v>1548</v>
      </c>
    </row>
    <row r="2356">
      <c r="A2356" s="1">
        <v>712.0</v>
      </c>
      <c r="B2356" s="1">
        <v>3.4651535E7</v>
      </c>
      <c r="C2356" s="1">
        <v>1.38473156E8</v>
      </c>
      <c r="D2356" s="1" t="s">
        <v>3138</v>
      </c>
    </row>
    <row r="2357">
      <c r="A2357" s="1">
        <v>409.0</v>
      </c>
      <c r="B2357" s="1">
        <v>3.4632449E7</v>
      </c>
      <c r="C2357" s="1">
        <v>1.38263439E8</v>
      </c>
      <c r="D2357" s="1" t="s">
        <v>3491</v>
      </c>
    </row>
    <row r="2358">
      <c r="A2358" s="1">
        <v>120.0</v>
      </c>
      <c r="B2358" s="1">
        <v>3.4468936E7</v>
      </c>
      <c r="C2358" s="1">
        <v>1.37593291E8</v>
      </c>
      <c r="D2358" s="1" t="s">
        <v>3492</v>
      </c>
    </row>
    <row r="2359">
      <c r="A2359" s="1">
        <v>414.0</v>
      </c>
      <c r="B2359" s="1">
        <v>3.438824E7</v>
      </c>
      <c r="C2359" s="1">
        <v>1.37346387E8</v>
      </c>
      <c r="D2359" s="1" t="s">
        <v>3494</v>
      </c>
    </row>
    <row r="2360">
      <c r="A2360" s="1">
        <v>676.0</v>
      </c>
      <c r="B2360" s="1">
        <v>3.4291281E7</v>
      </c>
      <c r="C2360" s="1">
        <v>1.36999726E8</v>
      </c>
      <c r="D2360" s="1" t="s">
        <v>2044</v>
      </c>
    </row>
    <row r="2361">
      <c r="A2361" s="1">
        <v>427.0</v>
      </c>
      <c r="B2361" s="1">
        <v>3.4221846E7</v>
      </c>
      <c r="C2361" s="1">
        <v>1.36715551E8</v>
      </c>
      <c r="D2361" s="1" t="s">
        <v>3496</v>
      </c>
    </row>
    <row r="2362">
      <c r="A2362" s="1">
        <v>712.0</v>
      </c>
      <c r="B2362" s="1">
        <v>3.4190356E7</v>
      </c>
      <c r="C2362" s="1">
        <v>1.36739268E8</v>
      </c>
      <c r="D2362" s="1" t="s">
        <v>2341</v>
      </c>
    </row>
    <row r="2363">
      <c r="A2363" s="1">
        <v>210.0</v>
      </c>
      <c r="B2363" s="1">
        <v>3.412124E7</v>
      </c>
      <c r="C2363" s="1">
        <v>2.15333028E8</v>
      </c>
      <c r="D2363" s="1" t="s">
        <v>3498</v>
      </c>
    </row>
    <row r="2364">
      <c r="A2364" s="1">
        <v>403.0</v>
      </c>
      <c r="B2364" s="1">
        <v>3.4106508E7</v>
      </c>
      <c r="C2364" s="1">
        <v>3.0123351E8</v>
      </c>
      <c r="D2364" s="1" t="s">
        <v>3499</v>
      </c>
    </row>
    <row r="2365">
      <c r="A2365" s="1">
        <v>694.0</v>
      </c>
      <c r="B2365" s="1">
        <v>3.3970149E7</v>
      </c>
      <c r="C2365" s="1">
        <v>1.35787442E8</v>
      </c>
      <c r="D2365" s="1" t="s">
        <v>427</v>
      </c>
    </row>
    <row r="2366">
      <c r="A2366" s="1">
        <v>593.0</v>
      </c>
      <c r="B2366" s="1">
        <v>3.3930149E7</v>
      </c>
      <c r="C2366" s="1">
        <v>1.35584147E8</v>
      </c>
      <c r="D2366" s="1" t="s">
        <v>3501</v>
      </c>
    </row>
    <row r="2367">
      <c r="A2367" s="1">
        <v>702.0</v>
      </c>
      <c r="B2367" s="1">
        <v>3.3681124E7</v>
      </c>
      <c r="C2367" s="1">
        <v>1.34732138E8</v>
      </c>
      <c r="D2367" s="1" t="s">
        <v>1125</v>
      </c>
    </row>
    <row r="2368">
      <c r="A2368" s="1">
        <v>320.0</v>
      </c>
      <c r="B2368" s="1">
        <v>3.365865E7</v>
      </c>
      <c r="C2368" s="1">
        <v>1.34479289E8</v>
      </c>
      <c r="D2368" s="1" t="s">
        <v>3503</v>
      </c>
    </row>
    <row r="2369">
      <c r="A2369" s="1">
        <v>504.0</v>
      </c>
      <c r="B2369" s="1">
        <v>3.3642194E7</v>
      </c>
      <c r="C2369" s="1">
        <v>1.35307316E8</v>
      </c>
      <c r="D2369" s="1" t="s">
        <v>3504</v>
      </c>
    </row>
    <row r="2370">
      <c r="A2370" s="1">
        <v>656.0</v>
      </c>
      <c r="B2370" s="1">
        <v>3.3619331E7</v>
      </c>
      <c r="C2370" s="1">
        <v>1.3446018E8</v>
      </c>
      <c r="D2370" s="1" t="s">
        <v>963</v>
      </c>
    </row>
    <row r="2371">
      <c r="A2371" s="1">
        <v>355.0</v>
      </c>
      <c r="B2371" s="1">
        <v>3.3566686E7</v>
      </c>
      <c r="C2371" s="1">
        <v>1.34189048E8</v>
      </c>
      <c r="D2371" s="1" t="s">
        <v>3506</v>
      </c>
    </row>
    <row r="2372">
      <c r="A2372" s="1">
        <v>173.0</v>
      </c>
      <c r="B2372" s="1">
        <v>3.3558753E7</v>
      </c>
      <c r="C2372" s="1">
        <v>2.00892752E8</v>
      </c>
      <c r="D2372" s="1" t="s">
        <v>3507</v>
      </c>
    </row>
    <row r="2373">
      <c r="A2373" s="1">
        <v>609.0</v>
      </c>
      <c r="B2373" s="1">
        <v>3.3517438E7</v>
      </c>
      <c r="C2373" s="1">
        <v>1.34045544E8</v>
      </c>
      <c r="D2373" s="1" t="s">
        <v>1801</v>
      </c>
    </row>
    <row r="2374">
      <c r="A2374" s="1">
        <v>532.0</v>
      </c>
      <c r="B2374" s="1">
        <v>3.3510404E7</v>
      </c>
      <c r="C2374" s="1">
        <v>1.33996502E8</v>
      </c>
      <c r="D2374" s="1" t="s">
        <v>3508</v>
      </c>
    </row>
    <row r="2375">
      <c r="A2375" s="1">
        <v>571.0</v>
      </c>
      <c r="B2375" s="1">
        <v>3.3487705E7</v>
      </c>
      <c r="C2375" s="1">
        <v>1.33756262E8</v>
      </c>
      <c r="D2375" s="1" t="s">
        <v>3510</v>
      </c>
    </row>
    <row r="2376">
      <c r="A2376" s="1">
        <v>715.0</v>
      </c>
      <c r="B2376" s="1">
        <v>3.3452984E7</v>
      </c>
      <c r="C2376" s="1">
        <v>1.3373079E8</v>
      </c>
      <c r="D2376" s="1" t="s">
        <v>3511</v>
      </c>
    </row>
    <row r="2377">
      <c r="A2377" s="1">
        <v>665.0</v>
      </c>
      <c r="B2377" s="1">
        <v>3.3231093E7</v>
      </c>
      <c r="C2377" s="1">
        <v>1.3293919E8</v>
      </c>
      <c r="D2377" s="1" t="s">
        <v>2899</v>
      </c>
    </row>
    <row r="2378">
      <c r="A2378" s="1">
        <v>678.0</v>
      </c>
      <c r="B2378" s="1">
        <v>3.3230324E7</v>
      </c>
      <c r="C2378" s="1">
        <v>1.32884935E8</v>
      </c>
      <c r="D2378" s="1" t="s">
        <v>2290</v>
      </c>
    </row>
    <row r="2379">
      <c r="A2379" s="1">
        <v>173.0</v>
      </c>
      <c r="B2379" s="1">
        <v>3.3201376E7</v>
      </c>
      <c r="C2379" s="1">
        <v>1.8983111E8</v>
      </c>
      <c r="D2379" s="1" t="s">
        <v>3513</v>
      </c>
    </row>
    <row r="2380">
      <c r="A2380" s="1">
        <v>712.0</v>
      </c>
      <c r="B2380" s="1">
        <v>3.3154123E7</v>
      </c>
      <c r="C2380" s="1">
        <v>1.32654925E8</v>
      </c>
      <c r="D2380" s="1" t="s">
        <v>3514</v>
      </c>
    </row>
    <row r="2381">
      <c r="A2381" s="1">
        <v>244.0</v>
      </c>
      <c r="B2381" s="1">
        <v>3.3090482E7</v>
      </c>
      <c r="C2381" s="1">
        <v>1.32462389E8</v>
      </c>
      <c r="D2381" s="1" t="s">
        <v>3515</v>
      </c>
    </row>
    <row r="2382">
      <c r="A2382" s="1">
        <v>609.0</v>
      </c>
      <c r="B2382" s="1">
        <v>3.3064568E7</v>
      </c>
      <c r="C2382" s="1">
        <v>1.32285686E8</v>
      </c>
      <c r="D2382" s="1" t="s">
        <v>3305</v>
      </c>
    </row>
    <row r="2383">
      <c r="A2383" s="1">
        <v>380.0</v>
      </c>
      <c r="B2383" s="1">
        <v>3.3035766E7</v>
      </c>
      <c r="C2383" s="1">
        <v>1.32215244E8</v>
      </c>
      <c r="D2383" s="1" t="s">
        <v>3516</v>
      </c>
    </row>
    <row r="2384">
      <c r="A2384" s="1">
        <v>571.0</v>
      </c>
      <c r="B2384" s="1">
        <v>3.2942103E7</v>
      </c>
      <c r="C2384" s="1">
        <v>4.30683003E8</v>
      </c>
      <c r="D2384" s="1" t="s">
        <v>3517</v>
      </c>
    </row>
    <row r="2385">
      <c r="A2385" s="1">
        <v>475.0</v>
      </c>
      <c r="B2385" s="1">
        <v>3.2874882E7</v>
      </c>
      <c r="C2385" s="1">
        <v>1.31783525E8</v>
      </c>
      <c r="D2385" s="1" t="s">
        <v>3519</v>
      </c>
    </row>
    <row r="2386">
      <c r="A2386" s="1">
        <v>410.0</v>
      </c>
      <c r="B2386" s="1">
        <v>3.2708331E7</v>
      </c>
      <c r="C2386" s="1">
        <v>1.31175399E8</v>
      </c>
      <c r="D2386" s="1" t="s">
        <v>3520</v>
      </c>
    </row>
    <row r="2387">
      <c r="A2387" s="1">
        <v>609.0</v>
      </c>
      <c r="B2387" s="1">
        <v>3.2683512E7</v>
      </c>
      <c r="C2387" s="1">
        <v>1.30781128E8</v>
      </c>
      <c r="D2387" s="1" t="s">
        <v>1631</v>
      </c>
    </row>
    <row r="2388">
      <c r="A2388" s="1">
        <v>397.0</v>
      </c>
      <c r="B2388" s="1">
        <v>3.2675248E7</v>
      </c>
      <c r="C2388" s="1">
        <v>1.30772221E8</v>
      </c>
      <c r="D2388" s="1" t="s">
        <v>3522</v>
      </c>
    </row>
    <row r="2389">
      <c r="A2389" s="1">
        <v>630.0</v>
      </c>
      <c r="B2389" s="1">
        <v>3.2609344E7</v>
      </c>
      <c r="C2389" s="1">
        <v>2.05948988E8</v>
      </c>
      <c r="D2389" s="1" t="s">
        <v>2243</v>
      </c>
    </row>
    <row r="2390">
      <c r="A2390" s="1">
        <v>410.0</v>
      </c>
      <c r="B2390" s="1">
        <v>3.2548942E7</v>
      </c>
      <c r="C2390" s="1">
        <v>1.30338011E8</v>
      </c>
      <c r="D2390" s="1" t="s">
        <v>3523</v>
      </c>
    </row>
    <row r="2391">
      <c r="A2391" s="1">
        <v>504.0</v>
      </c>
      <c r="B2391" s="1">
        <v>3.2516502E7</v>
      </c>
      <c r="C2391" s="1">
        <v>1.30293893E8</v>
      </c>
      <c r="D2391" s="1" t="s">
        <v>3524</v>
      </c>
    </row>
    <row r="2392">
      <c r="A2392" s="1">
        <v>702.0</v>
      </c>
      <c r="B2392" s="1">
        <v>3.2495468E7</v>
      </c>
      <c r="C2392" s="1">
        <v>1.30160841E8</v>
      </c>
      <c r="D2392" s="1" t="s">
        <v>425</v>
      </c>
    </row>
    <row r="2393">
      <c r="A2393" s="1">
        <v>471.0</v>
      </c>
      <c r="B2393" s="1">
        <v>3.2493941E7</v>
      </c>
      <c r="C2393" s="1">
        <v>1.30546672E8</v>
      </c>
      <c r="D2393" s="1" t="s">
        <v>3525</v>
      </c>
    </row>
    <row r="2394">
      <c r="A2394" s="1">
        <v>680.0</v>
      </c>
      <c r="B2394" s="1">
        <v>3.2476921E7</v>
      </c>
      <c r="C2394" s="1">
        <v>1.95796544E8</v>
      </c>
      <c r="D2394" s="1" t="s">
        <v>3526</v>
      </c>
    </row>
    <row r="2395">
      <c r="A2395" s="1">
        <v>570.0</v>
      </c>
      <c r="B2395" s="1">
        <v>3.2446449E7</v>
      </c>
      <c r="C2395" s="1">
        <v>2.14434853E8</v>
      </c>
      <c r="D2395" s="1" t="s">
        <v>3527</v>
      </c>
    </row>
    <row r="2396">
      <c r="A2396" s="1">
        <v>504.0</v>
      </c>
      <c r="B2396" s="1">
        <v>3.2442662E7</v>
      </c>
      <c r="C2396" s="1">
        <v>1.300814E8</v>
      </c>
      <c r="D2396" s="1" t="s">
        <v>1986</v>
      </c>
    </row>
    <row r="2397">
      <c r="A2397" s="1">
        <v>173.0</v>
      </c>
      <c r="B2397" s="1">
        <v>3.2365728E7</v>
      </c>
      <c r="C2397" s="1">
        <v>1.29732491E8</v>
      </c>
      <c r="D2397" s="1" t="s">
        <v>3529</v>
      </c>
    </row>
    <row r="2398">
      <c r="A2398" s="1">
        <v>410.0</v>
      </c>
      <c r="B2398" s="1">
        <v>3.2278345E7</v>
      </c>
      <c r="C2398" s="1">
        <v>1.29257946E8</v>
      </c>
      <c r="D2398" s="1" t="s">
        <v>3530</v>
      </c>
    </row>
    <row r="2399">
      <c r="A2399" s="1">
        <v>678.0</v>
      </c>
      <c r="B2399" s="1">
        <v>3.2276875E7</v>
      </c>
      <c r="C2399" s="1">
        <v>1.29219804E8</v>
      </c>
      <c r="D2399" s="1" t="s">
        <v>3531</v>
      </c>
    </row>
    <row r="2400">
      <c r="A2400" s="1">
        <v>410.0</v>
      </c>
      <c r="B2400" s="1">
        <v>3.2264762E7</v>
      </c>
      <c r="C2400" s="1">
        <v>1.2928088E8</v>
      </c>
      <c r="D2400" s="1" t="s">
        <v>544</v>
      </c>
    </row>
    <row r="2401">
      <c r="A2401" s="1">
        <v>602.0</v>
      </c>
      <c r="B2401" s="1">
        <v>3.2199115E7</v>
      </c>
      <c r="C2401" s="1">
        <v>4.33023575E8</v>
      </c>
      <c r="D2401" s="1" t="s">
        <v>3533</v>
      </c>
    </row>
    <row r="2402">
      <c r="A2402" s="1">
        <v>492.0</v>
      </c>
      <c r="B2402" s="1">
        <v>3.2192894E7</v>
      </c>
      <c r="C2402" s="1">
        <v>1.29012967E8</v>
      </c>
      <c r="D2402" s="1" t="s">
        <v>3534</v>
      </c>
    </row>
    <row r="2403">
      <c r="A2403" s="1">
        <v>379.0</v>
      </c>
      <c r="B2403" s="1">
        <v>3.2186982E7</v>
      </c>
      <c r="C2403" s="1">
        <v>1.28975245E8</v>
      </c>
      <c r="D2403" s="1" t="s">
        <v>3535</v>
      </c>
    </row>
    <row r="2404">
      <c r="A2404" s="1">
        <v>353.0</v>
      </c>
      <c r="B2404" s="1">
        <v>3.2161373E7</v>
      </c>
      <c r="C2404" s="1">
        <v>1.29045288E8</v>
      </c>
      <c r="D2404" s="1" t="s">
        <v>3536</v>
      </c>
    </row>
    <row r="2405">
      <c r="A2405" s="1">
        <v>173.0</v>
      </c>
      <c r="B2405" s="1">
        <v>3.2136452E7</v>
      </c>
      <c r="C2405" s="1">
        <v>1.28856113E8</v>
      </c>
      <c r="D2405" s="1" t="s">
        <v>3538</v>
      </c>
    </row>
    <row r="2406">
      <c r="A2406" s="1">
        <v>672.0</v>
      </c>
      <c r="B2406" s="1">
        <v>3.2116249E7</v>
      </c>
      <c r="C2406" s="1">
        <v>1.29007169E8</v>
      </c>
      <c r="D2406" s="1" t="s">
        <v>1220</v>
      </c>
    </row>
    <row r="2407">
      <c r="A2407" s="1">
        <v>497.0</v>
      </c>
      <c r="B2407" s="1">
        <v>3.2051844E7</v>
      </c>
      <c r="C2407" s="1">
        <v>1.28355459E8</v>
      </c>
      <c r="D2407" s="1" t="s">
        <v>3539</v>
      </c>
    </row>
    <row r="2408">
      <c r="A2408" s="1">
        <v>602.0</v>
      </c>
      <c r="B2408" s="1">
        <v>3.2022764E7</v>
      </c>
      <c r="C2408" s="1">
        <v>3.73802855E8</v>
      </c>
      <c r="D2408" s="1" t="s">
        <v>2273</v>
      </c>
    </row>
    <row r="2409">
      <c r="A2409" s="1">
        <v>410.0</v>
      </c>
      <c r="B2409" s="1">
        <v>3.2006545E7</v>
      </c>
      <c r="C2409" s="1">
        <v>1.28363949E8</v>
      </c>
      <c r="D2409" s="1" t="s">
        <v>3540</v>
      </c>
    </row>
    <row r="2410">
      <c r="A2410" s="1">
        <v>696.0</v>
      </c>
      <c r="B2410" s="1">
        <v>3.1967508E7</v>
      </c>
      <c r="C2410" s="1">
        <v>1.28100175E8</v>
      </c>
      <c r="D2410" s="1" t="s">
        <v>3541</v>
      </c>
    </row>
    <row r="2411">
      <c r="A2411" s="1">
        <v>610.0</v>
      </c>
      <c r="B2411" s="1">
        <v>3.1938453E7</v>
      </c>
      <c r="C2411" s="1">
        <v>1.28030237E8</v>
      </c>
      <c r="D2411" s="1" t="s">
        <v>3542</v>
      </c>
    </row>
    <row r="2412">
      <c r="A2412" s="1">
        <v>504.0</v>
      </c>
      <c r="B2412" s="1">
        <v>3.1925762E7</v>
      </c>
      <c r="C2412" s="1">
        <v>1.28549089E8</v>
      </c>
      <c r="D2412" s="1" t="s">
        <v>3543</v>
      </c>
    </row>
    <row r="2413">
      <c r="A2413" s="1">
        <v>353.0</v>
      </c>
      <c r="B2413" s="1">
        <v>3.1923434E7</v>
      </c>
      <c r="C2413" s="1">
        <v>1.27919072E8</v>
      </c>
      <c r="D2413" s="1" t="s">
        <v>3545</v>
      </c>
    </row>
    <row r="2414">
      <c r="A2414" s="1">
        <v>656.0</v>
      </c>
      <c r="B2414" s="1">
        <v>3.1803408E7</v>
      </c>
      <c r="C2414" s="1">
        <v>2.24307202E8</v>
      </c>
      <c r="D2414" s="1" t="s">
        <v>2592</v>
      </c>
    </row>
    <row r="2415">
      <c r="A2415" s="1">
        <v>414.0</v>
      </c>
      <c r="B2415" s="1">
        <v>3.1789702E7</v>
      </c>
      <c r="C2415" s="1">
        <v>1.27479486E8</v>
      </c>
      <c r="D2415" s="1" t="s">
        <v>3546</v>
      </c>
    </row>
    <row r="2416">
      <c r="A2416" s="1">
        <v>674.0</v>
      </c>
      <c r="B2416" s="1">
        <v>3.1780726E7</v>
      </c>
      <c r="C2416" s="1">
        <v>1.27679644E8</v>
      </c>
      <c r="D2416" s="1" t="s">
        <v>3547</v>
      </c>
    </row>
    <row r="2417">
      <c r="A2417" s="1">
        <v>402.0</v>
      </c>
      <c r="B2417" s="1">
        <v>3.1736894E7</v>
      </c>
      <c r="C2417" s="1">
        <v>1.27291465E8</v>
      </c>
      <c r="D2417" s="1" t="s">
        <v>3548</v>
      </c>
    </row>
    <row r="2418">
      <c r="A2418" s="1">
        <v>194.0</v>
      </c>
      <c r="B2418" s="1">
        <v>3.1714296E7</v>
      </c>
      <c r="C2418" s="1">
        <v>1.2708938E8</v>
      </c>
      <c r="D2418" s="1" t="s">
        <v>3549</v>
      </c>
    </row>
    <row r="2419">
      <c r="A2419" s="1">
        <v>678.0</v>
      </c>
      <c r="B2419" s="1">
        <v>3.1713881E7</v>
      </c>
      <c r="C2419" s="1">
        <v>1.27108004E8</v>
      </c>
      <c r="D2419" s="1" t="s">
        <v>2666</v>
      </c>
    </row>
    <row r="2420">
      <c r="A2420" s="1">
        <v>665.0</v>
      </c>
      <c r="B2420" s="1">
        <v>3.1695488E7</v>
      </c>
      <c r="C2420" s="1">
        <v>1.27149681E8</v>
      </c>
      <c r="D2420" s="1" t="s">
        <v>1093</v>
      </c>
    </row>
    <row r="2421">
      <c r="A2421" s="1">
        <v>601.0</v>
      </c>
      <c r="B2421" s="1">
        <v>3.1689508E7</v>
      </c>
      <c r="C2421" s="1">
        <v>1.27263048E8</v>
      </c>
      <c r="D2421" s="1" t="s">
        <v>3550</v>
      </c>
    </row>
    <row r="2422">
      <c r="A2422" s="1">
        <v>609.0</v>
      </c>
      <c r="B2422" s="1">
        <v>3.1584123E7</v>
      </c>
      <c r="C2422" s="1">
        <v>1.26726899E8</v>
      </c>
      <c r="D2422" s="1" t="s">
        <v>738</v>
      </c>
    </row>
    <row r="2423">
      <c r="A2423" s="1">
        <v>680.0</v>
      </c>
      <c r="B2423" s="1">
        <v>3.1561128E7</v>
      </c>
      <c r="C2423" s="1">
        <v>1.26452502E8</v>
      </c>
      <c r="D2423" s="1" t="s">
        <v>3551</v>
      </c>
    </row>
    <row r="2424">
      <c r="A2424" s="1">
        <v>671.0</v>
      </c>
      <c r="B2424" s="1">
        <v>3.1499314E7</v>
      </c>
      <c r="C2424" s="1">
        <v>1.26327487E8</v>
      </c>
      <c r="D2424" s="1" t="s">
        <v>422</v>
      </c>
    </row>
    <row r="2425">
      <c r="A2425" s="1">
        <v>492.0</v>
      </c>
      <c r="B2425" s="1">
        <v>3.143977E7</v>
      </c>
      <c r="C2425" s="1">
        <v>1.26173293E8</v>
      </c>
      <c r="D2425" s="1" t="s">
        <v>3552</v>
      </c>
    </row>
    <row r="2426">
      <c r="A2426" s="1">
        <v>410.0</v>
      </c>
      <c r="B2426" s="1">
        <v>3.1408506E7</v>
      </c>
      <c r="C2426" s="1">
        <v>2.06355954E8</v>
      </c>
      <c r="D2426" s="1" t="s">
        <v>3553</v>
      </c>
    </row>
    <row r="2427">
      <c r="A2427" s="1">
        <v>630.0</v>
      </c>
      <c r="B2427" s="1">
        <v>3.1397202E7</v>
      </c>
      <c r="C2427" s="1">
        <v>1.26138567E8</v>
      </c>
      <c r="D2427" s="1" t="s">
        <v>3554</v>
      </c>
    </row>
    <row r="2428">
      <c r="A2428" s="1">
        <v>410.0</v>
      </c>
      <c r="B2428" s="1">
        <v>3.1378016E7</v>
      </c>
      <c r="C2428" s="1">
        <v>1.25925678E8</v>
      </c>
      <c r="D2428" s="1" t="s">
        <v>3555</v>
      </c>
    </row>
    <row r="2429">
      <c r="A2429" s="1">
        <v>471.0</v>
      </c>
      <c r="B2429" s="1">
        <v>3.1358015E7</v>
      </c>
      <c r="C2429" s="1">
        <v>1.25738502E8</v>
      </c>
      <c r="D2429" s="1" t="s">
        <v>3556</v>
      </c>
    </row>
    <row r="2430">
      <c r="A2430" s="1">
        <v>129.0</v>
      </c>
      <c r="B2430" s="1">
        <v>3.1357449E7</v>
      </c>
      <c r="C2430" s="1">
        <v>4.21961263E8</v>
      </c>
      <c r="D2430" s="1" t="s">
        <v>3557</v>
      </c>
    </row>
    <row r="2431">
      <c r="A2431" s="1">
        <v>696.0</v>
      </c>
      <c r="B2431" s="1">
        <v>3.1298335E7</v>
      </c>
      <c r="C2431" s="1">
        <v>1.26086316E8</v>
      </c>
      <c r="D2431" s="1" t="s">
        <v>1391</v>
      </c>
    </row>
    <row r="2432">
      <c r="A2432" s="1">
        <v>557.0</v>
      </c>
      <c r="B2432" s="1">
        <v>3.1247118E7</v>
      </c>
      <c r="C2432" s="1">
        <v>1.25348596E8</v>
      </c>
      <c r="D2432" s="1" t="s">
        <v>3558</v>
      </c>
    </row>
    <row r="2433">
      <c r="A2433" s="1">
        <v>610.0</v>
      </c>
      <c r="B2433" s="1">
        <v>3.1244729E7</v>
      </c>
      <c r="C2433" s="1">
        <v>1.25315615E8</v>
      </c>
      <c r="D2433" s="1" t="s">
        <v>3559</v>
      </c>
    </row>
    <row r="2434">
      <c r="A2434" s="1">
        <v>665.0</v>
      </c>
      <c r="B2434" s="1">
        <v>3.1139557E7</v>
      </c>
      <c r="C2434" s="1">
        <v>1.64148421E8</v>
      </c>
      <c r="D2434" s="1" t="s">
        <v>3561</v>
      </c>
    </row>
    <row r="2435">
      <c r="A2435" s="1">
        <v>129.0</v>
      </c>
      <c r="B2435" s="1">
        <v>3.1126542E7</v>
      </c>
      <c r="C2435" s="1">
        <v>1.24836224E8</v>
      </c>
      <c r="D2435" s="1" t="s">
        <v>3562</v>
      </c>
    </row>
    <row r="2436">
      <c r="A2436" s="1">
        <v>207.0</v>
      </c>
      <c r="B2436" s="1">
        <v>3.1086787E7</v>
      </c>
      <c r="C2436" s="1">
        <v>1.2460297E8</v>
      </c>
      <c r="D2436" s="1" t="s">
        <v>1726</v>
      </c>
    </row>
    <row r="2437">
      <c r="A2437" s="1">
        <v>601.0</v>
      </c>
      <c r="B2437" s="1">
        <v>3.1059449E7</v>
      </c>
      <c r="C2437" s="1">
        <v>2.09454548E8</v>
      </c>
      <c r="D2437" s="1" t="s">
        <v>3563</v>
      </c>
    </row>
    <row r="2438">
      <c r="A2438" s="1">
        <v>410.0</v>
      </c>
      <c r="B2438" s="1">
        <v>3.0897566E7</v>
      </c>
      <c r="C2438" s="1">
        <v>1.24070327E8</v>
      </c>
      <c r="D2438" s="1" t="s">
        <v>1422</v>
      </c>
    </row>
    <row r="2439">
      <c r="A2439" s="1">
        <v>458.0</v>
      </c>
      <c r="B2439" s="1">
        <v>3.0873912E7</v>
      </c>
      <c r="C2439" s="1">
        <v>1.2388546E8</v>
      </c>
      <c r="D2439" s="1" t="s">
        <v>3564</v>
      </c>
    </row>
    <row r="2440">
      <c r="A2440" s="1">
        <v>609.0</v>
      </c>
      <c r="B2440" s="1">
        <v>3.0844281E7</v>
      </c>
      <c r="C2440" s="1">
        <v>1.34049853E8</v>
      </c>
      <c r="D2440" s="1" t="s">
        <v>1616</v>
      </c>
    </row>
    <row r="2441">
      <c r="A2441" s="1">
        <v>129.0</v>
      </c>
      <c r="B2441" s="1">
        <v>3.083283E7</v>
      </c>
      <c r="C2441" s="1">
        <v>4.15118432E8</v>
      </c>
      <c r="D2441" s="1" t="s">
        <v>3565</v>
      </c>
    </row>
    <row r="2442">
      <c r="A2442" s="1">
        <v>379.0</v>
      </c>
      <c r="B2442" s="1">
        <v>3.0790422E7</v>
      </c>
      <c r="C2442" s="1">
        <v>1.23486319E8</v>
      </c>
      <c r="D2442" s="1" t="s">
        <v>3566</v>
      </c>
    </row>
    <row r="2443">
      <c r="A2443" s="1">
        <v>473.0</v>
      </c>
      <c r="B2443" s="1">
        <v>3.0746962E7</v>
      </c>
      <c r="C2443" s="1">
        <v>1.23304136E8</v>
      </c>
      <c r="D2443" s="1" t="s">
        <v>3567</v>
      </c>
    </row>
    <row r="2444">
      <c r="A2444" s="1">
        <v>602.0</v>
      </c>
      <c r="B2444" s="1">
        <v>3.0704387E7</v>
      </c>
      <c r="C2444" s="1">
        <v>1.23169524E8</v>
      </c>
      <c r="D2444" s="1" t="s">
        <v>3568</v>
      </c>
    </row>
    <row r="2445">
      <c r="A2445" s="1">
        <v>419.0</v>
      </c>
      <c r="B2445" s="1">
        <v>3.0694336E7</v>
      </c>
      <c r="C2445" s="1">
        <v>1.88998942E8</v>
      </c>
      <c r="D2445" s="1" t="s">
        <v>3569</v>
      </c>
    </row>
    <row r="2446">
      <c r="A2446" s="1">
        <v>586.0</v>
      </c>
      <c r="B2446" s="1">
        <v>3.0689998E7</v>
      </c>
      <c r="C2446" s="1">
        <v>3.22591417E8</v>
      </c>
      <c r="D2446" s="1" t="s">
        <v>2515</v>
      </c>
    </row>
    <row r="2447">
      <c r="A2447" s="1">
        <v>609.0</v>
      </c>
      <c r="B2447" s="1">
        <v>3.0655367E7</v>
      </c>
      <c r="C2447" s="1">
        <v>1.2300461E8</v>
      </c>
      <c r="D2447" s="1" t="s">
        <v>862</v>
      </c>
    </row>
    <row r="2448">
      <c r="A2448" s="1">
        <v>319.0</v>
      </c>
      <c r="B2448" s="1">
        <v>3.0636915E7</v>
      </c>
      <c r="C2448" s="1">
        <v>2.47987684E8</v>
      </c>
      <c r="D2448" s="1" t="s">
        <v>1380</v>
      </c>
    </row>
    <row r="2449">
      <c r="A2449" s="1">
        <v>355.0</v>
      </c>
      <c r="B2449" s="1">
        <v>3.0442677E7</v>
      </c>
      <c r="C2449" s="1">
        <v>1.22022805E8</v>
      </c>
      <c r="D2449" s="1" t="s">
        <v>3571</v>
      </c>
    </row>
    <row r="2450">
      <c r="A2450" s="1">
        <v>608.0</v>
      </c>
      <c r="B2450" s="1">
        <v>3.0442154E7</v>
      </c>
      <c r="C2450" s="1">
        <v>1.22067471E8</v>
      </c>
      <c r="D2450" s="1" t="s">
        <v>3572</v>
      </c>
    </row>
    <row r="2451">
      <c r="A2451" s="1">
        <v>355.0</v>
      </c>
      <c r="B2451" s="1">
        <v>3.0424E7</v>
      </c>
      <c r="C2451" s="1">
        <v>1.55369474E8</v>
      </c>
      <c r="D2451" s="1" t="s">
        <v>3574</v>
      </c>
    </row>
    <row r="2452">
      <c r="A2452" s="1">
        <v>586.0</v>
      </c>
      <c r="B2452" s="1">
        <v>3.0395875E7</v>
      </c>
      <c r="C2452" s="1">
        <v>1.21877693E8</v>
      </c>
      <c r="D2452" s="1" t="s">
        <v>420</v>
      </c>
    </row>
    <row r="2453">
      <c r="A2453" s="1">
        <v>656.0</v>
      </c>
      <c r="B2453" s="1">
        <v>3.0381683E7</v>
      </c>
      <c r="C2453" s="1">
        <v>1.21905226E8</v>
      </c>
      <c r="D2453" s="1" t="s">
        <v>3576</v>
      </c>
    </row>
    <row r="2454">
      <c r="A2454" s="1">
        <v>173.0</v>
      </c>
      <c r="B2454" s="1">
        <v>3.0373748E7</v>
      </c>
      <c r="C2454" s="1">
        <v>3.0980317E8</v>
      </c>
      <c r="D2454" s="1" t="s">
        <v>1352</v>
      </c>
    </row>
    <row r="2455">
      <c r="A2455" s="1">
        <v>504.0</v>
      </c>
      <c r="B2455" s="1">
        <v>3.0303347E7</v>
      </c>
      <c r="C2455" s="1">
        <v>1.28319002E8</v>
      </c>
      <c r="D2455" s="1" t="s">
        <v>3578</v>
      </c>
    </row>
    <row r="2456">
      <c r="A2456" s="1">
        <v>194.0</v>
      </c>
      <c r="B2456" s="1">
        <v>3.0294498E7</v>
      </c>
      <c r="C2456" s="1">
        <v>1.21528553E8</v>
      </c>
      <c r="D2456" s="1" t="s">
        <v>3579</v>
      </c>
    </row>
    <row r="2457">
      <c r="A2457" s="1">
        <v>504.0</v>
      </c>
      <c r="B2457" s="1">
        <v>3.0157047E7</v>
      </c>
      <c r="C2457" s="1">
        <v>1.21674615E8</v>
      </c>
      <c r="D2457" s="1" t="s">
        <v>3581</v>
      </c>
    </row>
    <row r="2458">
      <c r="A2458" s="1">
        <v>503.0</v>
      </c>
      <c r="B2458" s="1">
        <v>3.0063308E7</v>
      </c>
      <c r="C2458" s="1">
        <v>1.20739589E8</v>
      </c>
      <c r="D2458" s="1" t="s">
        <v>3582</v>
      </c>
    </row>
    <row r="2459">
      <c r="A2459" s="1">
        <v>671.0</v>
      </c>
      <c r="B2459" s="1">
        <v>3.0025406E7</v>
      </c>
      <c r="C2459" s="1">
        <v>1.20623848E8</v>
      </c>
      <c r="D2459" s="1" t="s">
        <v>3583</v>
      </c>
    </row>
    <row r="2460">
      <c r="A2460" s="1">
        <v>571.0</v>
      </c>
      <c r="B2460" s="1">
        <v>3.0002591E7</v>
      </c>
      <c r="C2460" s="1">
        <v>1.20408123E8</v>
      </c>
      <c r="D2460" s="1" t="s">
        <v>3584</v>
      </c>
    </row>
    <row r="2461">
      <c r="A2461" s="1">
        <v>414.0</v>
      </c>
      <c r="B2461" s="1">
        <v>3.0002588E7</v>
      </c>
      <c r="C2461" s="1">
        <v>1.20372019E8</v>
      </c>
      <c r="D2461" s="1" t="s">
        <v>2589</v>
      </c>
    </row>
    <row r="2462">
      <c r="A2462" s="1">
        <v>402.0</v>
      </c>
      <c r="B2462" s="1">
        <v>2.9948222E7</v>
      </c>
      <c r="C2462" s="1">
        <v>3.32692695E8</v>
      </c>
      <c r="D2462" s="1" t="s">
        <v>3585</v>
      </c>
    </row>
    <row r="2463">
      <c r="A2463" s="1">
        <v>694.0</v>
      </c>
      <c r="B2463" s="1">
        <v>2.9881892E7</v>
      </c>
      <c r="C2463" s="1">
        <v>1.40919305E8</v>
      </c>
      <c r="D2463" s="1" t="s">
        <v>3587</v>
      </c>
    </row>
    <row r="2464">
      <c r="A2464" s="1">
        <v>587.0</v>
      </c>
      <c r="B2464" s="1">
        <v>2.9880527E7</v>
      </c>
      <c r="C2464" s="1">
        <v>1.19993323E8</v>
      </c>
      <c r="D2464" s="1" t="s">
        <v>3588</v>
      </c>
    </row>
    <row r="2465">
      <c r="A2465" s="1">
        <v>353.0</v>
      </c>
      <c r="B2465" s="1">
        <v>2.9873244E7</v>
      </c>
      <c r="C2465" s="1">
        <v>1.19966767E8</v>
      </c>
      <c r="D2465" s="1" t="s">
        <v>2332</v>
      </c>
    </row>
    <row r="2466">
      <c r="A2466" s="1">
        <v>378.0</v>
      </c>
      <c r="B2466" s="1">
        <v>2.9852021E7</v>
      </c>
      <c r="C2466" s="1">
        <v>1.19763579E8</v>
      </c>
      <c r="D2466" s="17" t="s">
        <v>2915</v>
      </c>
    </row>
    <row r="2467">
      <c r="A2467" s="1">
        <v>244.0</v>
      </c>
      <c r="B2467" s="1">
        <v>2.9851178E7</v>
      </c>
      <c r="C2467" s="1">
        <v>1.19732187E8</v>
      </c>
      <c r="D2467" s="1" t="s">
        <v>3591</v>
      </c>
    </row>
    <row r="2468">
      <c r="A2468" s="1">
        <v>565.0</v>
      </c>
      <c r="B2468" s="1">
        <v>2.9826437E7</v>
      </c>
      <c r="C2468" s="1">
        <v>1.19755741E8</v>
      </c>
      <c r="D2468" s="1" t="s">
        <v>3592</v>
      </c>
    </row>
    <row r="2469">
      <c r="A2469" s="1">
        <v>180.0</v>
      </c>
      <c r="B2469" s="1">
        <v>2.982259E7</v>
      </c>
      <c r="C2469" s="1">
        <v>1.19749648E8</v>
      </c>
      <c r="D2469" s="1" t="s">
        <v>3594</v>
      </c>
    </row>
    <row r="2470">
      <c r="A2470" s="1">
        <v>504.0</v>
      </c>
      <c r="B2470" s="1">
        <v>2.977417E7</v>
      </c>
      <c r="C2470" s="1">
        <v>1.19533231E8</v>
      </c>
      <c r="D2470" s="1" t="s">
        <v>3595</v>
      </c>
    </row>
    <row r="2471">
      <c r="A2471" s="1">
        <v>488.0</v>
      </c>
      <c r="B2471" s="1">
        <v>2.9692947E7</v>
      </c>
      <c r="C2471" s="1">
        <v>1.19158364E8</v>
      </c>
      <c r="D2471" s="1" t="s">
        <v>3597</v>
      </c>
    </row>
    <row r="2472">
      <c r="A2472" s="1">
        <v>656.0</v>
      </c>
      <c r="B2472" s="1">
        <v>2.9682927E7</v>
      </c>
      <c r="C2472" s="1">
        <v>1.19144588E8</v>
      </c>
      <c r="D2472" s="1" t="s">
        <v>2965</v>
      </c>
    </row>
    <row r="2473">
      <c r="A2473" s="1">
        <v>410.0</v>
      </c>
      <c r="B2473" s="1">
        <v>2.964161E7</v>
      </c>
      <c r="C2473" s="1">
        <v>1.1901816E8</v>
      </c>
      <c r="D2473" s="1" t="s">
        <v>3598</v>
      </c>
    </row>
    <row r="2474">
      <c r="A2474" s="1">
        <v>602.0</v>
      </c>
      <c r="B2474" s="1">
        <v>2.9621844E7</v>
      </c>
      <c r="C2474" s="1">
        <v>3.89520462E8</v>
      </c>
      <c r="D2474" s="1" t="s">
        <v>3600</v>
      </c>
    </row>
    <row r="2475">
      <c r="A2475" s="1">
        <v>601.0</v>
      </c>
      <c r="B2475" s="1">
        <v>2.9618669E7</v>
      </c>
      <c r="C2475" s="1">
        <v>2.42950567E8</v>
      </c>
      <c r="D2475" s="1" t="s">
        <v>3601</v>
      </c>
    </row>
    <row r="2476">
      <c r="A2476" s="1">
        <v>715.0</v>
      </c>
      <c r="B2476" s="1">
        <v>2.9497027E7</v>
      </c>
      <c r="C2476" s="1">
        <v>1.18499864E8</v>
      </c>
      <c r="D2476" s="1" t="s">
        <v>3602</v>
      </c>
    </row>
    <row r="2477">
      <c r="A2477" s="1">
        <v>571.0</v>
      </c>
      <c r="B2477" s="1">
        <v>2.9457892E7</v>
      </c>
      <c r="C2477" s="1">
        <v>1.18588628E8</v>
      </c>
      <c r="D2477" s="1" t="s">
        <v>3603</v>
      </c>
    </row>
    <row r="2478">
      <c r="A2478" s="1">
        <v>504.0</v>
      </c>
      <c r="B2478" s="1">
        <v>2.9440173E7</v>
      </c>
      <c r="C2478" s="1">
        <v>1.18333621E8</v>
      </c>
      <c r="D2478" s="1" t="s">
        <v>3604</v>
      </c>
    </row>
    <row r="2479">
      <c r="A2479" s="1">
        <v>504.0</v>
      </c>
      <c r="B2479" s="1">
        <v>2.9439824E7</v>
      </c>
      <c r="C2479" s="1">
        <v>1.18323705E8</v>
      </c>
      <c r="D2479" s="1" t="s">
        <v>3605</v>
      </c>
    </row>
    <row r="2480">
      <c r="A2480" s="1">
        <v>694.0</v>
      </c>
      <c r="B2480" s="1">
        <v>2.9394458E7</v>
      </c>
      <c r="C2480" s="1">
        <v>1.18160702E8</v>
      </c>
      <c r="D2480" s="1" t="s">
        <v>3606</v>
      </c>
    </row>
    <row r="2481">
      <c r="A2481" s="1">
        <v>643.0</v>
      </c>
      <c r="B2481" s="1">
        <v>2.9368165E7</v>
      </c>
      <c r="C2481" s="1">
        <v>1.18022661E8</v>
      </c>
      <c r="D2481" s="1" t="s">
        <v>3607</v>
      </c>
    </row>
    <row r="2482">
      <c r="A2482" s="1">
        <v>410.0</v>
      </c>
      <c r="B2482" s="1">
        <v>2.9334083E7</v>
      </c>
      <c r="C2482" s="1">
        <v>1.18217554E8</v>
      </c>
      <c r="D2482" s="1" t="s">
        <v>3608</v>
      </c>
    </row>
    <row r="2483">
      <c r="A2483" s="1">
        <v>578.0</v>
      </c>
      <c r="B2483" s="1">
        <v>2.9280381E7</v>
      </c>
      <c r="C2483" s="1">
        <v>1.17825033E8</v>
      </c>
      <c r="D2483" s="1" t="s">
        <v>3609</v>
      </c>
    </row>
    <row r="2484">
      <c r="A2484" s="1">
        <v>337.0</v>
      </c>
      <c r="B2484" s="1">
        <v>2.917023E7</v>
      </c>
      <c r="C2484" s="1">
        <v>1.18654085E8</v>
      </c>
      <c r="D2484" s="17" t="s">
        <v>1420</v>
      </c>
    </row>
    <row r="2485">
      <c r="A2485" s="1">
        <v>570.0</v>
      </c>
      <c r="B2485" s="1">
        <v>2.9140762E7</v>
      </c>
      <c r="C2485" s="1">
        <v>1.17200961E8</v>
      </c>
      <c r="D2485" s="1" t="s">
        <v>2481</v>
      </c>
    </row>
    <row r="2486">
      <c r="A2486" s="1">
        <v>671.0</v>
      </c>
      <c r="B2486" s="1">
        <v>2.9106852E7</v>
      </c>
      <c r="C2486" s="1">
        <v>1.17234483E8</v>
      </c>
      <c r="D2486" s="1" t="s">
        <v>1169</v>
      </c>
    </row>
    <row r="2487">
      <c r="A2487" s="1">
        <v>504.0</v>
      </c>
      <c r="B2487" s="1">
        <v>2.9099984E7</v>
      </c>
      <c r="C2487" s="1">
        <v>1.16983137E8</v>
      </c>
      <c r="D2487" s="1" t="s">
        <v>3610</v>
      </c>
    </row>
    <row r="2488">
      <c r="A2488" s="1">
        <v>593.0</v>
      </c>
      <c r="B2488" s="1">
        <v>2.9094835E7</v>
      </c>
      <c r="C2488" s="1">
        <v>1.16990969E8</v>
      </c>
      <c r="D2488" s="1" t="s">
        <v>648</v>
      </c>
    </row>
    <row r="2489">
      <c r="A2489" s="1">
        <v>630.0</v>
      </c>
      <c r="B2489" s="1">
        <v>2.9001119E7</v>
      </c>
      <c r="C2489" s="1">
        <v>2.96720344E8</v>
      </c>
      <c r="D2489" s="1" t="s">
        <v>3611</v>
      </c>
    </row>
    <row r="2490">
      <c r="A2490" s="1">
        <v>256.0</v>
      </c>
      <c r="B2490" s="1">
        <v>2.8963123E7</v>
      </c>
      <c r="C2490" s="1">
        <v>1.16449764E8</v>
      </c>
      <c r="D2490" s="1" t="s">
        <v>3612</v>
      </c>
    </row>
    <row r="2491">
      <c r="A2491" s="1">
        <v>129.0</v>
      </c>
      <c r="B2491" s="1">
        <v>2.8959857E7</v>
      </c>
      <c r="C2491" s="1">
        <v>1.16436415E8</v>
      </c>
      <c r="D2491" s="1" t="s">
        <v>3404</v>
      </c>
    </row>
    <row r="2492">
      <c r="A2492" s="1">
        <v>410.0</v>
      </c>
      <c r="B2492" s="1">
        <v>2.8953586E7</v>
      </c>
      <c r="C2492" s="1">
        <v>1.97246789E8</v>
      </c>
      <c r="D2492" s="1" t="s">
        <v>3102</v>
      </c>
    </row>
    <row r="2493">
      <c r="A2493" s="1">
        <v>654.0</v>
      </c>
      <c r="B2493" s="1">
        <v>2.8937453E7</v>
      </c>
      <c r="C2493" s="1">
        <v>1.16430464E8</v>
      </c>
      <c r="D2493" s="1" t="s">
        <v>3613</v>
      </c>
    </row>
    <row r="2494">
      <c r="A2494" s="1">
        <v>715.0</v>
      </c>
      <c r="B2494" s="1">
        <v>2.8869678E7</v>
      </c>
      <c r="C2494" s="1">
        <v>1.16043754E8</v>
      </c>
      <c r="D2494" s="1" t="s">
        <v>2402</v>
      </c>
    </row>
    <row r="2495">
      <c r="A2495" s="1">
        <v>503.0</v>
      </c>
      <c r="B2495" s="1">
        <v>2.8835753E7</v>
      </c>
      <c r="C2495" s="1">
        <v>1.15916211E8</v>
      </c>
      <c r="D2495" s="1" t="s">
        <v>3614</v>
      </c>
    </row>
    <row r="2496">
      <c r="A2496" s="1">
        <v>664.0</v>
      </c>
      <c r="B2496" s="1">
        <v>2.8825865E7</v>
      </c>
      <c r="C2496" s="1">
        <v>1.72143072E8</v>
      </c>
      <c r="D2496" s="1" t="s">
        <v>3615</v>
      </c>
    </row>
    <row r="2497">
      <c r="A2497" s="1">
        <v>355.0</v>
      </c>
      <c r="B2497" s="1">
        <v>2.8770976E7</v>
      </c>
      <c r="C2497" s="1">
        <v>1.15736365E8</v>
      </c>
      <c r="D2497" s="1" t="s">
        <v>3616</v>
      </c>
    </row>
    <row r="2498">
      <c r="A2498" s="1">
        <v>665.0</v>
      </c>
      <c r="B2498" s="1">
        <v>2.8769446E7</v>
      </c>
      <c r="C2498" s="1">
        <v>1.15756259E8</v>
      </c>
      <c r="D2498" s="1" t="s">
        <v>3617</v>
      </c>
    </row>
    <row r="2499">
      <c r="A2499" s="1">
        <v>503.0</v>
      </c>
      <c r="B2499" s="1">
        <v>2.8756896E7</v>
      </c>
      <c r="C2499" s="1">
        <v>1.15729997E8</v>
      </c>
      <c r="D2499" s="1" t="s">
        <v>3618</v>
      </c>
    </row>
    <row r="2500">
      <c r="A2500" s="1">
        <v>619.0</v>
      </c>
      <c r="B2500" s="1">
        <v>2.8751467E7</v>
      </c>
      <c r="C2500" s="1">
        <v>1.1572431E8</v>
      </c>
      <c r="D2500" s="1" t="s">
        <v>3619</v>
      </c>
    </row>
    <row r="2501">
      <c r="A2501" s="1">
        <v>410.0</v>
      </c>
      <c r="B2501" s="1">
        <v>2.8654031E7</v>
      </c>
      <c r="C2501" s="1">
        <v>1.15371572E8</v>
      </c>
      <c r="D2501" s="1" t="s">
        <v>3395</v>
      </c>
    </row>
    <row r="2502">
      <c r="A2502" s="1">
        <v>522.0</v>
      </c>
      <c r="B2502" s="1">
        <v>2.864639E7</v>
      </c>
      <c r="C2502" s="1">
        <v>1.1530406E8</v>
      </c>
      <c r="D2502" s="1" t="s">
        <v>3620</v>
      </c>
    </row>
    <row r="2503">
      <c r="A2503" s="1">
        <v>662.0</v>
      </c>
      <c r="B2503" s="1">
        <v>2.8640664E7</v>
      </c>
      <c r="C2503" s="1">
        <v>1.15318651E8</v>
      </c>
      <c r="D2503" s="25" t="str">
        <f>+18677658677: Did not make it to the mall but past experiences I would rate your mall as a 5</f>
        <v>#ERROR!</v>
      </c>
    </row>
    <row r="2504">
      <c r="A2504" s="1">
        <v>571.0</v>
      </c>
      <c r="B2504" s="1">
        <v>2.8591321E7</v>
      </c>
      <c r="C2504" s="1">
        <v>1.15426151E8</v>
      </c>
      <c r="D2504" s="1" t="s">
        <v>3625</v>
      </c>
    </row>
    <row r="2505">
      <c r="A2505" s="1">
        <v>353.0</v>
      </c>
      <c r="B2505" s="1">
        <v>2.8553288E7</v>
      </c>
      <c r="C2505" s="1">
        <v>1.96320219E8</v>
      </c>
      <c r="D2505" s="1" t="s">
        <v>3626</v>
      </c>
    </row>
    <row r="2506">
      <c r="A2506" s="1">
        <v>173.0</v>
      </c>
      <c r="B2506" s="1">
        <v>2.8532061E7</v>
      </c>
      <c r="C2506" s="1">
        <v>1.15012624E8</v>
      </c>
      <c r="D2506" s="1" t="s">
        <v>352</v>
      </c>
    </row>
    <row r="2507">
      <c r="A2507" s="1">
        <v>120.0</v>
      </c>
      <c r="B2507" s="1">
        <v>2.850057E7</v>
      </c>
      <c r="C2507" s="1">
        <v>1.14732204E8</v>
      </c>
      <c r="D2507" s="1" t="s">
        <v>3627</v>
      </c>
    </row>
    <row r="2508">
      <c r="A2508" s="1">
        <v>244.0</v>
      </c>
      <c r="B2508" s="1">
        <v>2.8447314E7</v>
      </c>
      <c r="C2508" s="1">
        <v>1.14789277E8</v>
      </c>
      <c r="D2508" s="1" t="s">
        <v>3468</v>
      </c>
    </row>
    <row r="2509">
      <c r="A2509" s="1">
        <v>664.0</v>
      </c>
      <c r="B2509" s="1">
        <v>2.8367364E7</v>
      </c>
      <c r="C2509" s="1">
        <v>1.14222389E8</v>
      </c>
      <c r="D2509" s="1" t="s">
        <v>3033</v>
      </c>
    </row>
    <row r="2510">
      <c r="A2510" s="1">
        <v>414.0</v>
      </c>
      <c r="B2510" s="1">
        <v>2.8363643E7</v>
      </c>
      <c r="C2510" s="1">
        <v>1.1417603E8</v>
      </c>
      <c r="D2510" s="1" t="s">
        <v>3628</v>
      </c>
    </row>
    <row r="2511">
      <c r="A2511" s="1">
        <v>671.0</v>
      </c>
      <c r="B2511" s="1">
        <v>2.8338144E7</v>
      </c>
      <c r="C2511" s="1">
        <v>1.14211159E8</v>
      </c>
      <c r="D2511" s="1" t="s">
        <v>2217</v>
      </c>
    </row>
    <row r="2512">
      <c r="A2512" s="1">
        <v>337.0</v>
      </c>
      <c r="B2512" s="1">
        <v>2.8336775E7</v>
      </c>
      <c r="C2512" s="1">
        <v>1.56275454E8</v>
      </c>
      <c r="D2512" s="1" t="s">
        <v>3630</v>
      </c>
    </row>
    <row r="2513">
      <c r="A2513" s="1">
        <v>619.0</v>
      </c>
      <c r="B2513" s="1">
        <v>2.8314066E7</v>
      </c>
      <c r="C2513" s="1">
        <v>1.14029947E8</v>
      </c>
      <c r="D2513" s="1" t="s">
        <v>3631</v>
      </c>
    </row>
    <row r="2514">
      <c r="A2514" s="1">
        <v>715.0</v>
      </c>
      <c r="B2514" s="1">
        <v>2.8309587E7</v>
      </c>
      <c r="C2514" s="1">
        <v>1.13999118E8</v>
      </c>
      <c r="D2514" s="1" t="s">
        <v>1413</v>
      </c>
    </row>
    <row r="2515">
      <c r="A2515" s="1">
        <v>601.0</v>
      </c>
      <c r="B2515" s="1">
        <v>2.8293701E7</v>
      </c>
      <c r="C2515" s="1">
        <v>2.23233488E8</v>
      </c>
      <c r="D2515" s="1" t="s">
        <v>2792</v>
      </c>
    </row>
    <row r="2516">
      <c r="A2516" s="1">
        <v>353.0</v>
      </c>
      <c r="B2516" s="1">
        <v>2.8263644E7</v>
      </c>
      <c r="C2516" s="1">
        <v>1.94859402E8</v>
      </c>
      <c r="D2516" s="1" t="s">
        <v>2767</v>
      </c>
    </row>
    <row r="2517">
      <c r="A2517" s="1">
        <v>678.0</v>
      </c>
      <c r="B2517" s="1">
        <v>2.8256342E7</v>
      </c>
      <c r="C2517" s="1">
        <v>1.88517944E8</v>
      </c>
      <c r="D2517" s="1" t="s">
        <v>3635</v>
      </c>
    </row>
    <row r="2518">
      <c r="A2518" s="1">
        <v>609.0</v>
      </c>
      <c r="B2518" s="1">
        <v>2.8245882E7</v>
      </c>
      <c r="C2518" s="1">
        <v>1.13904778E8</v>
      </c>
      <c r="D2518" s="1" t="s">
        <v>1914</v>
      </c>
    </row>
    <row r="2519">
      <c r="A2519" s="1">
        <v>671.0</v>
      </c>
      <c r="B2519" s="1">
        <v>2.8241532E7</v>
      </c>
      <c r="C2519" s="1">
        <v>1.13873312E8</v>
      </c>
      <c r="D2519" s="1" t="s">
        <v>3637</v>
      </c>
    </row>
    <row r="2520">
      <c r="A2520" s="1">
        <v>661.0</v>
      </c>
      <c r="B2520" s="1">
        <v>2.8240501E7</v>
      </c>
      <c r="C2520" s="1">
        <v>1.93161494E8</v>
      </c>
      <c r="D2520" s="1" t="s">
        <v>3638</v>
      </c>
    </row>
    <row r="2521">
      <c r="A2521" s="1">
        <v>410.0</v>
      </c>
      <c r="B2521" s="1">
        <v>2.8203278E7</v>
      </c>
      <c r="C2521" s="1">
        <v>1.13886657E8</v>
      </c>
      <c r="D2521" s="1" t="s">
        <v>3200</v>
      </c>
    </row>
    <row r="2522">
      <c r="A2522" s="1">
        <v>492.0</v>
      </c>
      <c r="B2522" s="1">
        <v>2.8196582E7</v>
      </c>
      <c r="C2522" s="1">
        <v>1.13708691E8</v>
      </c>
      <c r="D2522" s="1" t="s">
        <v>3338</v>
      </c>
    </row>
    <row r="2523">
      <c r="A2523" s="1">
        <v>571.0</v>
      </c>
      <c r="B2523" s="1">
        <v>2.8163969E7</v>
      </c>
      <c r="C2523" s="1">
        <v>3.12705392E8</v>
      </c>
      <c r="D2523" s="1" t="s">
        <v>3639</v>
      </c>
    </row>
    <row r="2524">
      <c r="A2524" s="1">
        <v>392.0</v>
      </c>
      <c r="B2524" s="1">
        <v>2.8162895E7</v>
      </c>
      <c r="C2524" s="1">
        <v>1.13669778E8</v>
      </c>
      <c r="D2524" s="1" t="s">
        <v>2790</v>
      </c>
    </row>
    <row r="2525">
      <c r="A2525" s="1">
        <v>194.0</v>
      </c>
      <c r="B2525" s="1">
        <v>2.8129236E7</v>
      </c>
      <c r="C2525" s="1">
        <v>1.13348687E8</v>
      </c>
      <c r="D2525" s="1" t="s">
        <v>3641</v>
      </c>
    </row>
    <row r="2526">
      <c r="A2526" s="1">
        <v>662.0</v>
      </c>
      <c r="B2526" s="1">
        <v>2.8100605E7</v>
      </c>
      <c r="C2526" s="1">
        <v>1.13209264E8</v>
      </c>
      <c r="D2526" s="1" t="s">
        <v>3642</v>
      </c>
    </row>
    <row r="2527">
      <c r="A2527" s="1">
        <v>694.0</v>
      </c>
      <c r="B2527" s="1">
        <v>2.8069951E7</v>
      </c>
      <c r="C2527" s="1">
        <v>1.13190781E8</v>
      </c>
      <c r="D2527" s="1" t="s">
        <v>3643</v>
      </c>
    </row>
    <row r="2528">
      <c r="A2528" s="1">
        <v>194.0</v>
      </c>
      <c r="B2528" s="1">
        <v>2.8062335E7</v>
      </c>
      <c r="C2528" s="1">
        <v>1.13221427E8</v>
      </c>
      <c r="D2528" s="1" t="s">
        <v>3644</v>
      </c>
    </row>
    <row r="2529">
      <c r="A2529" s="1">
        <v>522.0</v>
      </c>
      <c r="B2529" s="1">
        <v>2.8001932E7</v>
      </c>
      <c r="C2529" s="1">
        <v>1.12813355E8</v>
      </c>
      <c r="D2529" s="1" t="s">
        <v>3646</v>
      </c>
    </row>
    <row r="2530">
      <c r="A2530" s="1">
        <v>410.0</v>
      </c>
      <c r="B2530" s="1">
        <v>2.7997777E7</v>
      </c>
      <c r="C2530" s="1">
        <v>1.12864846E8</v>
      </c>
      <c r="D2530" s="1" t="s">
        <v>3647</v>
      </c>
    </row>
    <row r="2531">
      <c r="A2531" s="1">
        <v>578.0</v>
      </c>
      <c r="B2531" s="1">
        <v>2.798038E7</v>
      </c>
      <c r="C2531" s="1">
        <v>1.12815422E8</v>
      </c>
      <c r="D2531" s="1" t="s">
        <v>1225</v>
      </c>
    </row>
    <row r="2532">
      <c r="A2532" s="1">
        <v>504.0</v>
      </c>
      <c r="B2532" s="1">
        <v>2.7966504E7</v>
      </c>
      <c r="C2532" s="1">
        <v>1.12810126E8</v>
      </c>
      <c r="D2532" s="1" t="s">
        <v>845</v>
      </c>
    </row>
    <row r="2533">
      <c r="A2533" s="1">
        <v>414.0</v>
      </c>
      <c r="B2533" s="1">
        <v>2.793346E7</v>
      </c>
      <c r="C2533" s="1">
        <v>1.12803498E8</v>
      </c>
      <c r="D2533" s="1" t="s">
        <v>3650</v>
      </c>
    </row>
    <row r="2534">
      <c r="A2534" s="1">
        <v>673.0</v>
      </c>
      <c r="B2534" s="1">
        <v>2.7911802E7</v>
      </c>
      <c r="C2534" s="1">
        <v>1.12521891E8</v>
      </c>
      <c r="D2534" s="1" t="s">
        <v>3651</v>
      </c>
    </row>
    <row r="2535">
      <c r="A2535" s="1">
        <v>609.0</v>
      </c>
      <c r="B2535" s="1">
        <v>2.7886388E7</v>
      </c>
      <c r="C2535" s="1">
        <v>1.12395299E8</v>
      </c>
      <c r="D2535" s="1" t="s">
        <v>3653</v>
      </c>
    </row>
    <row r="2536">
      <c r="A2536" s="1">
        <v>210.0</v>
      </c>
      <c r="B2536" s="1">
        <v>2.7809858E7</v>
      </c>
      <c r="C2536" s="1">
        <v>1.12505359E8</v>
      </c>
      <c r="D2536" s="1" t="s">
        <v>1202</v>
      </c>
    </row>
    <row r="2537">
      <c r="A2537" s="1">
        <v>609.0</v>
      </c>
      <c r="B2537" s="1">
        <v>2.7696309E7</v>
      </c>
      <c r="C2537" s="1">
        <v>1.13073302E8</v>
      </c>
      <c r="D2537" s="1" t="s">
        <v>2163</v>
      </c>
    </row>
    <row r="2538">
      <c r="A2538" s="1">
        <v>410.0</v>
      </c>
      <c r="B2538" s="1">
        <v>2.7678871E7</v>
      </c>
      <c r="C2538" s="1">
        <v>1.11672132E8</v>
      </c>
      <c r="D2538" s="1" t="s">
        <v>3655</v>
      </c>
    </row>
    <row r="2539">
      <c r="A2539" s="1">
        <v>522.0</v>
      </c>
      <c r="B2539" s="1">
        <v>2.7620428E7</v>
      </c>
      <c r="C2539" s="1">
        <v>1.81173263E8</v>
      </c>
      <c r="D2539" s="1" t="s">
        <v>1184</v>
      </c>
    </row>
    <row r="2540">
      <c r="A2540" s="1">
        <v>410.0</v>
      </c>
      <c r="B2540" s="1">
        <v>2.758148E7</v>
      </c>
      <c r="C2540" s="1">
        <v>1.11329306E8</v>
      </c>
      <c r="D2540" s="1" t="s">
        <v>3657</v>
      </c>
    </row>
    <row r="2541">
      <c r="A2541" s="1">
        <v>678.0</v>
      </c>
      <c r="B2541" s="1">
        <v>2.7574777E7</v>
      </c>
      <c r="C2541" s="1">
        <v>1.11273541E8</v>
      </c>
      <c r="D2541" s="1" t="s">
        <v>3659</v>
      </c>
    </row>
    <row r="2542">
      <c r="A2542" s="1">
        <v>667.0</v>
      </c>
      <c r="B2542" s="1">
        <v>2.7545363E7</v>
      </c>
      <c r="C2542" s="1">
        <v>1.11233946E8</v>
      </c>
      <c r="D2542" s="1" t="s">
        <v>3660</v>
      </c>
    </row>
    <row r="2543">
      <c r="A2543" s="1">
        <v>409.0</v>
      </c>
      <c r="B2543" s="1">
        <v>2.7516838E7</v>
      </c>
      <c r="C2543" s="1">
        <v>1.11027433E8</v>
      </c>
      <c r="D2543" s="1" t="s">
        <v>3661</v>
      </c>
    </row>
    <row r="2544">
      <c r="A2544" s="1">
        <v>662.0</v>
      </c>
      <c r="B2544" s="1">
        <v>2.7511637E7</v>
      </c>
      <c r="C2544" s="1">
        <v>1.11067962E8</v>
      </c>
      <c r="D2544" s="25" t="str">
        <f>+15879887772: Cancel +15879887772: Unsubscribe</f>
        <v>#ERROR!</v>
      </c>
    </row>
    <row r="2545">
      <c r="A2545" s="1">
        <v>179.0</v>
      </c>
      <c r="B2545" s="1">
        <v>2.7498259E7</v>
      </c>
      <c r="C2545" s="1">
        <v>1.11023327E8</v>
      </c>
      <c r="D2545" s="1" t="s">
        <v>2330</v>
      </c>
    </row>
    <row r="2546">
      <c r="A2546" s="1">
        <v>713.0</v>
      </c>
      <c r="B2546" s="1">
        <v>2.7455621E7</v>
      </c>
      <c r="C2546" s="1">
        <v>1.92089387E8</v>
      </c>
      <c r="D2546" s="1" t="s">
        <v>3662</v>
      </c>
    </row>
    <row r="2547">
      <c r="A2547" s="1">
        <v>654.0</v>
      </c>
      <c r="B2547" s="1">
        <v>2.7453305E7</v>
      </c>
      <c r="C2547" s="1">
        <v>2.82527553E8</v>
      </c>
      <c r="D2547" s="1" t="s">
        <v>3663</v>
      </c>
    </row>
    <row r="2548">
      <c r="A2548" s="1">
        <v>702.0</v>
      </c>
      <c r="B2548" s="1">
        <v>2.7443589E7</v>
      </c>
      <c r="C2548" s="1">
        <v>1.10870151E8</v>
      </c>
      <c r="D2548" s="1" t="s">
        <v>3664</v>
      </c>
    </row>
    <row r="2549">
      <c r="A2549" s="1">
        <v>702.0</v>
      </c>
      <c r="B2549" s="1">
        <v>2.7436177E7</v>
      </c>
      <c r="C2549" s="1">
        <v>1.14614718E8</v>
      </c>
      <c r="D2549" s="1" t="s">
        <v>3665</v>
      </c>
    </row>
    <row r="2550">
      <c r="A2550" s="1">
        <v>504.0</v>
      </c>
      <c r="B2550" s="1">
        <v>2.7435171E7</v>
      </c>
      <c r="C2550" s="1">
        <v>1.11419238E8</v>
      </c>
      <c r="D2550" s="1" t="s">
        <v>3666</v>
      </c>
    </row>
    <row r="2551">
      <c r="A2551" s="1">
        <v>665.0</v>
      </c>
      <c r="B2551" s="1">
        <v>2.7416427E7</v>
      </c>
      <c r="C2551" s="1">
        <v>1.10716984E8</v>
      </c>
      <c r="D2551" s="1" t="s">
        <v>3667</v>
      </c>
    </row>
    <row r="2552">
      <c r="A2552" s="1">
        <v>475.0</v>
      </c>
      <c r="B2552" s="1">
        <v>2.7385487E7</v>
      </c>
      <c r="C2552" s="1">
        <v>1.10661244E8</v>
      </c>
      <c r="D2552" s="1" t="s">
        <v>3668</v>
      </c>
    </row>
    <row r="2553">
      <c r="A2553" s="1">
        <v>601.0</v>
      </c>
      <c r="B2553" s="1">
        <v>2.7383543E7</v>
      </c>
      <c r="C2553" s="1">
        <v>1.1066103E8</v>
      </c>
      <c r="D2553" s="1" t="s">
        <v>3669</v>
      </c>
    </row>
    <row r="2554">
      <c r="A2554" s="1">
        <v>671.0</v>
      </c>
      <c r="B2554" s="1">
        <v>2.7260917E7</v>
      </c>
      <c r="C2554" s="1">
        <v>1.90273621E8</v>
      </c>
      <c r="D2554" s="1" t="s">
        <v>3424</v>
      </c>
    </row>
    <row r="2555">
      <c r="A2555" s="1">
        <v>353.0</v>
      </c>
      <c r="B2555" s="1">
        <v>2.7254276E7</v>
      </c>
      <c r="C2555" s="1">
        <v>1.1007417E8</v>
      </c>
      <c r="D2555" s="1" t="s">
        <v>3162</v>
      </c>
    </row>
    <row r="2556">
      <c r="A2556" s="1">
        <v>488.0</v>
      </c>
      <c r="B2556" s="1">
        <v>2.7179631E7</v>
      </c>
      <c r="C2556" s="1">
        <v>1.09882038E8</v>
      </c>
      <c r="D2556" s="1" t="s">
        <v>3670</v>
      </c>
    </row>
    <row r="2557">
      <c r="A2557" s="1">
        <v>671.0</v>
      </c>
      <c r="B2557" s="1">
        <v>2.7154003E7</v>
      </c>
      <c r="C2557" s="1">
        <v>3.85264601E8</v>
      </c>
      <c r="D2557" s="1" t="s">
        <v>3671</v>
      </c>
    </row>
    <row r="2558">
      <c r="A2558" s="1">
        <v>644.0</v>
      </c>
      <c r="B2558" s="1">
        <v>2.7150439E7</v>
      </c>
      <c r="C2558" s="1">
        <v>1.0969626E8</v>
      </c>
      <c r="D2558" s="1" t="s">
        <v>3672</v>
      </c>
    </row>
    <row r="2559">
      <c r="A2559" s="1">
        <v>597.0</v>
      </c>
      <c r="B2559" s="1">
        <v>2.7144688E7</v>
      </c>
      <c r="C2559" s="1">
        <v>1.09684858E8</v>
      </c>
      <c r="D2559" s="1" t="s">
        <v>3673</v>
      </c>
    </row>
    <row r="2560">
      <c r="A2560" s="1">
        <v>696.0</v>
      </c>
      <c r="B2560" s="1">
        <v>2.7131385E7</v>
      </c>
      <c r="C2560" s="1">
        <v>1.09667548E8</v>
      </c>
      <c r="D2560" s="1" t="s">
        <v>3674</v>
      </c>
    </row>
    <row r="2561">
      <c r="A2561" s="1">
        <v>678.0</v>
      </c>
      <c r="B2561" s="1">
        <v>2.7125916E7</v>
      </c>
      <c r="C2561" s="1">
        <v>1.09689529E8</v>
      </c>
      <c r="D2561" s="1" t="s">
        <v>1019</v>
      </c>
    </row>
    <row r="2562">
      <c r="A2562" s="1">
        <v>609.0</v>
      </c>
      <c r="B2562" s="1">
        <v>2.7111802E7</v>
      </c>
      <c r="C2562" s="1">
        <v>1.09888351E8</v>
      </c>
      <c r="D2562" s="1" t="s">
        <v>3675</v>
      </c>
    </row>
    <row r="2563">
      <c r="A2563" s="1">
        <v>671.0</v>
      </c>
      <c r="B2563" s="1">
        <v>2.7023614E7</v>
      </c>
      <c r="C2563" s="1">
        <v>1.0949801E8</v>
      </c>
      <c r="D2563" s="1" t="s">
        <v>1136</v>
      </c>
    </row>
    <row r="2564">
      <c r="A2564" s="1">
        <v>610.0</v>
      </c>
      <c r="B2564" s="1">
        <v>2.6982051E7</v>
      </c>
      <c r="C2564" s="1">
        <v>1.09255845E8</v>
      </c>
      <c r="D2564" s="1" t="s">
        <v>3358</v>
      </c>
    </row>
    <row r="2565">
      <c r="A2565" s="1">
        <v>571.0</v>
      </c>
      <c r="B2565" s="1">
        <v>2.6978734E7</v>
      </c>
      <c r="C2565" s="1">
        <v>3.623228E8</v>
      </c>
      <c r="D2565" s="1" t="s">
        <v>3676</v>
      </c>
    </row>
    <row r="2566">
      <c r="A2566" s="1">
        <v>410.0</v>
      </c>
      <c r="B2566" s="1">
        <v>2.6918335E7</v>
      </c>
      <c r="C2566" s="1">
        <v>1.08778308E8</v>
      </c>
      <c r="D2566" s="1" t="s">
        <v>3677</v>
      </c>
    </row>
    <row r="2567">
      <c r="A2567" s="1">
        <v>609.0</v>
      </c>
      <c r="B2567" s="1">
        <v>2.6829107E7</v>
      </c>
      <c r="C2567" s="1">
        <v>1.08470008E8</v>
      </c>
      <c r="D2567" s="1" t="s">
        <v>3678</v>
      </c>
    </row>
    <row r="2568">
      <c r="A2568" s="1">
        <v>715.0</v>
      </c>
      <c r="B2568" s="1">
        <v>2.6806889E7</v>
      </c>
      <c r="C2568" s="1">
        <v>1.08445421E8</v>
      </c>
      <c r="D2568" s="1" t="s">
        <v>3679</v>
      </c>
    </row>
    <row r="2569">
      <c r="A2569" s="1">
        <v>207.0</v>
      </c>
      <c r="B2569" s="1">
        <v>2.6786866E7</v>
      </c>
      <c r="C2569" s="1">
        <v>1.083176E8</v>
      </c>
      <c r="D2569" s="1" t="s">
        <v>3680</v>
      </c>
    </row>
    <row r="2570">
      <c r="A2570" s="1">
        <v>671.0</v>
      </c>
      <c r="B2570" s="1">
        <v>2.677512E7</v>
      </c>
      <c r="C2570" s="1">
        <v>1.08471233E8</v>
      </c>
      <c r="D2570" s="1" t="s">
        <v>1081</v>
      </c>
    </row>
    <row r="2571">
      <c r="A2571" s="1">
        <v>414.0</v>
      </c>
      <c r="B2571" s="1">
        <v>2.6772391E7</v>
      </c>
      <c r="C2571" s="1">
        <v>1.08274387E8</v>
      </c>
      <c r="D2571" s="1" t="s">
        <v>3682</v>
      </c>
    </row>
    <row r="2572">
      <c r="A2572" s="1">
        <v>662.0</v>
      </c>
      <c r="B2572" s="1">
        <v>2.676968E7</v>
      </c>
      <c r="C2572" s="1">
        <v>1.08308856E8</v>
      </c>
      <c r="D2572" s="25" t="str">
        <f>+17809144654: Haven't been there yet, but Diane had replied very quickly and informative!</f>
        <v>#ERROR!</v>
      </c>
    </row>
    <row r="2573">
      <c r="A2573" s="1">
        <v>395.0</v>
      </c>
      <c r="B2573" s="1">
        <v>2.6752029E7</v>
      </c>
      <c r="C2573" s="1">
        <v>1.08264622E8</v>
      </c>
      <c r="D2573" s="1" t="s">
        <v>3686</v>
      </c>
    </row>
    <row r="2574">
      <c r="A2574" s="1">
        <v>503.0</v>
      </c>
      <c r="B2574" s="1">
        <v>2.6687338E7</v>
      </c>
      <c r="C2574" s="1">
        <v>1.07960524E8</v>
      </c>
      <c r="D2574" s="1" t="s">
        <v>3688</v>
      </c>
    </row>
    <row r="2575">
      <c r="A2575" s="1">
        <v>475.0</v>
      </c>
      <c r="B2575" s="1">
        <v>2.6672782E7</v>
      </c>
      <c r="C2575" s="1">
        <v>1.07935289E8</v>
      </c>
      <c r="D2575" s="1" t="s">
        <v>3689</v>
      </c>
    </row>
    <row r="2576">
      <c r="A2576" s="1">
        <v>410.0</v>
      </c>
      <c r="B2576" s="1">
        <v>2.6659924E7</v>
      </c>
      <c r="C2576" s="1">
        <v>1.08158369E8</v>
      </c>
      <c r="D2576" s="1" t="s">
        <v>3690</v>
      </c>
    </row>
    <row r="2577">
      <c r="A2577" s="1">
        <v>608.0</v>
      </c>
      <c r="B2577" s="1">
        <v>2.6530184E7</v>
      </c>
      <c r="C2577" s="1">
        <v>1.07371327E8</v>
      </c>
      <c r="D2577" s="1" t="s">
        <v>2897</v>
      </c>
    </row>
    <row r="2578">
      <c r="A2578" s="1">
        <v>379.0</v>
      </c>
      <c r="B2578" s="1">
        <v>2.652693E7</v>
      </c>
      <c r="C2578" s="1">
        <v>1.07365928E8</v>
      </c>
      <c r="D2578" s="1" t="s">
        <v>3692</v>
      </c>
    </row>
    <row r="2579">
      <c r="A2579" s="1">
        <v>570.0</v>
      </c>
      <c r="B2579" s="1">
        <v>2.6517832E7</v>
      </c>
      <c r="C2579" s="1">
        <v>1.07326909E8</v>
      </c>
      <c r="D2579" s="1" t="s">
        <v>3693</v>
      </c>
    </row>
    <row r="2580">
      <c r="A2580" s="1">
        <v>395.0</v>
      </c>
      <c r="B2580" s="1">
        <v>2.6448186E7</v>
      </c>
      <c r="C2580" s="1">
        <v>1.8928415E8</v>
      </c>
      <c r="D2580" s="1" t="s">
        <v>1767</v>
      </c>
    </row>
    <row r="2581">
      <c r="A2581" s="1">
        <v>492.0</v>
      </c>
      <c r="B2581" s="1">
        <v>2.6412646E7</v>
      </c>
      <c r="C2581" s="1">
        <v>1.90245523E8</v>
      </c>
      <c r="D2581" s="1" t="s">
        <v>3694</v>
      </c>
    </row>
    <row r="2582">
      <c r="A2582" s="1">
        <v>407.0</v>
      </c>
      <c r="B2582" s="1">
        <v>2.634795E7</v>
      </c>
      <c r="C2582" s="1">
        <v>1.067902E8</v>
      </c>
      <c r="D2582" s="1" t="s">
        <v>3695</v>
      </c>
    </row>
    <row r="2583">
      <c r="A2583" s="1">
        <v>488.0</v>
      </c>
      <c r="B2583" s="1">
        <v>2.6329078E7</v>
      </c>
      <c r="C2583" s="1">
        <v>1.06568866E8</v>
      </c>
      <c r="D2583" s="1" t="s">
        <v>3697</v>
      </c>
    </row>
    <row r="2584">
      <c r="A2584" s="1">
        <v>608.0</v>
      </c>
      <c r="B2584" s="1">
        <v>2.6283453E7</v>
      </c>
      <c r="C2584" s="1">
        <v>1.06397018E8</v>
      </c>
      <c r="D2584" s="1" t="s">
        <v>414</v>
      </c>
    </row>
    <row r="2585">
      <c r="A2585" s="1">
        <v>407.0</v>
      </c>
      <c r="B2585" s="1">
        <v>2.6213496E7</v>
      </c>
      <c r="C2585" s="1">
        <v>1.06408103E8</v>
      </c>
      <c r="D2585" s="1" t="s">
        <v>3699</v>
      </c>
    </row>
    <row r="2586">
      <c r="A2586" s="1">
        <v>378.0</v>
      </c>
      <c r="B2586" s="1">
        <v>2.6179137E7</v>
      </c>
      <c r="C2586" s="1">
        <v>1.06023359E8</v>
      </c>
      <c r="D2586" s="1" t="s">
        <v>3700</v>
      </c>
    </row>
    <row r="2587">
      <c r="A2587" s="1">
        <v>701.0</v>
      </c>
      <c r="B2587" s="1">
        <v>2.6154591E7</v>
      </c>
      <c r="C2587" s="1">
        <v>1.06188145E8</v>
      </c>
      <c r="D2587" s="1" t="s">
        <v>3701</v>
      </c>
    </row>
    <row r="2588">
      <c r="A2588" s="1">
        <v>664.0</v>
      </c>
      <c r="B2588" s="1">
        <v>2.6134893E7</v>
      </c>
      <c r="C2588" s="1">
        <v>1.0607472E8</v>
      </c>
      <c r="D2588" s="1" t="s">
        <v>3702</v>
      </c>
    </row>
    <row r="2589">
      <c r="A2589" s="1">
        <v>503.0</v>
      </c>
      <c r="B2589" s="1">
        <v>2.6121206E7</v>
      </c>
      <c r="C2589" s="1">
        <v>1.06234261E8</v>
      </c>
      <c r="D2589" s="1" t="s">
        <v>2202</v>
      </c>
    </row>
    <row r="2590">
      <c r="A2590" s="1">
        <v>380.0</v>
      </c>
      <c r="B2590" s="1">
        <v>2.6105843E7</v>
      </c>
      <c r="C2590" s="1">
        <v>1.05882509E8</v>
      </c>
      <c r="D2590" s="1" t="s">
        <v>3703</v>
      </c>
    </row>
    <row r="2591">
      <c r="A2591" s="1">
        <v>257.0</v>
      </c>
      <c r="B2591" s="1">
        <v>2.6104157E7</v>
      </c>
      <c r="C2591" s="1">
        <v>1.05794143E8</v>
      </c>
      <c r="D2591" s="1" t="s">
        <v>1091</v>
      </c>
    </row>
    <row r="2592">
      <c r="A2592" s="1">
        <v>674.0</v>
      </c>
      <c r="B2592" s="1">
        <v>2.6044679E7</v>
      </c>
      <c r="C2592" s="1">
        <v>1.05610984E8</v>
      </c>
      <c r="D2592" s="1" t="s">
        <v>3704</v>
      </c>
    </row>
    <row r="2593">
      <c r="A2593" s="1">
        <v>410.0</v>
      </c>
      <c r="B2593" s="1">
        <v>2.6019325E7</v>
      </c>
      <c r="C2593" s="1">
        <v>1.05648543E8</v>
      </c>
      <c r="D2593" s="1" t="s">
        <v>3705</v>
      </c>
    </row>
    <row r="2594">
      <c r="A2594" s="1">
        <v>601.0</v>
      </c>
      <c r="B2594" s="1">
        <v>2.5957995E7</v>
      </c>
      <c r="C2594" s="1">
        <v>1.43547069E8</v>
      </c>
      <c r="D2594" s="1" t="s">
        <v>3706</v>
      </c>
    </row>
    <row r="2595">
      <c r="A2595" s="1">
        <v>410.0</v>
      </c>
      <c r="B2595" s="1">
        <v>2.5920379E7</v>
      </c>
      <c r="C2595" s="1">
        <v>1.05089298E8</v>
      </c>
      <c r="D2595" s="1" t="s">
        <v>3707</v>
      </c>
    </row>
    <row r="2596">
      <c r="A2596" s="1">
        <v>500.0</v>
      </c>
      <c r="B2596" s="1">
        <v>2.5860988E7</v>
      </c>
      <c r="C2596" s="1">
        <v>1.04858904E8</v>
      </c>
      <c r="D2596" s="1" t="s">
        <v>3446</v>
      </c>
    </row>
    <row r="2597">
      <c r="A2597" s="1">
        <v>674.0</v>
      </c>
      <c r="B2597" s="1">
        <v>2.5700041E7</v>
      </c>
      <c r="C2597" s="1">
        <v>1.04488303E8</v>
      </c>
      <c r="D2597" s="1" t="s">
        <v>3708</v>
      </c>
    </row>
    <row r="2598">
      <c r="A2598" s="1">
        <v>394.0</v>
      </c>
      <c r="B2598" s="1">
        <v>2.5640326E7</v>
      </c>
      <c r="C2598" s="1">
        <v>1.04095121E8</v>
      </c>
      <c r="D2598" s="1" t="s">
        <v>3636</v>
      </c>
    </row>
    <row r="2599">
      <c r="A2599" s="1">
        <v>475.0</v>
      </c>
      <c r="B2599" s="1">
        <v>2.5634408E7</v>
      </c>
      <c r="C2599" s="1">
        <v>1.04088796E8</v>
      </c>
      <c r="D2599" s="1" t="s">
        <v>3709</v>
      </c>
    </row>
    <row r="2600">
      <c r="A2600" s="1">
        <v>194.0</v>
      </c>
      <c r="B2600" s="1">
        <v>2.5588886E7</v>
      </c>
      <c r="C2600" s="1">
        <v>3.75296548E8</v>
      </c>
      <c r="D2600" s="1" t="s">
        <v>3710</v>
      </c>
    </row>
    <row r="2601">
      <c r="A2601" s="1">
        <v>586.0</v>
      </c>
      <c r="B2601" s="1">
        <v>2.5557221E7</v>
      </c>
      <c r="C2601" s="1">
        <v>1.03694619E8</v>
      </c>
      <c r="D2601" s="1" t="s">
        <v>3711</v>
      </c>
    </row>
    <row r="2602">
      <c r="A2602" s="1">
        <v>129.0</v>
      </c>
      <c r="B2602" s="1">
        <v>2.555388E7</v>
      </c>
      <c r="C2602" s="1">
        <v>2.93826652E8</v>
      </c>
      <c r="D2602" s="1" t="s">
        <v>3712</v>
      </c>
    </row>
    <row r="2603">
      <c r="A2603" s="1">
        <v>203.0</v>
      </c>
      <c r="B2603" s="1">
        <v>2.5541514E7</v>
      </c>
      <c r="C2603" s="1">
        <v>1.72474859E8</v>
      </c>
      <c r="D2603" s="1" t="s">
        <v>3599</v>
      </c>
    </row>
    <row r="2604">
      <c r="A2604" s="1">
        <v>414.0</v>
      </c>
      <c r="B2604" s="1">
        <v>2.5536309E7</v>
      </c>
      <c r="C2604" s="1">
        <v>1.0370964E8</v>
      </c>
      <c r="D2604" s="1" t="s">
        <v>3713</v>
      </c>
    </row>
    <row r="2605">
      <c r="A2605" s="1">
        <v>607.0</v>
      </c>
      <c r="B2605" s="1">
        <v>2.5508122E7</v>
      </c>
      <c r="C2605" s="1">
        <v>1.03542689E8</v>
      </c>
      <c r="D2605" s="1" t="s">
        <v>1197</v>
      </c>
    </row>
    <row r="2606">
      <c r="A2606" s="1">
        <v>179.0</v>
      </c>
      <c r="B2606" s="1">
        <v>2.5507613E7</v>
      </c>
      <c r="C2606" s="1">
        <v>1.03501338E8</v>
      </c>
      <c r="D2606" s="1" t="s">
        <v>2434</v>
      </c>
    </row>
    <row r="2607">
      <c r="A2607" s="1">
        <v>676.0</v>
      </c>
      <c r="B2607" s="1">
        <v>2.5452071E7</v>
      </c>
      <c r="C2607" s="1">
        <v>1.15162944E8</v>
      </c>
      <c r="D2607" s="1" t="s">
        <v>3716</v>
      </c>
    </row>
    <row r="2608">
      <c r="A2608" s="1">
        <v>414.0</v>
      </c>
      <c r="B2608" s="1">
        <v>2.5449217E7</v>
      </c>
      <c r="C2608" s="1">
        <v>1.03352405E8</v>
      </c>
      <c r="D2608" s="1" t="s">
        <v>3717</v>
      </c>
    </row>
    <row r="2609">
      <c r="A2609" s="1">
        <v>702.0</v>
      </c>
      <c r="B2609" s="1">
        <v>2.5394133E7</v>
      </c>
      <c r="C2609" s="1">
        <v>1.03158155E8</v>
      </c>
      <c r="D2609" s="1" t="s">
        <v>3718</v>
      </c>
    </row>
    <row r="2610">
      <c r="A2610" s="1">
        <v>571.0</v>
      </c>
      <c r="B2610" s="1">
        <v>2.539037E7</v>
      </c>
      <c r="C2610" s="1">
        <v>1.03412754E8</v>
      </c>
      <c r="D2610" s="1" t="s">
        <v>412</v>
      </c>
    </row>
    <row r="2611">
      <c r="A2611" s="1">
        <v>407.0</v>
      </c>
      <c r="B2611" s="1">
        <v>2.537909E7</v>
      </c>
      <c r="C2611" s="1">
        <v>1.03006277E8</v>
      </c>
      <c r="D2611" s="1" t="s">
        <v>3720</v>
      </c>
    </row>
    <row r="2612">
      <c r="A2612" s="1">
        <v>410.0</v>
      </c>
      <c r="B2612" s="1">
        <v>2.537637E7</v>
      </c>
      <c r="C2612" s="1">
        <v>1.0337534E8</v>
      </c>
      <c r="D2612" s="1" t="s">
        <v>3721</v>
      </c>
    </row>
    <row r="2613">
      <c r="A2613" s="1">
        <v>244.0</v>
      </c>
      <c r="B2613" s="1">
        <v>2.5370862E7</v>
      </c>
      <c r="C2613" s="1">
        <v>1.0298614E8</v>
      </c>
      <c r="D2613" s="1" t="s">
        <v>3723</v>
      </c>
    </row>
    <row r="2614">
      <c r="A2614" s="1">
        <v>204.0</v>
      </c>
      <c r="B2614" s="1">
        <v>2.536532E7</v>
      </c>
      <c r="C2614" s="1">
        <v>1.80950525E8</v>
      </c>
      <c r="D2614" s="1" t="s">
        <v>2327</v>
      </c>
    </row>
    <row r="2615">
      <c r="A2615" s="1">
        <v>504.0</v>
      </c>
      <c r="B2615" s="1">
        <v>2.533241E7</v>
      </c>
      <c r="C2615" s="1">
        <v>1.02952851E8</v>
      </c>
      <c r="D2615" s="1" t="s">
        <v>3725</v>
      </c>
    </row>
    <row r="2616">
      <c r="A2616" s="1">
        <v>672.0</v>
      </c>
      <c r="B2616" s="1">
        <v>2.5297146E7</v>
      </c>
      <c r="C2616" s="1">
        <v>2.98999698E8</v>
      </c>
      <c r="D2616" s="1" t="s">
        <v>3726</v>
      </c>
    </row>
    <row r="2617">
      <c r="A2617" s="1">
        <v>609.0</v>
      </c>
      <c r="B2617" s="1">
        <v>2.5268681E7</v>
      </c>
      <c r="C2617" s="1">
        <v>1.0263662E8</v>
      </c>
      <c r="D2617" s="1" t="s">
        <v>3727</v>
      </c>
    </row>
    <row r="2618">
      <c r="A2618" s="1">
        <v>120.0</v>
      </c>
      <c r="B2618" s="1">
        <v>2.5122406E7</v>
      </c>
      <c r="C2618" s="1">
        <v>1.02410777E8</v>
      </c>
      <c r="D2618" s="1" t="s">
        <v>2595</v>
      </c>
    </row>
    <row r="2619">
      <c r="A2619" s="1">
        <v>571.0</v>
      </c>
      <c r="B2619" s="1">
        <v>2.5072229E7</v>
      </c>
      <c r="C2619" s="1">
        <v>1.0187952E8</v>
      </c>
      <c r="D2619" s="1" t="s">
        <v>1532</v>
      </c>
    </row>
    <row r="2620">
      <c r="A2620" s="1">
        <v>716.0</v>
      </c>
      <c r="B2620" s="1">
        <v>2.5068475E7</v>
      </c>
      <c r="C2620" s="1">
        <v>1.01870094E8</v>
      </c>
      <c r="D2620" s="1" t="s">
        <v>3728</v>
      </c>
    </row>
    <row r="2621">
      <c r="A2621" s="1">
        <v>601.0</v>
      </c>
      <c r="B2621" s="1">
        <v>2.5057201E7</v>
      </c>
      <c r="C2621" s="1">
        <v>1.01853763E8</v>
      </c>
      <c r="D2621" s="1" t="s">
        <v>3729</v>
      </c>
    </row>
    <row r="2622">
      <c r="A2622" s="1">
        <v>378.0</v>
      </c>
      <c r="B2622" s="1">
        <v>2.4930355E7</v>
      </c>
      <c r="C2622" s="1">
        <v>1.01523717E8</v>
      </c>
      <c r="D2622" s="1" t="s">
        <v>3730</v>
      </c>
    </row>
    <row r="2623">
      <c r="A2623" s="1">
        <v>694.0</v>
      </c>
      <c r="B2623" s="1">
        <v>2.4903398E7</v>
      </c>
      <c r="C2623" s="1">
        <v>1.01316106E8</v>
      </c>
      <c r="D2623" s="1" t="s">
        <v>3731</v>
      </c>
    </row>
    <row r="2624">
      <c r="A2624" s="1">
        <v>720.0</v>
      </c>
      <c r="B2624" s="1">
        <v>2.4845302E7</v>
      </c>
      <c r="C2624" s="1">
        <v>1.01136927E8</v>
      </c>
      <c r="D2624" s="1" t="s">
        <v>409</v>
      </c>
    </row>
    <row r="2625">
      <c r="A2625" s="1">
        <v>665.0</v>
      </c>
      <c r="B2625" s="1">
        <v>2.4715284E7</v>
      </c>
      <c r="C2625" s="1">
        <v>1.0076496E8</v>
      </c>
      <c r="D2625" s="1" t="s">
        <v>3732</v>
      </c>
    </row>
    <row r="2626">
      <c r="A2626" s="1">
        <v>531.0</v>
      </c>
      <c r="B2626" s="1">
        <v>2.4692133E7</v>
      </c>
      <c r="C2626" s="1">
        <v>1.00749364E8</v>
      </c>
      <c r="D2626" s="1" t="s">
        <v>3733</v>
      </c>
    </row>
    <row r="2627">
      <c r="A2627" s="1">
        <v>671.0</v>
      </c>
      <c r="B2627" s="1">
        <v>2.4676183E7</v>
      </c>
      <c r="C2627" s="1">
        <v>1.00726592E8</v>
      </c>
      <c r="D2627" s="1" t="s">
        <v>3734</v>
      </c>
    </row>
    <row r="2628">
      <c r="A2628" s="1">
        <v>609.0</v>
      </c>
      <c r="B2628" s="1">
        <v>2.4376459E7</v>
      </c>
      <c r="C2628" s="1">
        <v>1.00206254E8</v>
      </c>
      <c r="D2628" s="1" t="s">
        <v>3736</v>
      </c>
    </row>
    <row r="2629">
      <c r="A2629" s="1">
        <v>602.0</v>
      </c>
      <c r="B2629" s="1">
        <v>2.4373696E7</v>
      </c>
      <c r="C2629" s="1">
        <v>3.78666111E8</v>
      </c>
      <c r="D2629" s="1" t="s">
        <v>3737</v>
      </c>
    </row>
    <row r="2630">
      <c r="A2630" s="1">
        <v>339.0</v>
      </c>
      <c r="B2630" s="1">
        <v>2.437214E7</v>
      </c>
      <c r="C2630" s="1">
        <v>9.9865092E7</v>
      </c>
      <c r="D2630" s="1" t="s">
        <v>2269</v>
      </c>
    </row>
    <row r="2631">
      <c r="A2631" s="1">
        <v>475.0</v>
      </c>
      <c r="B2631" s="1">
        <v>2.4304822E7</v>
      </c>
      <c r="C2631" s="1">
        <v>1.0017072E8</v>
      </c>
      <c r="D2631" s="1" t="s">
        <v>3738</v>
      </c>
    </row>
    <row r="2632">
      <c r="A2632" s="1">
        <v>203.0</v>
      </c>
      <c r="B2632" s="1">
        <v>2.4257003E7</v>
      </c>
      <c r="C2632" s="1">
        <v>9.9677591E7</v>
      </c>
      <c r="D2632" s="17" t="s">
        <v>3739</v>
      </c>
    </row>
    <row r="2633">
      <c r="A2633" s="1">
        <v>531.0</v>
      </c>
      <c r="B2633" s="1">
        <v>2.4253978E7</v>
      </c>
      <c r="C2633" s="1">
        <v>9.9661125E7</v>
      </c>
      <c r="D2633" s="1" t="s">
        <v>1489</v>
      </c>
    </row>
    <row r="2634">
      <c r="A2634" s="1">
        <v>671.0</v>
      </c>
      <c r="B2634" s="1">
        <v>2.4250261E7</v>
      </c>
      <c r="C2634" s="1">
        <v>9.955112E7</v>
      </c>
      <c r="D2634" s="1" t="s">
        <v>3741</v>
      </c>
    </row>
    <row r="2635">
      <c r="A2635" s="1">
        <v>410.0</v>
      </c>
      <c r="B2635" s="1">
        <v>2.4243515E7</v>
      </c>
      <c r="C2635" s="1">
        <v>9.9527446E7</v>
      </c>
      <c r="D2635" s="1" t="s">
        <v>1464</v>
      </c>
    </row>
    <row r="2636">
      <c r="A2636" s="1">
        <v>379.0</v>
      </c>
      <c r="B2636" s="1">
        <v>2.4231787E7</v>
      </c>
      <c r="C2636" s="1">
        <v>9.9463011E7</v>
      </c>
      <c r="D2636" s="1" t="s">
        <v>1555</v>
      </c>
    </row>
    <row r="2637">
      <c r="A2637" s="1">
        <v>570.0</v>
      </c>
      <c r="B2637" s="1">
        <v>2.4166276E7</v>
      </c>
      <c r="C2637" s="1">
        <v>9.9274566E7</v>
      </c>
      <c r="D2637" s="1" t="s">
        <v>3743</v>
      </c>
    </row>
    <row r="2638">
      <c r="A2638" s="1">
        <v>353.0</v>
      </c>
      <c r="B2638" s="1">
        <v>2.4134651E7</v>
      </c>
      <c r="C2638" s="1">
        <v>9.9122373E7</v>
      </c>
      <c r="D2638" s="1" t="s">
        <v>3745</v>
      </c>
    </row>
    <row r="2639">
      <c r="A2639" s="1">
        <v>610.0</v>
      </c>
      <c r="B2639" s="1">
        <v>2.4128452E7</v>
      </c>
      <c r="C2639" s="1">
        <v>1.8895988E8</v>
      </c>
      <c r="D2639" s="1" t="s">
        <v>1912</v>
      </c>
    </row>
    <row r="2640">
      <c r="A2640" s="1">
        <v>716.0</v>
      </c>
      <c r="B2640" s="1">
        <v>2.4104089E7</v>
      </c>
      <c r="C2640" s="1">
        <v>9.9105019E7</v>
      </c>
      <c r="D2640" s="1" t="s">
        <v>3747</v>
      </c>
    </row>
    <row r="2641">
      <c r="A2641" s="1">
        <v>504.0</v>
      </c>
      <c r="B2641" s="1">
        <v>2.4101656E7</v>
      </c>
      <c r="C2641" s="1">
        <v>9.9095795E7</v>
      </c>
      <c r="D2641" s="1" t="s">
        <v>3070</v>
      </c>
    </row>
    <row r="2642">
      <c r="A2642" s="1">
        <v>256.0</v>
      </c>
      <c r="B2642" s="1">
        <v>2.4040086E7</v>
      </c>
      <c r="C2642" s="1">
        <v>9.8823782E7</v>
      </c>
      <c r="D2642" s="1" t="s">
        <v>3749</v>
      </c>
    </row>
    <row r="2643">
      <c r="A2643" s="1">
        <v>694.0</v>
      </c>
      <c r="B2643" s="1">
        <v>2.4017854E7</v>
      </c>
      <c r="C2643" s="1">
        <v>9.876032E7</v>
      </c>
      <c r="D2643" s="1" t="s">
        <v>3750</v>
      </c>
    </row>
    <row r="2644">
      <c r="A2644" s="1">
        <v>651.0</v>
      </c>
      <c r="B2644" s="1">
        <v>2.4011184E7</v>
      </c>
      <c r="C2644" s="1">
        <v>1.77225648E8</v>
      </c>
      <c r="D2644" s="1" t="s">
        <v>3752</v>
      </c>
    </row>
    <row r="2645">
      <c r="A2645" s="1">
        <v>380.0</v>
      </c>
      <c r="B2645" s="1">
        <v>2.3968651E7</v>
      </c>
      <c r="C2645" s="1">
        <v>9.8774322E7</v>
      </c>
      <c r="D2645" s="1" t="s">
        <v>3753</v>
      </c>
    </row>
    <row r="2646">
      <c r="A2646" s="1">
        <v>587.0</v>
      </c>
      <c r="B2646" s="1">
        <v>2.3937968E7</v>
      </c>
      <c r="C2646" s="1">
        <v>9.8423184E7</v>
      </c>
      <c r="D2646" s="1" t="s">
        <v>3755</v>
      </c>
    </row>
    <row r="2647">
      <c r="A2647" s="1">
        <v>609.0</v>
      </c>
      <c r="B2647" s="1">
        <v>2.3831123E7</v>
      </c>
      <c r="C2647" s="1">
        <v>9.801903E7</v>
      </c>
      <c r="D2647" s="1" t="s">
        <v>3756</v>
      </c>
    </row>
    <row r="2648">
      <c r="A2648" s="1">
        <v>353.0</v>
      </c>
      <c r="B2648" s="1">
        <v>2.3791149E7</v>
      </c>
      <c r="C2648" s="1">
        <v>1.68113775E8</v>
      </c>
      <c r="D2648" s="1" t="s">
        <v>262</v>
      </c>
    </row>
    <row r="2649">
      <c r="A2649" s="1">
        <v>616.0</v>
      </c>
      <c r="B2649" s="1">
        <v>2.3772565E7</v>
      </c>
      <c r="C2649" s="1">
        <v>9.7793874E7</v>
      </c>
      <c r="D2649" s="1" t="s">
        <v>3758</v>
      </c>
    </row>
    <row r="2650">
      <c r="A2650" s="1">
        <v>680.0</v>
      </c>
      <c r="B2650" s="1">
        <v>2.3772278E7</v>
      </c>
      <c r="C2650" s="1">
        <v>9.778104E7</v>
      </c>
      <c r="D2650" s="1" t="s">
        <v>3760</v>
      </c>
    </row>
    <row r="2651">
      <c r="A2651" s="1">
        <v>694.0</v>
      </c>
      <c r="B2651" s="1">
        <v>2.3765011E7</v>
      </c>
      <c r="C2651" s="1">
        <v>9.7785101E7</v>
      </c>
      <c r="D2651" s="1" t="s">
        <v>3761</v>
      </c>
    </row>
    <row r="2652">
      <c r="A2652" s="1">
        <v>504.0</v>
      </c>
      <c r="B2652" s="1">
        <v>2.3756754E7</v>
      </c>
      <c r="C2652" s="1">
        <v>9.7783023E7</v>
      </c>
      <c r="D2652" s="1" t="s">
        <v>3763</v>
      </c>
    </row>
    <row r="2653">
      <c r="A2653" s="1">
        <v>665.0</v>
      </c>
      <c r="B2653" s="1">
        <v>2.3744597E7</v>
      </c>
      <c r="C2653" s="1">
        <v>9.7633248E7</v>
      </c>
      <c r="D2653" s="1" t="s">
        <v>2895</v>
      </c>
    </row>
    <row r="2654">
      <c r="A2654" s="1">
        <v>394.0</v>
      </c>
      <c r="B2654" s="1">
        <v>2.3647064E7</v>
      </c>
      <c r="C2654" s="1">
        <v>9.7214654E7</v>
      </c>
      <c r="D2654" s="1" t="s">
        <v>3136</v>
      </c>
    </row>
    <row r="2655">
      <c r="A2655" s="1">
        <v>531.0</v>
      </c>
      <c r="B2655" s="1">
        <v>2.3642415E7</v>
      </c>
      <c r="C2655" s="1">
        <v>9.7236798E7</v>
      </c>
      <c r="D2655" s="1" t="s">
        <v>3225</v>
      </c>
    </row>
    <row r="2656">
      <c r="A2656" s="1">
        <v>353.0</v>
      </c>
      <c r="B2656" s="1">
        <v>2.3475522E7</v>
      </c>
      <c r="C2656" s="1">
        <v>9.659448E7</v>
      </c>
      <c r="D2656" s="1" t="s">
        <v>3765</v>
      </c>
    </row>
    <row r="2657">
      <c r="A2657" s="1">
        <v>609.0</v>
      </c>
      <c r="B2657" s="1">
        <v>2.3427658E7</v>
      </c>
      <c r="C2657" s="1">
        <v>9.6428263E7</v>
      </c>
      <c r="D2657" s="1" t="s">
        <v>3766</v>
      </c>
    </row>
    <row r="2658">
      <c r="A2658" s="1">
        <v>671.0</v>
      </c>
      <c r="B2658" s="1">
        <v>2.340683E7</v>
      </c>
      <c r="C2658" s="1">
        <v>9.6385161E7</v>
      </c>
      <c r="D2658" s="1" t="s">
        <v>652</v>
      </c>
    </row>
    <row r="2659">
      <c r="A2659" s="1">
        <v>694.0</v>
      </c>
      <c r="B2659" s="1">
        <v>2.3403376E7</v>
      </c>
      <c r="C2659" s="1">
        <v>9.6366756E7</v>
      </c>
      <c r="D2659" s="1" t="s">
        <v>3767</v>
      </c>
    </row>
    <row r="2660">
      <c r="A2660" s="1">
        <v>194.0</v>
      </c>
      <c r="B2660" s="1">
        <v>2.3356197E7</v>
      </c>
      <c r="C2660" s="1">
        <v>9.6212746E7</v>
      </c>
      <c r="D2660" s="1" t="s">
        <v>3100</v>
      </c>
    </row>
    <row r="2661">
      <c r="A2661" s="1">
        <v>597.0</v>
      </c>
      <c r="B2661" s="1">
        <v>2.3291282E7</v>
      </c>
      <c r="C2661" s="1">
        <v>9.6169713E7</v>
      </c>
      <c r="D2661" s="1" t="s">
        <v>3768</v>
      </c>
    </row>
    <row r="2662">
      <c r="A2662" s="1">
        <v>578.0</v>
      </c>
      <c r="B2662" s="1">
        <v>2.3265986E7</v>
      </c>
      <c r="C2662" s="1">
        <v>9.5820624E7</v>
      </c>
      <c r="D2662" s="1" t="s">
        <v>3502</v>
      </c>
    </row>
    <row r="2663">
      <c r="A2663" s="1">
        <v>410.0</v>
      </c>
      <c r="B2663" s="1">
        <v>2.3191315E7</v>
      </c>
      <c r="C2663" s="1">
        <v>9.5836001E7</v>
      </c>
      <c r="D2663" s="1" t="s">
        <v>3769</v>
      </c>
    </row>
    <row r="2664">
      <c r="A2664" s="1">
        <v>120.0</v>
      </c>
      <c r="B2664" s="1">
        <v>2.3151618E7</v>
      </c>
      <c r="C2664" s="1">
        <v>9.5283308E7</v>
      </c>
      <c r="D2664" s="1" t="s">
        <v>3770</v>
      </c>
    </row>
    <row r="2665">
      <c r="A2665" s="1">
        <v>461.0</v>
      </c>
      <c r="B2665" s="1">
        <v>2.3135443E7</v>
      </c>
      <c r="C2665" s="1">
        <v>9.5298742E7</v>
      </c>
      <c r="D2665" s="1" t="s">
        <v>3771</v>
      </c>
    </row>
    <row r="2666">
      <c r="A2666" s="1">
        <v>120.0</v>
      </c>
      <c r="B2666" s="1">
        <v>2.3125684E7</v>
      </c>
      <c r="C2666" s="1">
        <v>9.5260081E7</v>
      </c>
      <c r="D2666" s="1" t="s">
        <v>3772</v>
      </c>
    </row>
    <row r="2667">
      <c r="A2667" s="1">
        <v>473.0</v>
      </c>
      <c r="B2667" s="1">
        <v>2.3102647E7</v>
      </c>
      <c r="C2667" s="1">
        <v>9.5097012E7</v>
      </c>
      <c r="D2667" s="1" t="s">
        <v>776</v>
      </c>
    </row>
    <row r="2668">
      <c r="A2668" s="1">
        <v>609.0</v>
      </c>
      <c r="B2668" s="1">
        <v>2.3084641E7</v>
      </c>
      <c r="C2668" s="1">
        <v>9.5198267E7</v>
      </c>
      <c r="D2668" s="1" t="s">
        <v>3774</v>
      </c>
    </row>
    <row r="2669">
      <c r="A2669" s="1">
        <v>410.0</v>
      </c>
      <c r="B2669" s="1">
        <v>2.3081523E7</v>
      </c>
      <c r="C2669" s="1">
        <v>9.5178905E7</v>
      </c>
      <c r="D2669" s="1" t="s">
        <v>3776</v>
      </c>
    </row>
    <row r="2670">
      <c r="A2670" s="1">
        <v>575.0</v>
      </c>
      <c r="B2670" s="1">
        <v>2.3036798E7</v>
      </c>
      <c r="C2670" s="1">
        <v>9.4937585E7</v>
      </c>
      <c r="D2670" s="1" t="s">
        <v>1213</v>
      </c>
    </row>
    <row r="2671">
      <c r="A2671" s="1">
        <v>677.0</v>
      </c>
      <c r="B2671" s="1">
        <v>2.2999342E7</v>
      </c>
      <c r="C2671" s="1">
        <v>9.4909676E7</v>
      </c>
      <c r="D2671" s="1" t="s">
        <v>3778</v>
      </c>
    </row>
    <row r="2672">
      <c r="A2672" s="1">
        <v>557.0</v>
      </c>
      <c r="B2672" s="1">
        <v>2.2835227E7</v>
      </c>
      <c r="C2672" s="1">
        <v>9.4201955E7</v>
      </c>
      <c r="D2672" s="1" t="s">
        <v>3779</v>
      </c>
    </row>
    <row r="2673">
      <c r="A2673" s="1">
        <v>394.0</v>
      </c>
      <c r="B2673" s="1">
        <v>2.2825944E7</v>
      </c>
      <c r="C2673" s="1">
        <v>9.4025954E7</v>
      </c>
      <c r="D2673" s="1" t="s">
        <v>3781</v>
      </c>
    </row>
    <row r="2674">
      <c r="A2674" s="1">
        <v>716.0</v>
      </c>
      <c r="B2674" s="1">
        <v>2.2754366E7</v>
      </c>
      <c r="C2674" s="1">
        <v>9.3859609E7</v>
      </c>
      <c r="D2674" s="1" t="s">
        <v>3782</v>
      </c>
    </row>
    <row r="2675">
      <c r="A2675" s="1">
        <v>602.0</v>
      </c>
      <c r="B2675" s="1">
        <v>2.2753938E7</v>
      </c>
      <c r="C2675" s="1">
        <v>9.4226022E7</v>
      </c>
      <c r="D2675" s="1" t="s">
        <v>3783</v>
      </c>
    </row>
    <row r="2676">
      <c r="A2676" s="1">
        <v>587.0</v>
      </c>
      <c r="B2676" s="1">
        <v>2.2719788E7</v>
      </c>
      <c r="C2676" s="1">
        <v>9.3660984E7</v>
      </c>
      <c r="D2676" s="1" t="s">
        <v>3784</v>
      </c>
    </row>
    <row r="2677">
      <c r="A2677" s="1">
        <v>609.0</v>
      </c>
      <c r="B2677" s="1">
        <v>2.2609265E7</v>
      </c>
      <c r="C2677" s="1">
        <v>9.4300926E7</v>
      </c>
      <c r="D2677" s="1" t="s">
        <v>3785</v>
      </c>
    </row>
    <row r="2678">
      <c r="A2678" s="1">
        <v>609.0</v>
      </c>
      <c r="B2678" s="1">
        <v>2.2575798E7</v>
      </c>
      <c r="C2678" s="1">
        <v>9.3134576E7</v>
      </c>
      <c r="D2678" s="1" t="s">
        <v>3786</v>
      </c>
    </row>
    <row r="2679">
      <c r="A2679" s="1">
        <v>504.0</v>
      </c>
      <c r="B2679" s="1">
        <v>2.2565784E7</v>
      </c>
      <c r="C2679" s="1">
        <v>1.00877869E8</v>
      </c>
      <c r="D2679" s="1" t="s">
        <v>3787</v>
      </c>
    </row>
    <row r="2680">
      <c r="A2680" s="1">
        <v>410.0</v>
      </c>
      <c r="B2680" s="1">
        <v>2.2535483E7</v>
      </c>
      <c r="C2680" s="1">
        <v>1.66847392E8</v>
      </c>
      <c r="D2680" s="1" t="s">
        <v>3788</v>
      </c>
    </row>
    <row r="2681">
      <c r="A2681" s="1">
        <v>380.0</v>
      </c>
      <c r="B2681" s="1">
        <v>2.250623E7</v>
      </c>
      <c r="C2681" s="1">
        <v>9.3128958E7</v>
      </c>
      <c r="D2681" s="1" t="s">
        <v>3789</v>
      </c>
    </row>
    <row r="2682">
      <c r="A2682" s="1">
        <v>410.0</v>
      </c>
      <c r="B2682" s="1">
        <v>2.2477092E7</v>
      </c>
      <c r="C2682" s="1">
        <v>9.2962101E7</v>
      </c>
      <c r="D2682" s="1" t="s">
        <v>3790</v>
      </c>
    </row>
    <row r="2683">
      <c r="A2683" s="1">
        <v>504.0</v>
      </c>
      <c r="B2683" s="1">
        <v>2.2467115E7</v>
      </c>
      <c r="C2683" s="1">
        <v>9.2709485E7</v>
      </c>
      <c r="D2683" s="1" t="s">
        <v>404</v>
      </c>
    </row>
    <row r="2684">
      <c r="A2684" s="1">
        <v>337.0</v>
      </c>
      <c r="B2684" s="1">
        <v>2.2466768E7</v>
      </c>
      <c r="C2684" s="1">
        <v>9.2717759E7</v>
      </c>
      <c r="D2684" s="1" t="s">
        <v>3791</v>
      </c>
    </row>
    <row r="2685">
      <c r="A2685" s="1">
        <v>504.0</v>
      </c>
      <c r="B2685" s="1">
        <v>2.2422819E7</v>
      </c>
      <c r="C2685" s="1">
        <v>9.2526538E7</v>
      </c>
      <c r="D2685" s="1" t="s">
        <v>3228</v>
      </c>
    </row>
    <row r="2686">
      <c r="A2686" s="1">
        <v>667.0</v>
      </c>
      <c r="B2686" s="1">
        <v>2.2412014E7</v>
      </c>
      <c r="C2686" s="1">
        <v>9.2523897E7</v>
      </c>
      <c r="D2686" s="1" t="s">
        <v>3792</v>
      </c>
    </row>
    <row r="2687">
      <c r="A2687" s="1">
        <v>571.0</v>
      </c>
      <c r="B2687" s="1">
        <v>2.2402368E7</v>
      </c>
      <c r="C2687" s="1">
        <v>4.40606039E8</v>
      </c>
      <c r="D2687" s="1" t="s">
        <v>3793</v>
      </c>
    </row>
    <row r="2688">
      <c r="A2688" s="1">
        <v>504.0</v>
      </c>
      <c r="B2688" s="1">
        <v>2.2394963E7</v>
      </c>
      <c r="C2688" s="1">
        <v>9.2518658E7</v>
      </c>
      <c r="D2688" s="1" t="s">
        <v>3794</v>
      </c>
    </row>
    <row r="2689">
      <c r="A2689" s="1">
        <v>571.0</v>
      </c>
      <c r="B2689" s="1">
        <v>2.2383545E7</v>
      </c>
      <c r="C2689" s="1">
        <v>9.2427933E7</v>
      </c>
      <c r="D2689" s="1" t="s">
        <v>3795</v>
      </c>
    </row>
    <row r="2690">
      <c r="A2690" s="1">
        <v>120.0</v>
      </c>
      <c r="B2690" s="1">
        <v>2.238182E7</v>
      </c>
      <c r="C2690" s="1">
        <v>9.233508E7</v>
      </c>
      <c r="D2690" s="1" t="s">
        <v>3780</v>
      </c>
    </row>
    <row r="2691">
      <c r="A2691" s="1">
        <v>571.0</v>
      </c>
      <c r="B2691" s="1">
        <v>2.2349633E7</v>
      </c>
      <c r="C2691" s="1">
        <v>1.01544801E8</v>
      </c>
      <c r="D2691" s="1" t="s">
        <v>302</v>
      </c>
    </row>
    <row r="2692">
      <c r="A2692" s="1">
        <v>578.0</v>
      </c>
      <c r="B2692" s="1">
        <v>2.2326738E7</v>
      </c>
      <c r="C2692" s="1">
        <v>9.2348593E7</v>
      </c>
      <c r="D2692" s="1" t="s">
        <v>3796</v>
      </c>
    </row>
    <row r="2693">
      <c r="A2693" s="1">
        <v>671.0</v>
      </c>
      <c r="B2693" s="1">
        <v>2.2281097E7</v>
      </c>
      <c r="C2693" s="1">
        <v>9.2027394E7</v>
      </c>
      <c r="D2693" s="1" t="s">
        <v>3797</v>
      </c>
    </row>
    <row r="2694">
      <c r="A2694" s="1">
        <v>380.0</v>
      </c>
      <c r="B2694" s="1">
        <v>2.2270756E7</v>
      </c>
      <c r="C2694" s="1">
        <v>9.1845005E7</v>
      </c>
      <c r="D2694" s="1" t="s">
        <v>3798</v>
      </c>
    </row>
    <row r="2695">
      <c r="A2695" s="1">
        <v>380.0</v>
      </c>
      <c r="B2695" s="1">
        <v>2.2258815E7</v>
      </c>
      <c r="C2695" s="1">
        <v>9.1854873E7</v>
      </c>
      <c r="D2695" s="1" t="s">
        <v>3799</v>
      </c>
    </row>
    <row r="2696">
      <c r="A2696" s="1">
        <v>281.0</v>
      </c>
      <c r="B2696" s="1">
        <v>2.2255292E7</v>
      </c>
      <c r="C2696" s="1">
        <v>1.68807032E8</v>
      </c>
      <c r="D2696" s="1" t="s">
        <v>3800</v>
      </c>
    </row>
    <row r="2697">
      <c r="A2697" s="1">
        <v>410.0</v>
      </c>
      <c r="B2697" s="1">
        <v>2.2248429E7</v>
      </c>
      <c r="C2697" s="1">
        <v>9.2065607E7</v>
      </c>
      <c r="D2697" s="1" t="s">
        <v>1344</v>
      </c>
    </row>
    <row r="2698">
      <c r="A2698" s="1">
        <v>663.0</v>
      </c>
      <c r="B2698" s="1">
        <v>2.2228119E7</v>
      </c>
      <c r="C2698" s="1">
        <v>9.1669538E7</v>
      </c>
      <c r="D2698" s="1" t="s">
        <v>2444</v>
      </c>
    </row>
    <row r="2699">
      <c r="A2699" s="1">
        <v>694.0</v>
      </c>
      <c r="B2699" s="1">
        <v>2.2209409E7</v>
      </c>
      <c r="C2699" s="1">
        <v>9.1666891E7</v>
      </c>
      <c r="D2699" s="1" t="s">
        <v>3801</v>
      </c>
    </row>
    <row r="2700">
      <c r="A2700" s="1">
        <v>210.0</v>
      </c>
      <c r="B2700" s="1">
        <v>2.2128634E7</v>
      </c>
      <c r="C2700" s="1">
        <v>9.1295009E7</v>
      </c>
      <c r="D2700" s="1" t="s">
        <v>3802</v>
      </c>
    </row>
    <row r="2701">
      <c r="A2701" s="1">
        <v>244.0</v>
      </c>
      <c r="B2701" s="1">
        <v>2.2054861E7</v>
      </c>
      <c r="C2701" s="1">
        <v>9.1293008E7</v>
      </c>
      <c r="D2701" s="1" t="s">
        <v>3803</v>
      </c>
    </row>
    <row r="2702">
      <c r="A2702" s="1">
        <v>616.0</v>
      </c>
      <c r="B2702" s="1">
        <v>2.2043295E7</v>
      </c>
      <c r="C2702" s="1">
        <v>2.21060284E8</v>
      </c>
      <c r="D2702" s="1" t="s">
        <v>3804</v>
      </c>
    </row>
    <row r="2703">
      <c r="A2703" s="1">
        <v>673.0</v>
      </c>
      <c r="B2703" s="1">
        <v>2.2034887E7</v>
      </c>
      <c r="C2703" s="1">
        <v>9.1143898E7</v>
      </c>
      <c r="D2703" s="1" t="s">
        <v>681</v>
      </c>
    </row>
    <row r="2704">
      <c r="A2704" s="1">
        <v>712.0</v>
      </c>
      <c r="B2704" s="1">
        <v>2.2020136E7</v>
      </c>
      <c r="C2704" s="1">
        <v>9.0921336E7</v>
      </c>
      <c r="D2704" s="1" t="s">
        <v>502</v>
      </c>
    </row>
    <row r="2705">
      <c r="A2705" s="1">
        <v>702.0</v>
      </c>
      <c r="B2705" s="1">
        <v>2.2000003E7</v>
      </c>
      <c r="C2705" s="1">
        <v>9.0921141E7</v>
      </c>
      <c r="D2705" s="1" t="s">
        <v>402</v>
      </c>
    </row>
    <row r="2706">
      <c r="A2706" s="1">
        <v>210.0</v>
      </c>
      <c r="B2706" s="1">
        <v>2.1978827E7</v>
      </c>
      <c r="C2706" s="1">
        <v>2.61693291E8</v>
      </c>
      <c r="D2706" s="1" t="s">
        <v>1033</v>
      </c>
    </row>
    <row r="2707">
      <c r="A2707" s="1">
        <v>378.0</v>
      </c>
      <c r="B2707" s="1">
        <v>2.1943624E7</v>
      </c>
      <c r="C2707" s="1">
        <v>9.0587646E7</v>
      </c>
      <c r="D2707" s="1" t="s">
        <v>3807</v>
      </c>
    </row>
    <row r="2708">
      <c r="A2708" s="1">
        <v>712.0</v>
      </c>
      <c r="B2708" s="1">
        <v>2.1929757E7</v>
      </c>
      <c r="C2708" s="1">
        <v>9.0559575E7</v>
      </c>
      <c r="D2708" s="1" t="s">
        <v>3808</v>
      </c>
    </row>
    <row r="2709">
      <c r="A2709" s="1">
        <v>484.0</v>
      </c>
      <c r="B2709" s="1">
        <v>2.191972E7</v>
      </c>
      <c r="C2709" s="1">
        <v>9.0719919E7</v>
      </c>
      <c r="D2709" s="1" t="s">
        <v>2401</v>
      </c>
    </row>
    <row r="2710">
      <c r="A2710" s="1">
        <v>120.0</v>
      </c>
      <c r="B2710" s="1">
        <v>2.1907218E7</v>
      </c>
      <c r="C2710" s="1">
        <v>9.0555806E7</v>
      </c>
      <c r="D2710" s="1" t="s">
        <v>3809</v>
      </c>
    </row>
    <row r="2711">
      <c r="A2711" s="1">
        <v>716.0</v>
      </c>
      <c r="B2711" s="1">
        <v>2.1858179E7</v>
      </c>
      <c r="C2711" s="1">
        <v>9.0363188E7</v>
      </c>
      <c r="D2711" s="1" t="s">
        <v>3810</v>
      </c>
    </row>
    <row r="2712">
      <c r="A2712" s="1">
        <v>601.0</v>
      </c>
      <c r="B2712" s="1">
        <v>2.1841185E7</v>
      </c>
      <c r="C2712" s="1">
        <v>9.0556939E7</v>
      </c>
      <c r="D2712" s="1" t="s">
        <v>2387</v>
      </c>
    </row>
    <row r="2713">
      <c r="A2713" s="1">
        <v>142.0</v>
      </c>
      <c r="B2713" s="1">
        <v>2.1806143E7</v>
      </c>
      <c r="C2713" s="1">
        <v>9.0637634E7</v>
      </c>
      <c r="D2713" s="1" t="s">
        <v>3811</v>
      </c>
    </row>
    <row r="2714">
      <c r="A2714" s="1">
        <v>419.0</v>
      </c>
      <c r="B2714" s="1">
        <v>2.1800561E7</v>
      </c>
      <c r="C2714" s="1">
        <v>1.92065739E8</v>
      </c>
      <c r="D2714" s="1" t="s">
        <v>3402</v>
      </c>
    </row>
    <row r="2715">
      <c r="A2715" s="1">
        <v>679.0</v>
      </c>
      <c r="B2715" s="1">
        <v>2.1797591E7</v>
      </c>
      <c r="C2715" s="1">
        <v>9.0027926E7</v>
      </c>
      <c r="D2715" s="1" t="s">
        <v>1183</v>
      </c>
    </row>
    <row r="2716">
      <c r="A2716" s="1">
        <v>565.0</v>
      </c>
      <c r="B2716" s="1">
        <v>2.1788756E7</v>
      </c>
      <c r="C2716" s="1">
        <v>4.10729022E8</v>
      </c>
      <c r="D2716" s="1" t="s">
        <v>3813</v>
      </c>
    </row>
    <row r="2717">
      <c r="A2717" s="1">
        <v>557.0</v>
      </c>
      <c r="B2717" s="1">
        <v>2.1765979E7</v>
      </c>
      <c r="C2717" s="1">
        <v>9.0013611E7</v>
      </c>
      <c r="D2717" s="1" t="s">
        <v>1683</v>
      </c>
    </row>
    <row r="2718">
      <c r="A2718" s="1">
        <v>671.0</v>
      </c>
      <c r="B2718" s="1">
        <v>2.1723933E7</v>
      </c>
      <c r="C2718" s="1">
        <v>8.9860316E7</v>
      </c>
      <c r="D2718" s="1" t="s">
        <v>3815</v>
      </c>
    </row>
    <row r="2719">
      <c r="A2719" s="1">
        <v>716.0</v>
      </c>
      <c r="B2719" s="1">
        <v>2.1721765E7</v>
      </c>
      <c r="C2719" s="1">
        <v>8.9798454E7</v>
      </c>
      <c r="D2719" s="1" t="s">
        <v>3816</v>
      </c>
    </row>
    <row r="2720">
      <c r="A2720" s="1">
        <v>504.0</v>
      </c>
      <c r="B2720" s="1">
        <v>2.1709747E7</v>
      </c>
      <c r="C2720" s="1">
        <v>8.980304E7</v>
      </c>
      <c r="D2720" s="1" t="s">
        <v>3817</v>
      </c>
    </row>
    <row r="2721">
      <c r="A2721" s="1">
        <v>504.0</v>
      </c>
      <c r="B2721" s="1">
        <v>2.1647435E7</v>
      </c>
      <c r="C2721" s="1">
        <v>8.9428313E7</v>
      </c>
      <c r="D2721" s="1" t="s">
        <v>3818</v>
      </c>
    </row>
    <row r="2722">
      <c r="A2722" s="1">
        <v>531.0</v>
      </c>
      <c r="B2722" s="1">
        <v>2.1638663E7</v>
      </c>
      <c r="C2722" s="1">
        <v>8.945313E7</v>
      </c>
      <c r="D2722" s="1" t="s">
        <v>3819</v>
      </c>
    </row>
    <row r="2723">
      <c r="A2723" s="1">
        <v>503.0</v>
      </c>
      <c r="B2723" s="1">
        <v>2.1588987E7</v>
      </c>
      <c r="C2723" s="1">
        <v>8.9694986E7</v>
      </c>
      <c r="D2723" s="1" t="s">
        <v>3820</v>
      </c>
    </row>
    <row r="2724">
      <c r="A2724" s="1">
        <v>571.0</v>
      </c>
      <c r="B2724" s="1">
        <v>2.1490349E7</v>
      </c>
      <c r="C2724" s="1">
        <v>2.38703347E8</v>
      </c>
      <c r="D2724" s="1" t="s">
        <v>3180</v>
      </c>
    </row>
    <row r="2725">
      <c r="A2725" s="1">
        <v>488.0</v>
      </c>
      <c r="B2725" s="1">
        <v>2.1396737E7</v>
      </c>
      <c r="C2725" s="1">
        <v>8.8529374E7</v>
      </c>
      <c r="D2725" s="1" t="s">
        <v>2042</v>
      </c>
    </row>
    <row r="2726">
      <c r="A2726" s="1">
        <v>694.0</v>
      </c>
      <c r="B2726" s="1">
        <v>2.1350622E7</v>
      </c>
      <c r="C2726" s="1">
        <v>8.8361951E7</v>
      </c>
      <c r="D2726" s="1" t="s">
        <v>1910</v>
      </c>
    </row>
    <row r="2727">
      <c r="A2727" s="1">
        <v>531.0</v>
      </c>
      <c r="B2727" s="1">
        <v>2.1305791E7</v>
      </c>
      <c r="C2727" s="1">
        <v>8.8351102E7</v>
      </c>
      <c r="D2727" s="1" t="s">
        <v>3821</v>
      </c>
    </row>
    <row r="2728">
      <c r="A2728" s="1">
        <v>120.0</v>
      </c>
      <c r="B2728" s="1">
        <v>2.1297411E7</v>
      </c>
      <c r="C2728" s="1">
        <v>8.816769E7</v>
      </c>
      <c r="D2728" s="1" t="s">
        <v>3822</v>
      </c>
    </row>
    <row r="2729">
      <c r="A2729" s="1">
        <v>667.0</v>
      </c>
      <c r="B2729" s="1">
        <v>2.1281849E7</v>
      </c>
      <c r="C2729" s="1">
        <v>8.8336748E7</v>
      </c>
      <c r="D2729" s="1" t="s">
        <v>1665</v>
      </c>
    </row>
    <row r="2730">
      <c r="A2730" s="1">
        <v>503.0</v>
      </c>
      <c r="B2730" s="1">
        <v>2.1267437E7</v>
      </c>
      <c r="C2730" s="1">
        <v>8.8240139E7</v>
      </c>
      <c r="D2730" s="1" t="s">
        <v>3823</v>
      </c>
    </row>
    <row r="2731">
      <c r="A2731" s="1">
        <v>671.0</v>
      </c>
      <c r="B2731" s="1">
        <v>2.1199967E7</v>
      </c>
      <c r="C2731" s="1">
        <v>2.22820493E8</v>
      </c>
      <c r="D2731" s="1" t="s">
        <v>3825</v>
      </c>
    </row>
    <row r="2732">
      <c r="A2732" s="1">
        <v>392.0</v>
      </c>
      <c r="B2732" s="1">
        <v>2.1140526E7</v>
      </c>
      <c r="C2732" s="1">
        <v>8.76342E7</v>
      </c>
      <c r="D2732" s="1" t="s">
        <v>3031</v>
      </c>
    </row>
    <row r="2733">
      <c r="A2733" s="1">
        <v>665.0</v>
      </c>
      <c r="B2733" s="1">
        <v>2.1115169E7</v>
      </c>
      <c r="C2733" s="1">
        <v>8.750653E7</v>
      </c>
      <c r="D2733" s="1" t="s">
        <v>3826</v>
      </c>
    </row>
    <row r="2734">
      <c r="A2734" s="1">
        <v>173.0</v>
      </c>
      <c r="B2734" s="1">
        <v>2.1107332E7</v>
      </c>
      <c r="C2734" s="1">
        <v>8.7539118E7</v>
      </c>
      <c r="D2734" s="1" t="s">
        <v>3827</v>
      </c>
    </row>
    <row r="2735">
      <c r="A2735" s="1">
        <v>414.0</v>
      </c>
      <c r="B2735" s="1">
        <v>2.1106501E7</v>
      </c>
      <c r="C2735" s="1">
        <v>8.7451411E7</v>
      </c>
      <c r="D2735" s="1" t="s">
        <v>3828</v>
      </c>
    </row>
    <row r="2736">
      <c r="A2736" s="1">
        <v>716.0</v>
      </c>
      <c r="B2736" s="1">
        <v>2.1080321E7</v>
      </c>
      <c r="C2736" s="1">
        <v>8.7472319E7</v>
      </c>
      <c r="D2736" s="1" t="s">
        <v>3829</v>
      </c>
    </row>
    <row r="2737">
      <c r="A2737" s="1">
        <v>503.0</v>
      </c>
      <c r="B2737" s="1">
        <v>2.1060097E7</v>
      </c>
      <c r="C2737" s="1">
        <v>8.7334325E7</v>
      </c>
      <c r="D2737" s="1" t="s">
        <v>3830</v>
      </c>
    </row>
    <row r="2738">
      <c r="A2738" s="1">
        <v>365.0</v>
      </c>
      <c r="B2738" s="1">
        <v>2.1040485E7</v>
      </c>
      <c r="C2738" s="1">
        <v>8.7490626E7</v>
      </c>
      <c r="D2738" s="1" t="s">
        <v>3831</v>
      </c>
    </row>
    <row r="2739">
      <c r="A2739" s="1">
        <v>120.0</v>
      </c>
      <c r="B2739" s="1">
        <v>2.1005703E7</v>
      </c>
      <c r="C2739" s="1">
        <v>8.7077971E7</v>
      </c>
      <c r="D2739" s="1" t="s">
        <v>3832</v>
      </c>
    </row>
    <row r="2740">
      <c r="A2740" s="1">
        <v>713.0</v>
      </c>
      <c r="B2740" s="1">
        <v>2.1003108E7</v>
      </c>
      <c r="C2740" s="1">
        <v>8.7094028E7</v>
      </c>
      <c r="D2740" s="1" t="s">
        <v>3833</v>
      </c>
    </row>
    <row r="2741">
      <c r="A2741" s="1">
        <v>694.0</v>
      </c>
      <c r="B2741" s="1">
        <v>2.0997401E7</v>
      </c>
      <c r="C2741" s="1">
        <v>8.7095889E7</v>
      </c>
      <c r="D2741" s="1" t="s">
        <v>913</v>
      </c>
    </row>
    <row r="2742">
      <c r="A2742" s="1">
        <v>601.0</v>
      </c>
      <c r="B2742" s="1">
        <v>2.0995494E7</v>
      </c>
      <c r="C2742" s="1">
        <v>8.7269939E7</v>
      </c>
      <c r="D2742" s="1" t="s">
        <v>3835</v>
      </c>
    </row>
    <row r="2743">
      <c r="A2743" s="1">
        <v>716.0</v>
      </c>
      <c r="B2743" s="1">
        <v>2.0983185E7</v>
      </c>
      <c r="C2743" s="1">
        <v>8.7103939E7</v>
      </c>
      <c r="D2743" s="1" t="s">
        <v>399</v>
      </c>
    </row>
    <row r="2744">
      <c r="A2744" s="1">
        <v>120.0</v>
      </c>
      <c r="B2744" s="1">
        <v>2.0947899E7</v>
      </c>
      <c r="C2744" s="1">
        <v>8.6915762E7</v>
      </c>
      <c r="D2744" s="1" t="s">
        <v>3837</v>
      </c>
    </row>
    <row r="2745">
      <c r="A2745" s="1">
        <v>662.0</v>
      </c>
      <c r="B2745" s="1">
        <v>2.0933481E7</v>
      </c>
      <c r="C2745" s="1">
        <v>8.6771325E7</v>
      </c>
      <c r="D2745" s="25" t="str">
        <f>+17806162531: What tim rare u guys open till</f>
        <v>#ERROR!</v>
      </c>
    </row>
    <row r="2746">
      <c r="A2746" s="1">
        <v>394.0</v>
      </c>
      <c r="B2746" s="1">
        <v>2.0883626E7</v>
      </c>
      <c r="C2746" s="1">
        <v>4.64623473E8</v>
      </c>
      <c r="D2746" s="1" t="s">
        <v>3841</v>
      </c>
    </row>
    <row r="2747">
      <c r="A2747" s="1">
        <v>410.0</v>
      </c>
      <c r="B2747" s="1">
        <v>2.0879315E7</v>
      </c>
      <c r="C2747" s="1">
        <v>8.6664026E7</v>
      </c>
      <c r="D2747" s="1" t="s">
        <v>3843</v>
      </c>
    </row>
    <row r="2748">
      <c r="A2748" s="1">
        <v>427.0</v>
      </c>
      <c r="B2748" s="1">
        <v>2.0869889E7</v>
      </c>
      <c r="C2748" s="1">
        <v>8.6599729E7</v>
      </c>
      <c r="D2748" s="1" t="s">
        <v>3844</v>
      </c>
    </row>
    <row r="2749">
      <c r="A2749" s="1">
        <v>578.0</v>
      </c>
      <c r="B2749" s="1">
        <v>2.0867614E7</v>
      </c>
      <c r="C2749" s="1">
        <v>8.6633184E7</v>
      </c>
      <c r="D2749" s="1" t="s">
        <v>3846</v>
      </c>
    </row>
    <row r="2750">
      <c r="A2750" s="1">
        <v>378.0</v>
      </c>
      <c r="B2750" s="1">
        <v>2.0824444E7</v>
      </c>
      <c r="C2750" s="1">
        <v>8.6459688E7</v>
      </c>
      <c r="D2750" s="1" t="s">
        <v>3847</v>
      </c>
    </row>
    <row r="2751">
      <c r="A2751" s="1">
        <v>410.0</v>
      </c>
      <c r="B2751" s="1">
        <v>2.0811566E7</v>
      </c>
      <c r="C2751" s="1">
        <v>8.6507879E7</v>
      </c>
      <c r="D2751" s="1" t="s">
        <v>3849</v>
      </c>
    </row>
    <row r="2752">
      <c r="A2752" s="1">
        <v>610.0</v>
      </c>
      <c r="B2752" s="1">
        <v>2.0808332E7</v>
      </c>
      <c r="C2752" s="1">
        <v>8.6756695E7</v>
      </c>
      <c r="D2752" s="1" t="s">
        <v>3537</v>
      </c>
    </row>
    <row r="2753">
      <c r="A2753" s="1">
        <v>578.0</v>
      </c>
      <c r="B2753" s="1">
        <v>2.0752431E7</v>
      </c>
      <c r="C2753" s="1">
        <v>8.6318417E7</v>
      </c>
      <c r="D2753" s="1" t="s">
        <v>3851</v>
      </c>
    </row>
    <row r="2754">
      <c r="A2754" s="1">
        <v>694.0</v>
      </c>
      <c r="B2754" s="1">
        <v>2.0669455E7</v>
      </c>
      <c r="C2754" s="1">
        <v>8.5912857E7</v>
      </c>
      <c r="D2754" s="1" t="s">
        <v>3852</v>
      </c>
    </row>
    <row r="2755">
      <c r="A2755" s="1">
        <v>604.0</v>
      </c>
      <c r="B2755" s="1">
        <v>2.0607374E7</v>
      </c>
      <c r="C2755" s="1">
        <v>8.5650956E7</v>
      </c>
      <c r="D2755" s="1" t="s">
        <v>3394</v>
      </c>
    </row>
    <row r="2756">
      <c r="A2756" s="1">
        <v>470.0</v>
      </c>
      <c r="B2756" s="1">
        <v>2.0574864E7</v>
      </c>
      <c r="C2756" s="1">
        <v>8.5585058E7</v>
      </c>
      <c r="D2756" s="1" t="s">
        <v>3854</v>
      </c>
    </row>
    <row r="2757">
      <c r="A2757" s="1">
        <v>716.0</v>
      </c>
      <c r="B2757" s="1">
        <v>2.0520019E7</v>
      </c>
      <c r="C2757" s="1">
        <v>1.59973652E8</v>
      </c>
      <c r="D2757" s="1" t="s">
        <v>3379</v>
      </c>
    </row>
    <row r="2758">
      <c r="A2758" s="1">
        <v>671.0</v>
      </c>
      <c r="B2758" s="1">
        <v>2.0505203E7</v>
      </c>
      <c r="C2758" s="1">
        <v>8.5234622E7</v>
      </c>
      <c r="D2758" s="1" t="s">
        <v>3856</v>
      </c>
    </row>
    <row r="2759">
      <c r="A2759" s="1">
        <v>665.0</v>
      </c>
      <c r="B2759" s="1">
        <v>2.0486572E7</v>
      </c>
      <c r="C2759" s="1">
        <v>2.15824843E8</v>
      </c>
      <c r="D2759" s="1" t="s">
        <v>3859</v>
      </c>
    </row>
    <row r="2760">
      <c r="A2760" s="1">
        <v>120.0</v>
      </c>
      <c r="B2760" s="1">
        <v>2.0484881E7</v>
      </c>
      <c r="C2760" s="1">
        <v>8.517648E7</v>
      </c>
      <c r="D2760" s="1" t="s">
        <v>667</v>
      </c>
    </row>
    <row r="2761">
      <c r="A2761" s="1">
        <v>379.0</v>
      </c>
      <c r="B2761" s="1">
        <v>2.0479758E7</v>
      </c>
      <c r="C2761" s="1">
        <v>1.8780335E8</v>
      </c>
      <c r="D2761" s="1" t="s">
        <v>3391</v>
      </c>
    </row>
    <row r="2762">
      <c r="A2762" s="1">
        <v>120.0</v>
      </c>
      <c r="B2762" s="1">
        <v>2.0460043E7</v>
      </c>
      <c r="C2762" s="1">
        <v>8.4989247E7</v>
      </c>
      <c r="D2762" s="1" t="s">
        <v>3864</v>
      </c>
    </row>
    <row r="2763">
      <c r="A2763" s="1">
        <v>421.0</v>
      </c>
      <c r="B2763" s="1">
        <v>2.0436317E7</v>
      </c>
      <c r="C2763" s="1">
        <v>8.5046823E7</v>
      </c>
      <c r="D2763" s="1" t="s">
        <v>3865</v>
      </c>
    </row>
    <row r="2764">
      <c r="A2764" s="1">
        <v>142.0</v>
      </c>
      <c r="B2764" s="1">
        <v>2.040869E7</v>
      </c>
      <c r="C2764" s="1">
        <v>8.5412794E7</v>
      </c>
      <c r="D2764" s="1" t="s">
        <v>3867</v>
      </c>
    </row>
    <row r="2765">
      <c r="A2765" s="1">
        <v>671.0</v>
      </c>
      <c r="B2765" s="1">
        <v>2.0383115E7</v>
      </c>
      <c r="C2765" s="1">
        <v>8.4880782E7</v>
      </c>
      <c r="D2765" s="1" t="s">
        <v>395</v>
      </c>
    </row>
    <row r="2766">
      <c r="A2766" s="1">
        <v>225.0</v>
      </c>
      <c r="B2766" s="1">
        <v>2.0344605E7</v>
      </c>
      <c r="C2766" s="1">
        <v>8.4696673E7</v>
      </c>
      <c r="D2766" s="1" t="s">
        <v>3869</v>
      </c>
    </row>
    <row r="2767">
      <c r="A2767" s="1">
        <v>458.0</v>
      </c>
      <c r="B2767" s="1">
        <v>2.0342068E7</v>
      </c>
      <c r="C2767" s="1">
        <v>8.4640485E7</v>
      </c>
      <c r="D2767" s="1" t="s">
        <v>3871</v>
      </c>
    </row>
    <row r="2768">
      <c r="A2768" s="1">
        <v>671.0</v>
      </c>
      <c r="B2768" s="1">
        <v>2.0340641E7</v>
      </c>
      <c r="C2768" s="1">
        <v>8.5209457E7</v>
      </c>
      <c r="D2768" s="1" t="s">
        <v>191</v>
      </c>
    </row>
    <row r="2769">
      <c r="A2769" s="1">
        <v>378.0</v>
      </c>
      <c r="B2769" s="1">
        <v>2.0314157E7</v>
      </c>
      <c r="C2769" s="1">
        <v>8.4471716E7</v>
      </c>
      <c r="D2769" s="1" t="s">
        <v>3873</v>
      </c>
    </row>
    <row r="2770">
      <c r="A2770" s="1">
        <v>668.0</v>
      </c>
      <c r="B2770" s="1">
        <v>2.0285268E7</v>
      </c>
      <c r="C2770" s="1">
        <v>8.4499394E7</v>
      </c>
      <c r="D2770" s="1" t="s">
        <v>3874</v>
      </c>
    </row>
    <row r="2771">
      <c r="A2771" s="1">
        <v>355.0</v>
      </c>
      <c r="B2771" s="1">
        <v>2.0161473E7</v>
      </c>
      <c r="C2771" s="1">
        <v>8.3983482E7</v>
      </c>
      <c r="D2771" s="1" t="s">
        <v>3876</v>
      </c>
    </row>
    <row r="2772">
      <c r="A2772" s="1">
        <v>700.0</v>
      </c>
      <c r="B2772" s="1">
        <v>2.0137651E7</v>
      </c>
      <c r="C2772" s="1">
        <v>8.3963943E7</v>
      </c>
      <c r="D2772" s="1" t="s">
        <v>3877</v>
      </c>
    </row>
    <row r="2773">
      <c r="A2773" s="1">
        <v>564.0</v>
      </c>
      <c r="B2773" s="1">
        <v>2.0116264E7</v>
      </c>
      <c r="C2773" s="1">
        <v>8.3826343E7</v>
      </c>
      <c r="D2773" s="1" t="s">
        <v>3878</v>
      </c>
    </row>
    <row r="2774">
      <c r="A2774" s="1">
        <v>601.0</v>
      </c>
      <c r="B2774" s="1">
        <v>2.0116078E7</v>
      </c>
      <c r="C2774" s="1">
        <v>8.3784494E7</v>
      </c>
      <c r="D2774" s="1" t="s">
        <v>3879</v>
      </c>
    </row>
    <row r="2775">
      <c r="A2775" s="1">
        <v>694.0</v>
      </c>
      <c r="B2775" s="1">
        <v>2.0000847E7</v>
      </c>
      <c r="C2775" s="1">
        <v>8.3414986E7</v>
      </c>
      <c r="D2775" s="1" t="s">
        <v>3880</v>
      </c>
    </row>
    <row r="2776">
      <c r="A2776" s="1">
        <v>355.0</v>
      </c>
      <c r="B2776" s="1">
        <v>1.989358E7</v>
      </c>
      <c r="C2776" s="1">
        <v>8.2937692E7</v>
      </c>
      <c r="D2776" s="1" t="s">
        <v>3881</v>
      </c>
    </row>
    <row r="2777">
      <c r="A2777" s="1">
        <v>531.0</v>
      </c>
      <c r="B2777" s="1">
        <v>1.9878675E7</v>
      </c>
      <c r="C2777" s="1">
        <v>8.2899203E7</v>
      </c>
      <c r="D2777" s="1" t="s">
        <v>3882</v>
      </c>
    </row>
    <row r="2778">
      <c r="A2778" s="1">
        <v>228.0</v>
      </c>
      <c r="B2778" s="1">
        <v>1.9843214E7</v>
      </c>
      <c r="C2778" s="1">
        <v>8.2769564E7</v>
      </c>
      <c r="D2778" s="1" t="s">
        <v>3883</v>
      </c>
    </row>
    <row r="2779">
      <c r="A2779" s="1">
        <v>120.0</v>
      </c>
      <c r="B2779" s="1">
        <v>1.9839514E7</v>
      </c>
      <c r="C2779" s="1">
        <v>8.2703207E7</v>
      </c>
      <c r="D2779" s="1" t="s">
        <v>3884</v>
      </c>
    </row>
    <row r="2780">
      <c r="A2780" s="1">
        <v>410.0</v>
      </c>
      <c r="B2780" s="1">
        <v>1.9832732E7</v>
      </c>
      <c r="C2780" s="1">
        <v>8.3133806E7</v>
      </c>
      <c r="D2780" s="1" t="s">
        <v>1077</v>
      </c>
    </row>
    <row r="2781">
      <c r="A2781" s="1">
        <v>587.0</v>
      </c>
      <c r="B2781" s="1">
        <v>1.9743264E7</v>
      </c>
      <c r="C2781" s="1">
        <v>8.234403E7</v>
      </c>
      <c r="D2781" s="1" t="s">
        <v>2133</v>
      </c>
    </row>
    <row r="2782">
      <c r="A2782" s="1">
        <v>565.0</v>
      </c>
      <c r="B2782" s="1">
        <v>1.974008E7</v>
      </c>
      <c r="C2782" s="1">
        <v>8.2934817E7</v>
      </c>
      <c r="D2782" s="1" t="s">
        <v>3885</v>
      </c>
    </row>
    <row r="2783">
      <c r="A2783" s="1">
        <v>410.0</v>
      </c>
      <c r="B2783" s="1">
        <v>1.973744E7</v>
      </c>
      <c r="C2783" s="1">
        <v>8.2382223E7</v>
      </c>
      <c r="D2783" s="1" t="s">
        <v>3886</v>
      </c>
    </row>
    <row r="2784">
      <c r="A2784" s="1">
        <v>712.0</v>
      </c>
      <c r="B2784" s="1">
        <v>1.9733004E7</v>
      </c>
      <c r="C2784" s="1">
        <v>8.2336224E7</v>
      </c>
      <c r="D2784" s="1" t="s">
        <v>393</v>
      </c>
    </row>
    <row r="2785">
      <c r="A2785" s="1">
        <v>120.0</v>
      </c>
      <c r="B2785" s="1">
        <v>1.9636565E7</v>
      </c>
      <c r="C2785" s="1">
        <v>8.2019676E7</v>
      </c>
      <c r="D2785" s="1" t="s">
        <v>3887</v>
      </c>
    </row>
    <row r="2786">
      <c r="A2786" s="1">
        <v>470.0</v>
      </c>
      <c r="B2786" s="1">
        <v>1.958445E7</v>
      </c>
      <c r="C2786" s="1">
        <v>8.1862804E7</v>
      </c>
      <c r="D2786" s="1" t="s">
        <v>2310</v>
      </c>
    </row>
    <row r="2787">
      <c r="A2787" s="1">
        <v>643.0</v>
      </c>
      <c r="B2787" s="1">
        <v>1.9519143E7</v>
      </c>
      <c r="C2787" s="1">
        <v>2.06344925E8</v>
      </c>
      <c r="D2787" s="1" t="s">
        <v>3888</v>
      </c>
    </row>
    <row r="2788">
      <c r="A2788" s="1">
        <v>656.0</v>
      </c>
      <c r="B2788" s="1">
        <v>1.9505999E7</v>
      </c>
      <c r="C2788" s="1">
        <v>8.151454E7</v>
      </c>
      <c r="D2788" s="1" t="s">
        <v>3889</v>
      </c>
    </row>
    <row r="2789">
      <c r="A2789" s="1">
        <v>215.0</v>
      </c>
      <c r="B2789" s="1">
        <v>1.9478962E7</v>
      </c>
      <c r="C2789" s="1">
        <v>8.1571026E7</v>
      </c>
      <c r="D2789" s="1" t="s">
        <v>3890</v>
      </c>
    </row>
    <row r="2790">
      <c r="A2790" s="1">
        <v>609.0</v>
      </c>
      <c r="B2790" s="1">
        <v>1.9471671E7</v>
      </c>
      <c r="C2790" s="1">
        <v>8.1396375E7</v>
      </c>
      <c r="D2790" s="1" t="s">
        <v>3891</v>
      </c>
    </row>
    <row r="2791">
      <c r="A2791" s="1">
        <v>504.0</v>
      </c>
      <c r="B2791" s="1">
        <v>1.9462132E7</v>
      </c>
      <c r="C2791" s="1">
        <v>8.1366417E7</v>
      </c>
      <c r="D2791" s="1" t="s">
        <v>3892</v>
      </c>
    </row>
    <row r="2792">
      <c r="A2792" s="1">
        <v>402.0</v>
      </c>
      <c r="B2792" s="1">
        <v>1.9456813E7</v>
      </c>
      <c r="C2792" s="1">
        <v>8.1364984E7</v>
      </c>
      <c r="D2792" s="1" t="s">
        <v>3893</v>
      </c>
    </row>
    <row r="2793">
      <c r="A2793" s="1">
        <v>531.0</v>
      </c>
      <c r="B2793" s="1">
        <v>1.9375397E7</v>
      </c>
      <c r="C2793" s="1">
        <v>8.1028103E7</v>
      </c>
      <c r="D2793" s="1" t="s">
        <v>250</v>
      </c>
    </row>
    <row r="2794">
      <c r="A2794" s="1">
        <v>715.0</v>
      </c>
      <c r="B2794" s="1">
        <v>1.9372648E7</v>
      </c>
      <c r="C2794" s="1">
        <v>8.1000083E7</v>
      </c>
      <c r="D2794" s="1" t="s">
        <v>3894</v>
      </c>
    </row>
    <row r="2795">
      <c r="A2795" s="1">
        <v>677.0</v>
      </c>
      <c r="B2795" s="1">
        <v>1.9364034E7</v>
      </c>
      <c r="C2795" s="1">
        <v>8.1014006E7</v>
      </c>
      <c r="D2795" s="1" t="s">
        <v>3895</v>
      </c>
    </row>
    <row r="2796">
      <c r="A2796" s="1">
        <v>720.0</v>
      </c>
      <c r="B2796" s="1">
        <v>1.9334989E7</v>
      </c>
      <c r="C2796" s="1">
        <v>8.0887001E7</v>
      </c>
      <c r="D2796" s="1" t="s">
        <v>3875</v>
      </c>
    </row>
    <row r="2797">
      <c r="A2797" s="1">
        <v>601.0</v>
      </c>
      <c r="B2797" s="1">
        <v>1.9332854E7</v>
      </c>
      <c r="C2797" s="1">
        <v>8.1347391E7</v>
      </c>
      <c r="D2797" s="1" t="s">
        <v>3896</v>
      </c>
    </row>
    <row r="2798">
      <c r="A2798" s="1">
        <v>500.0</v>
      </c>
      <c r="B2798" s="1">
        <v>1.9329175E7</v>
      </c>
      <c r="C2798" s="1">
        <v>8.089086E7</v>
      </c>
      <c r="D2798" s="1" t="s">
        <v>1937</v>
      </c>
    </row>
    <row r="2799">
      <c r="A2799" s="1">
        <v>565.0</v>
      </c>
      <c r="B2799" s="1">
        <v>1.9281672E7</v>
      </c>
      <c r="C2799" s="1">
        <v>8.0584571E7</v>
      </c>
      <c r="D2799" s="1" t="s">
        <v>3897</v>
      </c>
    </row>
    <row r="2800">
      <c r="A2800" s="1">
        <v>645.0</v>
      </c>
      <c r="B2800" s="1">
        <v>1.927227E7</v>
      </c>
      <c r="C2800" s="1">
        <v>8.0570296E7</v>
      </c>
      <c r="D2800" s="1" t="s">
        <v>3898</v>
      </c>
    </row>
    <row r="2801">
      <c r="A2801" s="1">
        <v>672.0</v>
      </c>
      <c r="B2801" s="1">
        <v>1.9242551E7</v>
      </c>
      <c r="C2801" s="1">
        <v>8.0728327E7</v>
      </c>
      <c r="D2801" s="1" t="s">
        <v>1479</v>
      </c>
    </row>
    <row r="2802">
      <c r="A2802" s="1">
        <v>673.0</v>
      </c>
      <c r="B2802" s="1">
        <v>1.9242258E7</v>
      </c>
      <c r="C2802" s="1">
        <v>8.0418267E7</v>
      </c>
      <c r="D2802" s="1" t="s">
        <v>3683</v>
      </c>
    </row>
    <row r="2803">
      <c r="A2803" s="1">
        <v>172.0</v>
      </c>
      <c r="B2803" s="1">
        <v>1.9225872E7</v>
      </c>
      <c r="C2803" s="1">
        <v>8.043553E7</v>
      </c>
      <c r="D2803" s="1" t="s">
        <v>819</v>
      </c>
    </row>
    <row r="2804">
      <c r="A2804" s="1">
        <v>665.0</v>
      </c>
      <c r="B2804" s="1">
        <v>1.9213642E7</v>
      </c>
      <c r="C2804" s="1">
        <v>8.0477197E7</v>
      </c>
      <c r="D2804" s="1" t="s">
        <v>1586</v>
      </c>
    </row>
    <row r="2805">
      <c r="A2805" s="1">
        <v>355.0</v>
      </c>
      <c r="B2805" s="1">
        <v>1.9185364E7</v>
      </c>
      <c r="C2805" s="1">
        <v>8.0311945E7</v>
      </c>
      <c r="D2805" s="1" t="s">
        <v>389</v>
      </c>
    </row>
    <row r="2806">
      <c r="A2806" s="1">
        <v>504.0</v>
      </c>
      <c r="B2806" s="1">
        <v>1.9142041E7</v>
      </c>
      <c r="C2806" s="1">
        <v>8.0218882E7</v>
      </c>
      <c r="D2806" s="1" t="s">
        <v>3899</v>
      </c>
    </row>
    <row r="2807">
      <c r="A2807" s="1">
        <v>503.0</v>
      </c>
      <c r="B2807" s="1">
        <v>1.9081406E7</v>
      </c>
      <c r="C2807" s="1">
        <v>7.9912557E7</v>
      </c>
      <c r="D2807" s="1" t="s">
        <v>3900</v>
      </c>
    </row>
    <row r="2808">
      <c r="A2808" s="1">
        <v>671.0</v>
      </c>
      <c r="B2808" s="1">
        <v>1.9058967E7</v>
      </c>
      <c r="C2808" s="1">
        <v>7.9737565E7</v>
      </c>
      <c r="D2808" s="1" t="s">
        <v>3901</v>
      </c>
    </row>
    <row r="2809">
      <c r="A2809" s="1">
        <v>597.0</v>
      </c>
      <c r="B2809" s="1">
        <v>1.9040832E7</v>
      </c>
      <c r="C2809" s="1">
        <v>7.9759047E7</v>
      </c>
      <c r="D2809" s="17" t="s">
        <v>2437</v>
      </c>
    </row>
    <row r="2810">
      <c r="A2810" s="1">
        <v>488.0</v>
      </c>
      <c r="B2810" s="1">
        <v>1.8999737E7</v>
      </c>
      <c r="C2810" s="1">
        <v>7.9562733E7</v>
      </c>
      <c r="D2810" s="1" t="s">
        <v>3902</v>
      </c>
    </row>
    <row r="2811">
      <c r="A2811" s="1">
        <v>601.0</v>
      </c>
      <c r="B2811" s="1">
        <v>1.8985402E7</v>
      </c>
      <c r="C2811" s="1">
        <v>7.9554419E7</v>
      </c>
      <c r="D2811" s="1" t="s">
        <v>3764</v>
      </c>
    </row>
    <row r="2812">
      <c r="A2812" s="1">
        <v>458.0</v>
      </c>
      <c r="B2812" s="1">
        <v>1.890618E7</v>
      </c>
      <c r="C2812" s="1">
        <v>7.9443888E7</v>
      </c>
      <c r="D2812" s="1" t="s">
        <v>3903</v>
      </c>
    </row>
    <row r="2813">
      <c r="A2813" s="1">
        <v>720.0</v>
      </c>
      <c r="B2813" s="1">
        <v>1.8822626E7</v>
      </c>
      <c r="C2813" s="1">
        <v>7.8902589E7</v>
      </c>
      <c r="D2813" s="1" t="s">
        <v>2906</v>
      </c>
    </row>
    <row r="2814">
      <c r="A2814" s="1">
        <v>173.0</v>
      </c>
      <c r="B2814" s="1">
        <v>1.8781554E7</v>
      </c>
      <c r="C2814" s="1">
        <v>7.8934071E7</v>
      </c>
      <c r="D2814" s="1" t="s">
        <v>3528</v>
      </c>
    </row>
    <row r="2815">
      <c r="A2815" s="1">
        <v>470.0</v>
      </c>
      <c r="B2815" s="1">
        <v>1.8771526E7</v>
      </c>
      <c r="C2815" s="1">
        <v>7.870686E7</v>
      </c>
      <c r="D2815" s="1" t="s">
        <v>3904</v>
      </c>
    </row>
    <row r="2816">
      <c r="A2816" s="1">
        <v>665.0</v>
      </c>
      <c r="B2816" s="1">
        <v>1.8753619E7</v>
      </c>
      <c r="C2816" s="1">
        <v>7.8597309E7</v>
      </c>
      <c r="D2816" s="1" t="s">
        <v>3906</v>
      </c>
    </row>
    <row r="2817">
      <c r="A2817" s="1">
        <v>600.0</v>
      </c>
      <c r="B2817" s="1">
        <v>1.8739156E7</v>
      </c>
      <c r="C2817" s="1">
        <v>7.854278E7</v>
      </c>
      <c r="D2817" s="1" t="s">
        <v>974</v>
      </c>
    </row>
    <row r="2818">
      <c r="A2818" s="1">
        <v>410.0</v>
      </c>
      <c r="B2818" s="1">
        <v>1.8735776E7</v>
      </c>
      <c r="C2818" s="1">
        <v>7.8586019E7</v>
      </c>
      <c r="D2818" s="1" t="s">
        <v>3908</v>
      </c>
    </row>
    <row r="2819">
      <c r="A2819" s="1">
        <v>677.0</v>
      </c>
      <c r="B2819" s="1">
        <v>1.8646942E7</v>
      </c>
      <c r="C2819" s="1">
        <v>7.8230293E7</v>
      </c>
      <c r="D2819" s="1" t="s">
        <v>3910</v>
      </c>
    </row>
    <row r="2820">
      <c r="A2820" s="1">
        <v>492.0</v>
      </c>
      <c r="B2820" s="1">
        <v>1.8612185E7</v>
      </c>
      <c r="C2820" s="1">
        <v>7.8126914E7</v>
      </c>
      <c r="D2820" s="1" t="s">
        <v>3911</v>
      </c>
    </row>
    <row r="2821">
      <c r="A2821" s="1">
        <v>571.0</v>
      </c>
      <c r="B2821" s="1">
        <v>1.8589245E7</v>
      </c>
      <c r="C2821" s="1">
        <v>7.7930251E7</v>
      </c>
      <c r="D2821" s="1" t="s">
        <v>1876</v>
      </c>
    </row>
    <row r="2822">
      <c r="A2822" s="1">
        <v>414.0</v>
      </c>
      <c r="B2822" s="1">
        <v>1.8583508E7</v>
      </c>
      <c r="C2822" s="1">
        <v>7.7914363E7</v>
      </c>
      <c r="D2822" s="1" t="s">
        <v>387</v>
      </c>
    </row>
    <row r="2823">
      <c r="A2823" s="1">
        <v>228.0</v>
      </c>
      <c r="B2823" s="1">
        <v>1.855152E7</v>
      </c>
      <c r="C2823" s="1">
        <v>7.7969942E7</v>
      </c>
      <c r="D2823" s="1" t="s">
        <v>3914</v>
      </c>
    </row>
    <row r="2824">
      <c r="A2824" s="1">
        <v>596.0</v>
      </c>
      <c r="B2824" s="1">
        <v>1.8477249E7</v>
      </c>
      <c r="C2824" s="1">
        <v>7.7600273E7</v>
      </c>
      <c r="D2824" s="1" t="s">
        <v>1509</v>
      </c>
    </row>
    <row r="2825">
      <c r="A2825" s="1">
        <v>713.0</v>
      </c>
      <c r="B2825" s="1">
        <v>1.8470035E7</v>
      </c>
      <c r="C2825" s="1">
        <v>7.759621E7</v>
      </c>
      <c r="D2825" s="1" t="s">
        <v>3917</v>
      </c>
    </row>
    <row r="2826">
      <c r="A2826" s="1">
        <v>210.0</v>
      </c>
      <c r="B2826" s="1">
        <v>1.841674E7</v>
      </c>
      <c r="C2826" s="1">
        <v>2.01831967E8</v>
      </c>
      <c r="D2826" s="1" t="s">
        <v>3872</v>
      </c>
    </row>
    <row r="2827">
      <c r="A2827" s="1">
        <v>378.0</v>
      </c>
      <c r="B2827" s="1">
        <v>1.8397185E7</v>
      </c>
      <c r="C2827" s="1">
        <v>7.731657E7</v>
      </c>
      <c r="D2827" s="1" t="s">
        <v>2512</v>
      </c>
    </row>
    <row r="2828">
      <c r="A2828" s="1">
        <v>713.0</v>
      </c>
      <c r="B2828" s="1">
        <v>1.8386479E7</v>
      </c>
      <c r="C2828" s="1">
        <v>7.7302511E7</v>
      </c>
      <c r="D2828" s="1" t="s">
        <v>3920</v>
      </c>
    </row>
    <row r="2829">
      <c r="A2829" s="1">
        <v>672.0</v>
      </c>
      <c r="B2829" s="1">
        <v>1.8361964E7</v>
      </c>
      <c r="C2829" s="1">
        <v>7.7473712E7</v>
      </c>
      <c r="D2829" s="1" t="s">
        <v>3921</v>
      </c>
    </row>
    <row r="2830">
      <c r="A2830" s="1">
        <v>473.0</v>
      </c>
      <c r="B2830" s="1">
        <v>1.8325612E7</v>
      </c>
      <c r="C2830" s="1">
        <v>7.6983985E7</v>
      </c>
      <c r="D2830" s="1" t="s">
        <v>3923</v>
      </c>
    </row>
    <row r="2831">
      <c r="A2831" s="1">
        <v>395.0</v>
      </c>
      <c r="B2831" s="1">
        <v>1.8309046E7</v>
      </c>
      <c r="C2831" s="1">
        <v>7.6981547E7</v>
      </c>
      <c r="D2831" s="1" t="s">
        <v>384</v>
      </c>
    </row>
    <row r="2832">
      <c r="A2832" s="1">
        <v>661.0</v>
      </c>
      <c r="B2832" s="1">
        <v>1.8259435E7</v>
      </c>
      <c r="C2832" s="1">
        <v>7.6858527E7</v>
      </c>
      <c r="D2832" s="1" t="s">
        <v>706</v>
      </c>
    </row>
    <row r="2833">
      <c r="A2833" s="1">
        <v>225.0</v>
      </c>
      <c r="B2833" s="1">
        <v>1.8237467E7</v>
      </c>
      <c r="C2833" s="1">
        <v>7.6669823E7</v>
      </c>
      <c r="D2833" s="1" t="s">
        <v>3925</v>
      </c>
    </row>
    <row r="2834">
      <c r="A2834" s="1">
        <v>392.0</v>
      </c>
      <c r="B2834" s="1">
        <v>1.8191817E7</v>
      </c>
      <c r="C2834" s="1">
        <v>7.6657433E7</v>
      </c>
      <c r="D2834" s="1" t="s">
        <v>3926</v>
      </c>
    </row>
    <row r="2835">
      <c r="A2835" s="1">
        <v>664.0</v>
      </c>
      <c r="B2835" s="1">
        <v>1.8191701E7</v>
      </c>
      <c r="C2835" s="1">
        <v>7.6507054E7</v>
      </c>
      <c r="D2835" s="1" t="s">
        <v>660</v>
      </c>
    </row>
    <row r="2836">
      <c r="A2836" s="1">
        <v>244.0</v>
      </c>
      <c r="B2836" s="1">
        <v>1.8186694E7</v>
      </c>
      <c r="C2836" s="1">
        <v>1.46592945E8</v>
      </c>
      <c r="D2836" s="1" t="s">
        <v>3927</v>
      </c>
    </row>
    <row r="2837">
      <c r="A2837" s="1">
        <v>671.0</v>
      </c>
      <c r="B2837" s="1">
        <v>1.8136793E7</v>
      </c>
      <c r="C2837" s="1">
        <v>7.6369947E7</v>
      </c>
      <c r="D2837" s="1" t="s">
        <v>3928</v>
      </c>
    </row>
    <row r="2838">
      <c r="A2838" s="1">
        <v>225.0</v>
      </c>
      <c r="B2838" s="1">
        <v>1.8128168E7</v>
      </c>
      <c r="C2838" s="1">
        <v>7.6220587E7</v>
      </c>
      <c r="D2838" s="1" t="s">
        <v>3929</v>
      </c>
    </row>
    <row r="2839">
      <c r="A2839" s="1">
        <v>586.0</v>
      </c>
      <c r="B2839" s="1">
        <v>1.8108878E7</v>
      </c>
      <c r="C2839" s="1">
        <v>7.6221867E7</v>
      </c>
      <c r="D2839" s="1" t="s">
        <v>3930</v>
      </c>
    </row>
    <row r="2840">
      <c r="A2840" s="1">
        <v>503.0</v>
      </c>
      <c r="B2840" s="1">
        <v>1.809603E7</v>
      </c>
      <c r="C2840" s="1">
        <v>7.6232806E7</v>
      </c>
      <c r="D2840" s="1" t="s">
        <v>3931</v>
      </c>
    </row>
    <row r="2841">
      <c r="A2841" s="1">
        <v>609.0</v>
      </c>
      <c r="B2841" s="1">
        <v>1.8095375E7</v>
      </c>
      <c r="C2841" s="1">
        <v>7.6094623E7</v>
      </c>
      <c r="D2841" s="1" t="s">
        <v>3932</v>
      </c>
    </row>
    <row r="2842">
      <c r="A2842" s="1">
        <v>649.0</v>
      </c>
      <c r="B2842" s="1">
        <v>1.8063378E7</v>
      </c>
      <c r="C2842" s="1">
        <v>3.14884337E8</v>
      </c>
      <c r="D2842" s="1" t="s">
        <v>3933</v>
      </c>
    </row>
    <row r="2843">
      <c r="A2843" s="1">
        <v>573.0</v>
      </c>
      <c r="B2843" s="1">
        <v>1.8041309E7</v>
      </c>
      <c r="C2843" s="1">
        <v>7.5897098E7</v>
      </c>
      <c r="D2843" s="1" t="s">
        <v>3934</v>
      </c>
    </row>
    <row r="2844">
      <c r="A2844" s="1">
        <v>601.0</v>
      </c>
      <c r="B2844" s="1">
        <v>1.80316E7</v>
      </c>
      <c r="C2844" s="1">
        <v>1.76713332E8</v>
      </c>
      <c r="D2844" s="1" t="s">
        <v>3935</v>
      </c>
    </row>
    <row r="2845">
      <c r="A2845" s="1">
        <v>395.0</v>
      </c>
      <c r="B2845" s="1">
        <v>1.8024556E7</v>
      </c>
      <c r="C2845" s="1">
        <v>7.5910345E7</v>
      </c>
      <c r="D2845" s="1" t="s">
        <v>3936</v>
      </c>
    </row>
    <row r="2846">
      <c r="A2846" s="1">
        <v>410.0</v>
      </c>
      <c r="B2846" s="1">
        <v>1.8013474E7</v>
      </c>
      <c r="C2846" s="1">
        <v>7.5964758E7</v>
      </c>
      <c r="D2846" s="1" t="s">
        <v>3937</v>
      </c>
    </row>
    <row r="2847">
      <c r="A2847" s="1">
        <v>392.0</v>
      </c>
      <c r="B2847" s="1">
        <v>1.801067E7</v>
      </c>
      <c r="C2847" s="1">
        <v>7.5747843E7</v>
      </c>
      <c r="D2847" s="1" t="s">
        <v>3938</v>
      </c>
    </row>
    <row r="2848">
      <c r="A2848" s="1">
        <v>210.0</v>
      </c>
      <c r="B2848" s="1">
        <v>1.7987612E7</v>
      </c>
      <c r="C2848" s="1">
        <v>2.60716583E8</v>
      </c>
      <c r="D2848" s="1" t="s">
        <v>3939</v>
      </c>
    </row>
    <row r="2849">
      <c r="A2849" s="1">
        <v>129.0</v>
      </c>
      <c r="B2849" s="1">
        <v>1.7922422E7</v>
      </c>
      <c r="C2849" s="1">
        <v>2.14492831E8</v>
      </c>
      <c r="D2849" s="1" t="s">
        <v>3940</v>
      </c>
    </row>
    <row r="2850">
      <c r="A2850" s="1">
        <v>609.0</v>
      </c>
      <c r="B2850" s="1">
        <v>1.7915268E7</v>
      </c>
      <c r="C2850" s="1">
        <v>7.5444403E7</v>
      </c>
      <c r="D2850" s="1" t="s">
        <v>3941</v>
      </c>
    </row>
    <row r="2851">
      <c r="A2851" s="1">
        <v>609.0</v>
      </c>
      <c r="B2851" s="1">
        <v>1.7906721E7</v>
      </c>
      <c r="C2851" s="1">
        <v>7.5429934E7</v>
      </c>
      <c r="D2851" s="1" t="s">
        <v>2565</v>
      </c>
    </row>
    <row r="2852">
      <c r="A2852" s="1">
        <v>142.0</v>
      </c>
      <c r="B2852" s="1">
        <v>1.7881976E7</v>
      </c>
      <c r="C2852" s="1">
        <v>7.5268716E7</v>
      </c>
      <c r="D2852" s="1" t="s">
        <v>3870</v>
      </c>
    </row>
    <row r="2853">
      <c r="A2853" s="1">
        <v>696.0</v>
      </c>
      <c r="B2853" s="1">
        <v>1.7881222E7</v>
      </c>
      <c r="C2853" s="1">
        <v>7.5229776E7</v>
      </c>
      <c r="D2853" s="1" t="s">
        <v>3942</v>
      </c>
    </row>
    <row r="2854">
      <c r="A2854" s="1">
        <v>573.0</v>
      </c>
      <c r="B2854" s="1">
        <v>1.7788459E7</v>
      </c>
      <c r="C2854" s="1">
        <v>7.4939191E7</v>
      </c>
      <c r="D2854" s="1" t="s">
        <v>2240</v>
      </c>
    </row>
    <row r="2855">
      <c r="A2855" s="1">
        <v>571.0</v>
      </c>
      <c r="B2855" s="1">
        <v>1.7758717E7</v>
      </c>
      <c r="C2855" s="1">
        <v>4.43812414E8</v>
      </c>
      <c r="D2855" s="1" t="s">
        <v>3945</v>
      </c>
    </row>
    <row r="2856">
      <c r="A2856" s="1">
        <v>578.0</v>
      </c>
      <c r="B2856" s="1">
        <v>1.7703513E7</v>
      </c>
      <c r="C2856" s="1">
        <v>7.4603727E7</v>
      </c>
      <c r="D2856" s="1" t="s">
        <v>3946</v>
      </c>
    </row>
    <row r="2857">
      <c r="A2857" s="1">
        <v>414.0</v>
      </c>
      <c r="B2857" s="1">
        <v>1.7691547E7</v>
      </c>
      <c r="C2857" s="1">
        <v>7.4594779E7</v>
      </c>
      <c r="D2857" s="1" t="s">
        <v>3948</v>
      </c>
    </row>
    <row r="2858">
      <c r="A2858" s="1">
        <v>542.0</v>
      </c>
      <c r="B2858" s="1">
        <v>1.7683077E7</v>
      </c>
      <c r="C2858" s="1">
        <v>7.4763471E7</v>
      </c>
      <c r="D2858" s="1" t="s">
        <v>3634</v>
      </c>
    </row>
    <row r="2859">
      <c r="A2859" s="1">
        <v>571.0</v>
      </c>
      <c r="B2859" s="1">
        <v>1.766855E7</v>
      </c>
      <c r="C2859" s="1">
        <v>7.4630875E7</v>
      </c>
      <c r="D2859" s="1" t="s">
        <v>3950</v>
      </c>
    </row>
    <row r="2860">
      <c r="A2860" s="1">
        <v>569.0</v>
      </c>
      <c r="B2860" s="1">
        <v>1.7644074E7</v>
      </c>
      <c r="C2860" s="1">
        <v>7.508815E7</v>
      </c>
      <c r="D2860" s="25" t="str">
        <f>+++10 !!!THANK YOU!!!???</f>
        <v>#ERROR!</v>
      </c>
    </row>
    <row r="2861">
      <c r="A2861" s="1">
        <v>599.0</v>
      </c>
      <c r="B2861" s="1">
        <v>1.7632201E7</v>
      </c>
      <c r="C2861" s="1">
        <v>7.442675E7</v>
      </c>
      <c r="D2861" s="1" t="s">
        <v>298</v>
      </c>
    </row>
    <row r="2862">
      <c r="A2862" s="1">
        <v>677.0</v>
      </c>
      <c r="B2862" s="1">
        <v>1.7631128E7</v>
      </c>
      <c r="C2862" s="1">
        <v>7.4438569E7</v>
      </c>
      <c r="D2862" s="1" t="s">
        <v>3952</v>
      </c>
    </row>
    <row r="2863">
      <c r="A2863" s="1">
        <v>395.0</v>
      </c>
      <c r="B2863" s="1">
        <v>1.7627463E7</v>
      </c>
      <c r="C2863" s="1">
        <v>7.4448407E7</v>
      </c>
      <c r="D2863" s="1" t="s">
        <v>3953</v>
      </c>
    </row>
    <row r="2864">
      <c r="A2864" s="1">
        <v>405.0</v>
      </c>
      <c r="B2864" s="1">
        <v>1.7580014E7</v>
      </c>
      <c r="C2864" s="1">
        <v>7.428343E7</v>
      </c>
      <c r="D2864" s="1" t="s">
        <v>3955</v>
      </c>
    </row>
    <row r="2865">
      <c r="A2865" s="1">
        <v>172.0</v>
      </c>
      <c r="B2865" s="1">
        <v>1.7576125E7</v>
      </c>
      <c r="C2865" s="1">
        <v>7.4281755E7</v>
      </c>
      <c r="D2865" s="1" t="s">
        <v>3956</v>
      </c>
    </row>
    <row r="2866">
      <c r="A2866" s="1">
        <v>669.0</v>
      </c>
      <c r="B2866" s="1">
        <v>1.7530315E7</v>
      </c>
      <c r="C2866" s="1">
        <v>1.06564759E8</v>
      </c>
      <c r="D2866" s="1" t="s">
        <v>3957</v>
      </c>
    </row>
    <row r="2867">
      <c r="A2867" s="1">
        <v>671.0</v>
      </c>
      <c r="B2867" s="1">
        <v>1.7522009E7</v>
      </c>
      <c r="C2867" s="1">
        <v>7.4275033E7</v>
      </c>
      <c r="D2867" s="25" t="str">
        <f>+ 10 for the Hotel -1 for the breakfast</f>
        <v>#ERROR!</v>
      </c>
    </row>
    <row r="2868">
      <c r="A2868" s="1">
        <v>525.0</v>
      </c>
      <c r="B2868" s="1">
        <v>1.7517529E7</v>
      </c>
      <c r="C2868" s="1">
        <v>9.6908058E7</v>
      </c>
      <c r="D2868" s="1" t="s">
        <v>3961</v>
      </c>
    </row>
    <row r="2869">
      <c r="A2869" s="1">
        <v>419.0</v>
      </c>
      <c r="B2869" s="1">
        <v>1.7406531E7</v>
      </c>
      <c r="C2869" s="1">
        <v>2.45176122E8</v>
      </c>
      <c r="D2869" s="1" t="s">
        <v>3098</v>
      </c>
    </row>
    <row r="2870">
      <c r="A2870" s="1">
        <v>380.0</v>
      </c>
      <c r="B2870" s="1">
        <v>1.7392207E7</v>
      </c>
      <c r="C2870" s="1">
        <v>7.3495658E7</v>
      </c>
      <c r="D2870" s="1" t="s">
        <v>2020</v>
      </c>
    </row>
    <row r="2871">
      <c r="A2871" s="1">
        <v>546.0</v>
      </c>
      <c r="B2871" s="1">
        <v>1.7382295E7</v>
      </c>
      <c r="C2871" s="1">
        <v>7.3501886E7</v>
      </c>
      <c r="D2871" s="1" t="s">
        <v>2847</v>
      </c>
    </row>
    <row r="2872">
      <c r="A2872" s="1">
        <v>609.0</v>
      </c>
      <c r="B2872" s="1">
        <v>1.7365926E7</v>
      </c>
      <c r="C2872" s="1">
        <v>1.31452586E8</v>
      </c>
      <c r="D2872" s="1" t="s">
        <v>3963</v>
      </c>
    </row>
    <row r="2873">
      <c r="A2873" s="1">
        <v>641.0</v>
      </c>
      <c r="B2873" s="1">
        <v>1.7254149E7</v>
      </c>
      <c r="C2873" s="1">
        <v>7.3009613E7</v>
      </c>
      <c r="D2873" s="1" t="s">
        <v>3965</v>
      </c>
    </row>
    <row r="2874">
      <c r="A2874" s="1">
        <v>378.0</v>
      </c>
      <c r="B2874" s="1">
        <v>1.7252762E7</v>
      </c>
      <c r="C2874" s="1">
        <v>7.3017699E7</v>
      </c>
      <c r="D2874" s="1" t="s">
        <v>3966</v>
      </c>
    </row>
    <row r="2875">
      <c r="A2875" s="1">
        <v>355.0</v>
      </c>
      <c r="B2875" s="1">
        <v>1.7175564E7</v>
      </c>
      <c r="C2875" s="1">
        <v>7.2902761E7</v>
      </c>
      <c r="D2875" s="1" t="s">
        <v>3967</v>
      </c>
    </row>
    <row r="2876">
      <c r="A2876" s="1">
        <v>458.0</v>
      </c>
      <c r="B2876" s="1">
        <v>1.7160215E7</v>
      </c>
      <c r="C2876" s="1">
        <v>7.2565875E7</v>
      </c>
      <c r="D2876" s="1" t="s">
        <v>3968</v>
      </c>
    </row>
    <row r="2877">
      <c r="A2877" s="1">
        <v>571.0</v>
      </c>
      <c r="B2877" s="1">
        <v>1.7102431E7</v>
      </c>
      <c r="C2877" s="1">
        <v>7.2502735E7</v>
      </c>
      <c r="D2877" s="1" t="s">
        <v>3969</v>
      </c>
    </row>
    <row r="2878">
      <c r="A2878" s="1">
        <v>715.0</v>
      </c>
      <c r="B2878" s="1">
        <v>1.7096145E7</v>
      </c>
      <c r="C2878" s="1">
        <v>7.2383113E7</v>
      </c>
      <c r="D2878" s="1" t="s">
        <v>3970</v>
      </c>
    </row>
    <row r="2879">
      <c r="A2879" s="1">
        <v>194.0</v>
      </c>
      <c r="B2879" s="1">
        <v>1.709486E7</v>
      </c>
      <c r="C2879" s="1">
        <v>7.2437108E7</v>
      </c>
      <c r="D2879" s="1" t="s">
        <v>3971</v>
      </c>
    </row>
    <row r="2880">
      <c r="A2880" s="1">
        <v>565.0</v>
      </c>
      <c r="B2880" s="1">
        <v>1.7092867E7</v>
      </c>
      <c r="C2880" s="1">
        <v>7.2398142E7</v>
      </c>
      <c r="D2880" s="1" t="s">
        <v>2857</v>
      </c>
    </row>
    <row r="2881">
      <c r="A2881" s="1">
        <v>410.0</v>
      </c>
      <c r="B2881" s="1">
        <v>1.7060179E7</v>
      </c>
      <c r="C2881" s="1">
        <v>7.2251112E7</v>
      </c>
      <c r="D2881" s="1" t="s">
        <v>3973</v>
      </c>
    </row>
    <row r="2882">
      <c r="A2882" s="1">
        <v>484.0</v>
      </c>
      <c r="B2882" s="1">
        <v>1.7042428E7</v>
      </c>
      <c r="C2882" s="1">
        <v>7.2215809E7</v>
      </c>
      <c r="D2882" s="1" t="s">
        <v>1681</v>
      </c>
    </row>
    <row r="2883">
      <c r="A2883" s="1">
        <v>410.0</v>
      </c>
      <c r="B2883" s="1">
        <v>1.7036709E7</v>
      </c>
      <c r="C2883" s="1">
        <v>7.2105153E7</v>
      </c>
      <c r="D2883" s="1" t="s">
        <v>1902</v>
      </c>
    </row>
    <row r="2884">
      <c r="A2884" s="1">
        <v>532.0</v>
      </c>
      <c r="B2884" s="1">
        <v>1.7011134E7</v>
      </c>
      <c r="C2884" s="1">
        <v>7.2089192E7</v>
      </c>
      <c r="D2884" s="1" t="s">
        <v>3975</v>
      </c>
    </row>
    <row r="2885">
      <c r="A2885" s="1">
        <v>644.0</v>
      </c>
      <c r="B2885" s="1">
        <v>1.6982265E7</v>
      </c>
      <c r="C2885" s="1">
        <v>7.1923176E7</v>
      </c>
      <c r="D2885" s="1" t="s">
        <v>3096</v>
      </c>
    </row>
    <row r="2886">
      <c r="A2886" s="1">
        <v>504.0</v>
      </c>
      <c r="B2886" s="1">
        <v>1.6968252E7</v>
      </c>
      <c r="C2886" s="1">
        <v>9.0546953E7</v>
      </c>
      <c r="D2886" s="1" t="s">
        <v>3976</v>
      </c>
    </row>
    <row r="2887">
      <c r="A2887" s="1">
        <v>285.0</v>
      </c>
      <c r="B2887" s="1">
        <v>1.6958592E7</v>
      </c>
      <c r="C2887" s="1">
        <v>7.1887605E7</v>
      </c>
      <c r="D2887" s="1" t="s">
        <v>2759</v>
      </c>
    </row>
    <row r="2888">
      <c r="A2888" s="1">
        <v>609.0</v>
      </c>
      <c r="B2888" s="1">
        <v>1.695809E7</v>
      </c>
      <c r="C2888" s="1">
        <v>7.1787638E7</v>
      </c>
      <c r="D2888" s="1" t="s">
        <v>3977</v>
      </c>
    </row>
    <row r="2889">
      <c r="A2889" s="1">
        <v>380.0</v>
      </c>
      <c r="B2889" s="1">
        <v>1.6938262E7</v>
      </c>
      <c r="C2889" s="1">
        <v>7.1765483E7</v>
      </c>
      <c r="D2889" s="1" t="s">
        <v>2860</v>
      </c>
    </row>
    <row r="2890">
      <c r="A2890" s="1">
        <v>394.0</v>
      </c>
      <c r="B2890" s="1">
        <v>1.690561E7</v>
      </c>
      <c r="C2890" s="1">
        <v>7.15863E7</v>
      </c>
      <c r="D2890" s="1" t="s">
        <v>2950</v>
      </c>
    </row>
    <row r="2891">
      <c r="A2891" s="1">
        <v>142.0</v>
      </c>
      <c r="B2891" s="1">
        <v>1.6890156E7</v>
      </c>
      <c r="C2891" s="1">
        <v>7.1636066E7</v>
      </c>
      <c r="D2891" s="1" t="s">
        <v>2673</v>
      </c>
    </row>
    <row r="2892">
      <c r="A2892" s="1">
        <v>492.0</v>
      </c>
      <c r="B2892" s="1">
        <v>1.6863147E7</v>
      </c>
      <c r="C2892" s="1">
        <v>1.77486564E8</v>
      </c>
      <c r="D2892" s="1" t="s">
        <v>3868</v>
      </c>
    </row>
    <row r="2893">
      <c r="A2893" s="1">
        <v>571.0</v>
      </c>
      <c r="B2893" s="1">
        <v>1.6861934E7</v>
      </c>
      <c r="C2893" s="1">
        <v>7.1638474E7</v>
      </c>
      <c r="D2893" s="1" t="s">
        <v>3978</v>
      </c>
    </row>
    <row r="2894">
      <c r="A2894" s="1">
        <v>678.0</v>
      </c>
      <c r="B2894" s="1">
        <v>1.6850227E7</v>
      </c>
      <c r="C2894" s="1">
        <v>1.52954488E8</v>
      </c>
      <c r="D2894" s="1" t="s">
        <v>2111</v>
      </c>
    </row>
    <row r="2895">
      <c r="A2895" s="1">
        <v>602.0</v>
      </c>
      <c r="B2895" s="1">
        <v>1.683133E7</v>
      </c>
      <c r="C2895" s="1">
        <v>7.1331251E7</v>
      </c>
      <c r="D2895" s="1" t="s">
        <v>3979</v>
      </c>
    </row>
    <row r="2896">
      <c r="A2896" s="1">
        <v>355.0</v>
      </c>
      <c r="B2896" s="1">
        <v>1.6816694E7</v>
      </c>
      <c r="C2896" s="1">
        <v>7.1301566E7</v>
      </c>
      <c r="D2896" s="1" t="s">
        <v>3980</v>
      </c>
    </row>
    <row r="2897">
      <c r="A2897" s="1">
        <v>213.0</v>
      </c>
      <c r="B2897" s="1">
        <v>1.6813507E7</v>
      </c>
      <c r="C2897" s="1">
        <v>7.1270932E7</v>
      </c>
      <c r="D2897" s="1" t="s">
        <v>3521</v>
      </c>
    </row>
    <row r="2898">
      <c r="A2898" s="1">
        <v>671.0</v>
      </c>
      <c r="B2898" s="1">
        <v>1.6807128E7</v>
      </c>
      <c r="C2898" s="1">
        <v>7.1318544E7</v>
      </c>
      <c r="D2898" s="1" t="s">
        <v>3983</v>
      </c>
    </row>
    <row r="2899">
      <c r="A2899" s="1">
        <v>476.0</v>
      </c>
      <c r="B2899" s="1">
        <v>1.6802202E7</v>
      </c>
      <c r="C2899" s="1">
        <v>7.1198315E7</v>
      </c>
      <c r="D2899" s="1" t="s">
        <v>723</v>
      </c>
    </row>
    <row r="2900">
      <c r="A2900" s="1">
        <v>597.0</v>
      </c>
      <c r="B2900" s="1">
        <v>1.6798682E7</v>
      </c>
      <c r="C2900" s="1">
        <v>7.1129967E7</v>
      </c>
      <c r="D2900" s="1" t="s">
        <v>3986</v>
      </c>
    </row>
    <row r="2901">
      <c r="A2901" s="1">
        <v>532.0</v>
      </c>
      <c r="B2901" s="1">
        <v>1.6778668E7</v>
      </c>
      <c r="C2901" s="1">
        <v>7.1146697E7</v>
      </c>
      <c r="D2901" s="1" t="s">
        <v>927</v>
      </c>
    </row>
    <row r="2902">
      <c r="A2902" s="1">
        <v>671.0</v>
      </c>
      <c r="B2902" s="1">
        <v>1.6763325E7</v>
      </c>
      <c r="C2902" s="1">
        <v>7.0994632E7</v>
      </c>
      <c r="D2902" s="1" t="s">
        <v>2947</v>
      </c>
    </row>
    <row r="2903">
      <c r="A2903" s="1">
        <v>320.0</v>
      </c>
      <c r="B2903" s="1">
        <v>1.6758449E7</v>
      </c>
      <c r="C2903" s="1">
        <v>7.0963847E7</v>
      </c>
      <c r="D2903" s="1" t="s">
        <v>3987</v>
      </c>
    </row>
    <row r="2904">
      <c r="A2904" s="1">
        <v>671.0</v>
      </c>
      <c r="B2904" s="1">
        <v>1.6738837E7</v>
      </c>
      <c r="C2904" s="1">
        <v>7.1145104E7</v>
      </c>
      <c r="D2904" s="1" t="s">
        <v>3988</v>
      </c>
    </row>
    <row r="2905">
      <c r="A2905" s="1">
        <v>531.0</v>
      </c>
      <c r="B2905" s="1">
        <v>1.6738444E7</v>
      </c>
      <c r="C2905" s="1">
        <v>7.132768E7</v>
      </c>
      <c r="D2905" s="1" t="s">
        <v>1590</v>
      </c>
    </row>
    <row r="2906">
      <c r="A2906" s="1">
        <v>504.0</v>
      </c>
      <c r="B2906" s="1">
        <v>1.6690939E7</v>
      </c>
      <c r="C2906" s="1">
        <v>7.0654464E7</v>
      </c>
      <c r="D2906" s="1" t="s">
        <v>3989</v>
      </c>
    </row>
    <row r="2907">
      <c r="A2907" s="1">
        <v>609.0</v>
      </c>
      <c r="B2907" s="1">
        <v>1.662157E7</v>
      </c>
      <c r="C2907" s="1">
        <v>7.0399912E7</v>
      </c>
      <c r="D2907" s="1" t="s">
        <v>3093</v>
      </c>
    </row>
    <row r="2908">
      <c r="A2908" s="1">
        <v>475.0</v>
      </c>
      <c r="B2908" s="1">
        <v>1.6607091E7</v>
      </c>
      <c r="C2908" s="1">
        <v>7.0522362E7</v>
      </c>
      <c r="D2908" s="1" t="s">
        <v>3990</v>
      </c>
    </row>
    <row r="2909">
      <c r="A2909" s="1">
        <v>522.0</v>
      </c>
      <c r="B2909" s="1">
        <v>1.6599642E7</v>
      </c>
      <c r="C2909" s="1">
        <v>7.0386683E7</v>
      </c>
      <c r="D2909" s="1" t="s">
        <v>2657</v>
      </c>
    </row>
    <row r="2910">
      <c r="A2910" s="1">
        <v>414.0</v>
      </c>
      <c r="B2910" s="1">
        <v>1.6599224E7</v>
      </c>
      <c r="C2910" s="1">
        <v>7.0340317E7</v>
      </c>
      <c r="D2910" s="1" t="s">
        <v>3991</v>
      </c>
    </row>
    <row r="2911">
      <c r="A2911" s="1">
        <v>578.0</v>
      </c>
      <c r="B2911" s="1">
        <v>1.6598176E7</v>
      </c>
      <c r="C2911" s="1">
        <v>7.0347876E7</v>
      </c>
      <c r="D2911" s="1" t="s">
        <v>1450</v>
      </c>
    </row>
    <row r="2912">
      <c r="A2912" s="1">
        <v>395.0</v>
      </c>
      <c r="B2912" s="1">
        <v>1.658715E7</v>
      </c>
      <c r="C2912" s="1">
        <v>7.037454E7</v>
      </c>
      <c r="D2912" s="1" t="s">
        <v>3992</v>
      </c>
    </row>
    <row r="2913">
      <c r="A2913" s="1">
        <v>526.0</v>
      </c>
      <c r="B2913" s="1">
        <v>1.656045E7</v>
      </c>
      <c r="C2913" s="1">
        <v>7.0215514E7</v>
      </c>
      <c r="D2913" s="1" t="s">
        <v>3993</v>
      </c>
    </row>
    <row r="2914">
      <c r="A2914" s="1">
        <v>721.0</v>
      </c>
      <c r="B2914" s="1">
        <v>1.6559816E7</v>
      </c>
      <c r="C2914" s="1">
        <v>7.0209093E7</v>
      </c>
      <c r="D2914" s="1" t="s">
        <v>2842</v>
      </c>
    </row>
    <row r="2915">
      <c r="A2915" s="1">
        <v>455.0</v>
      </c>
      <c r="B2915" s="1">
        <v>1.6557753E7</v>
      </c>
      <c r="C2915" s="1">
        <v>7.0190926E7</v>
      </c>
      <c r="D2915" s="1" t="s">
        <v>2642</v>
      </c>
    </row>
    <row r="2916">
      <c r="A2916" s="1">
        <v>664.0</v>
      </c>
      <c r="B2916" s="1">
        <v>1.6556177E7</v>
      </c>
      <c r="C2916" s="1">
        <v>7.0198964E7</v>
      </c>
      <c r="D2916" s="1" t="s">
        <v>3996</v>
      </c>
    </row>
    <row r="2917">
      <c r="A2917" s="1">
        <v>378.0</v>
      </c>
      <c r="B2917" s="1">
        <v>1.6553008E7</v>
      </c>
      <c r="C2917" s="1">
        <v>7.0236572E7</v>
      </c>
      <c r="D2917" s="1" t="s">
        <v>3997</v>
      </c>
    </row>
    <row r="2918">
      <c r="A2918" s="1">
        <v>656.0</v>
      </c>
      <c r="B2918" s="1">
        <v>1.6544584E7</v>
      </c>
      <c r="C2918" s="1">
        <v>7.0183161E7</v>
      </c>
      <c r="D2918" s="1" t="s">
        <v>2100</v>
      </c>
    </row>
    <row r="2919">
      <c r="A2919" s="1">
        <v>578.0</v>
      </c>
      <c r="B2919" s="1">
        <v>1.6532126E7</v>
      </c>
      <c r="C2919" s="1">
        <v>7.0048721E7</v>
      </c>
      <c r="D2919" s="1" t="s">
        <v>3998</v>
      </c>
    </row>
    <row r="2920">
      <c r="A2920" s="1">
        <v>578.0</v>
      </c>
      <c r="B2920" s="1">
        <v>1.6530946E7</v>
      </c>
      <c r="C2920" s="1">
        <v>7.0001307E7</v>
      </c>
      <c r="D2920" s="1" t="s">
        <v>3999</v>
      </c>
    </row>
    <row r="2921">
      <c r="A2921" s="1">
        <v>694.0</v>
      </c>
      <c r="B2921" s="1">
        <v>1.6522156E7</v>
      </c>
      <c r="C2921" s="1">
        <v>7.0029947E7</v>
      </c>
      <c r="D2921" s="1" t="s">
        <v>4001</v>
      </c>
    </row>
    <row r="2922">
      <c r="A2922" s="1">
        <v>578.0</v>
      </c>
      <c r="B2922" s="1">
        <v>1.6516811E7</v>
      </c>
      <c r="C2922" s="1">
        <v>7.0015311E7</v>
      </c>
      <c r="D2922" s="1" t="s">
        <v>4002</v>
      </c>
    </row>
    <row r="2923">
      <c r="A2923" s="1">
        <v>395.0</v>
      </c>
      <c r="B2923" s="1">
        <v>1.6464447E7</v>
      </c>
      <c r="C2923" s="1">
        <v>7.0019785E7</v>
      </c>
      <c r="D2923" s="1" t="s">
        <v>4004</v>
      </c>
    </row>
    <row r="2924">
      <c r="A2924" s="1">
        <v>461.0</v>
      </c>
      <c r="B2924" s="1">
        <v>1.6416957E7</v>
      </c>
      <c r="C2924" s="1">
        <v>6.9592555E7</v>
      </c>
      <c r="D2924" s="25" t="str">
        <f>+17194393990 this is Davids cell number</f>
        <v>#ERROR!</v>
      </c>
    </row>
    <row r="2925">
      <c r="A2925" s="1">
        <v>601.0</v>
      </c>
      <c r="B2925" s="1">
        <v>1.6395369E7</v>
      </c>
      <c r="C2925" s="1">
        <v>6.9575789E7</v>
      </c>
      <c r="D2925" s="1" t="s">
        <v>709</v>
      </c>
    </row>
    <row r="2926">
      <c r="A2926" s="1">
        <v>571.0</v>
      </c>
      <c r="B2926" s="1">
        <v>1.6394426E7</v>
      </c>
      <c r="C2926" s="1">
        <v>1.2654374E8</v>
      </c>
      <c r="D2926" s="1" t="s">
        <v>4007</v>
      </c>
    </row>
    <row r="2927">
      <c r="A2927" s="1">
        <v>696.0</v>
      </c>
      <c r="B2927" s="1">
        <v>1.6383232E7</v>
      </c>
      <c r="C2927" s="1">
        <v>6.9413093E7</v>
      </c>
      <c r="D2927" s="1" t="s">
        <v>4008</v>
      </c>
    </row>
    <row r="2928">
      <c r="A2928" s="1">
        <v>380.0</v>
      </c>
      <c r="B2928" s="1">
        <v>1.6379797E7</v>
      </c>
      <c r="C2928" s="1">
        <v>6.9588623E7</v>
      </c>
      <c r="D2928" s="1" t="s">
        <v>4009</v>
      </c>
    </row>
    <row r="2929">
      <c r="A2929" s="1">
        <v>531.0</v>
      </c>
      <c r="B2929" s="1">
        <v>1.6362657E7</v>
      </c>
      <c r="C2929" s="1">
        <v>6.9412545E7</v>
      </c>
      <c r="D2929" s="1" t="s">
        <v>2691</v>
      </c>
    </row>
    <row r="2930">
      <c r="A2930" s="1">
        <v>380.0</v>
      </c>
      <c r="B2930" s="1">
        <v>1.6334328E7</v>
      </c>
      <c r="C2930" s="1">
        <v>6.929905E7</v>
      </c>
      <c r="D2930" s="1" t="s">
        <v>642</v>
      </c>
    </row>
    <row r="2931">
      <c r="A2931" s="1">
        <v>504.0</v>
      </c>
      <c r="B2931" s="1">
        <v>1.6315662E7</v>
      </c>
      <c r="C2931" s="1">
        <v>6.9252096E7</v>
      </c>
      <c r="D2931" s="1" t="s">
        <v>4010</v>
      </c>
    </row>
    <row r="2932">
      <c r="A2932" s="1">
        <v>624.0</v>
      </c>
      <c r="B2932" s="1">
        <v>1.6297683E7</v>
      </c>
      <c r="C2932" s="1">
        <v>6.9105845E7</v>
      </c>
      <c r="D2932" s="1" t="s">
        <v>4011</v>
      </c>
    </row>
    <row r="2933">
      <c r="A2933" s="1">
        <v>380.0</v>
      </c>
      <c r="B2933" s="1">
        <v>1.6288406E7</v>
      </c>
      <c r="C2933" s="1">
        <v>6.915084E7</v>
      </c>
      <c r="D2933" s="1" t="s">
        <v>4012</v>
      </c>
    </row>
    <row r="2934">
      <c r="A2934" s="1">
        <v>671.0</v>
      </c>
      <c r="B2934" s="1">
        <v>1.6270426E7</v>
      </c>
      <c r="C2934" s="1">
        <v>6.9126065E7</v>
      </c>
      <c r="D2934" s="1" t="s">
        <v>4013</v>
      </c>
    </row>
    <row r="2935">
      <c r="A2935" s="1">
        <v>586.0</v>
      </c>
      <c r="B2935" s="1">
        <v>1.6218559E7</v>
      </c>
      <c r="C2935" s="1">
        <v>6.8800639E7</v>
      </c>
      <c r="D2935" s="1" t="s">
        <v>4015</v>
      </c>
    </row>
    <row r="2936">
      <c r="A2936" s="1">
        <v>571.0</v>
      </c>
      <c r="B2936" s="1">
        <v>1.6211428E7</v>
      </c>
      <c r="C2936" s="1">
        <v>6.8931964E7</v>
      </c>
      <c r="D2936" s="1" t="s">
        <v>4016</v>
      </c>
    </row>
    <row r="2937">
      <c r="A2937" s="1">
        <v>398.0</v>
      </c>
      <c r="B2937" s="1">
        <v>1.6202202E7</v>
      </c>
      <c r="C2937" s="1">
        <v>2.89097779E8</v>
      </c>
      <c r="D2937" s="1" t="s">
        <v>4018</v>
      </c>
    </row>
    <row r="2938">
      <c r="A2938" s="1">
        <v>673.0</v>
      </c>
      <c r="B2938" s="1">
        <v>1.6152045E7</v>
      </c>
      <c r="C2938" s="1">
        <v>6.8643064E7</v>
      </c>
      <c r="D2938" s="1" t="s">
        <v>4019</v>
      </c>
    </row>
    <row r="2939">
      <c r="A2939" s="1">
        <v>602.0</v>
      </c>
      <c r="B2939" s="1">
        <v>1.6150935E7</v>
      </c>
      <c r="C2939" s="1">
        <v>2.05397038E8</v>
      </c>
      <c r="D2939" s="1" t="s">
        <v>4021</v>
      </c>
    </row>
    <row r="2940">
      <c r="A2940" s="1">
        <v>602.0</v>
      </c>
      <c r="B2940" s="1">
        <v>1.61367E7</v>
      </c>
      <c r="C2940" s="1">
        <v>6.8960806E7</v>
      </c>
      <c r="D2940" s="1" t="s">
        <v>4022</v>
      </c>
    </row>
    <row r="2941">
      <c r="A2941" s="1">
        <v>694.0</v>
      </c>
      <c r="B2941" s="1">
        <v>1.6078244E7</v>
      </c>
      <c r="C2941" s="1">
        <v>6.8193905E7</v>
      </c>
      <c r="D2941" s="1" t="s">
        <v>4024</v>
      </c>
    </row>
    <row r="2942">
      <c r="A2942" s="1">
        <v>664.0</v>
      </c>
      <c r="B2942" s="1">
        <v>1.6076968E7</v>
      </c>
      <c r="C2942" s="1">
        <v>6.8408553E7</v>
      </c>
      <c r="D2942" s="1" t="s">
        <v>4026</v>
      </c>
    </row>
    <row r="2943">
      <c r="A2943" s="1">
        <v>531.0</v>
      </c>
      <c r="B2943" s="1">
        <v>1.6058907E7</v>
      </c>
      <c r="C2943" s="1">
        <v>6.8199078E7</v>
      </c>
      <c r="D2943" s="1" t="s">
        <v>4028</v>
      </c>
    </row>
    <row r="2944">
      <c r="A2944" s="1">
        <v>355.0</v>
      </c>
      <c r="B2944" s="1">
        <v>1.6030998E7</v>
      </c>
      <c r="C2944" s="1">
        <v>6.8055022E7</v>
      </c>
      <c r="D2944" s="1" t="s">
        <v>4029</v>
      </c>
    </row>
    <row r="2945">
      <c r="A2945" s="1">
        <v>609.0</v>
      </c>
      <c r="B2945" s="1">
        <v>1.6023423E7</v>
      </c>
      <c r="C2945" s="1">
        <v>6.8090149E7</v>
      </c>
      <c r="D2945" s="1" t="s">
        <v>3924</v>
      </c>
    </row>
    <row r="2946">
      <c r="A2946" s="1">
        <v>696.0</v>
      </c>
      <c r="B2946" s="1">
        <v>1.6018734E7</v>
      </c>
      <c r="C2946" s="1">
        <v>6.802875E7</v>
      </c>
      <c r="D2946" s="1" t="s">
        <v>4030</v>
      </c>
    </row>
    <row r="2947">
      <c r="A2947" s="1">
        <v>225.0</v>
      </c>
      <c r="B2947" s="1">
        <v>1.600861E7</v>
      </c>
      <c r="C2947" s="1">
        <v>6.8072351E7</v>
      </c>
      <c r="D2947" s="1" t="s">
        <v>4031</v>
      </c>
    </row>
    <row r="2948">
      <c r="A2948" s="1">
        <v>380.0</v>
      </c>
      <c r="B2948" s="1">
        <v>1.6008484E7</v>
      </c>
      <c r="C2948" s="1">
        <v>6.8036832E7</v>
      </c>
      <c r="D2948" s="1" t="s">
        <v>4033</v>
      </c>
    </row>
    <row r="2949">
      <c r="A2949" s="1">
        <v>677.0</v>
      </c>
      <c r="B2949" s="1">
        <v>1.5984034E7</v>
      </c>
      <c r="C2949" s="1">
        <v>6.8204098E7</v>
      </c>
      <c r="D2949" s="1" t="s">
        <v>4035</v>
      </c>
    </row>
    <row r="2950">
      <c r="A2950" s="1">
        <v>404.0</v>
      </c>
      <c r="B2950" s="1">
        <v>1.5949741E7</v>
      </c>
      <c r="C2950" s="1">
        <v>1.31382796E8</v>
      </c>
      <c r="D2950" s="1" t="s">
        <v>4036</v>
      </c>
    </row>
    <row r="2951">
      <c r="A2951" s="1">
        <v>571.0</v>
      </c>
      <c r="B2951" s="1">
        <v>1.5940886E7</v>
      </c>
      <c r="C2951" s="1">
        <v>6.7718468E7</v>
      </c>
      <c r="D2951" s="1" t="s">
        <v>4038</v>
      </c>
    </row>
    <row r="2952">
      <c r="A2952" s="1">
        <v>473.0</v>
      </c>
      <c r="B2952" s="1">
        <v>1.5919724E7</v>
      </c>
      <c r="C2952" s="1">
        <v>1.65345956E8</v>
      </c>
      <c r="D2952" s="1" t="s">
        <v>4039</v>
      </c>
    </row>
    <row r="2953">
      <c r="A2953" s="1">
        <v>601.0</v>
      </c>
      <c r="B2953" s="1">
        <v>1.5916892E7</v>
      </c>
      <c r="C2953" s="1">
        <v>6.7584919E7</v>
      </c>
      <c r="D2953" s="1" t="s">
        <v>4040</v>
      </c>
    </row>
    <row r="2954">
      <c r="A2954" s="1">
        <v>644.0</v>
      </c>
      <c r="B2954" s="1">
        <v>1.5911057E7</v>
      </c>
      <c r="C2954" s="1">
        <v>6.7611067E7</v>
      </c>
      <c r="D2954" s="1" t="s">
        <v>4041</v>
      </c>
    </row>
    <row r="2955">
      <c r="A2955" s="1">
        <v>671.0</v>
      </c>
      <c r="B2955" s="1">
        <v>1.5902705E7</v>
      </c>
      <c r="C2955" s="1">
        <v>6.746068E7</v>
      </c>
      <c r="D2955" s="1" t="s">
        <v>4042</v>
      </c>
    </row>
    <row r="2956">
      <c r="A2956" s="1">
        <v>410.0</v>
      </c>
      <c r="B2956" s="1">
        <v>1.5895592E7</v>
      </c>
      <c r="C2956" s="1">
        <v>6.7483477E7</v>
      </c>
      <c r="D2956" s="1" t="s">
        <v>4043</v>
      </c>
    </row>
    <row r="2957">
      <c r="A2957" s="1">
        <v>225.0</v>
      </c>
      <c r="B2957" s="1">
        <v>1.5895059E7</v>
      </c>
      <c r="C2957" s="1">
        <v>6.7464387E7</v>
      </c>
      <c r="D2957" s="1" t="s">
        <v>4045</v>
      </c>
    </row>
    <row r="2958">
      <c r="A2958" s="1">
        <v>210.0</v>
      </c>
      <c r="B2958" s="1">
        <v>1.5867677E7</v>
      </c>
      <c r="C2958" s="1">
        <v>6.7443498E7</v>
      </c>
      <c r="D2958" s="1" t="s">
        <v>3681</v>
      </c>
    </row>
    <row r="2959">
      <c r="A2959" s="1">
        <v>414.0</v>
      </c>
      <c r="B2959" s="1">
        <v>1.5860903E7</v>
      </c>
      <c r="C2959" s="1">
        <v>6.8330782E7</v>
      </c>
      <c r="D2959" s="1" t="s">
        <v>4046</v>
      </c>
    </row>
    <row r="2960">
      <c r="A2960" s="1">
        <v>573.0</v>
      </c>
      <c r="B2960" s="1">
        <v>1.5801355E7</v>
      </c>
      <c r="C2960" s="1">
        <v>6.7158746E7</v>
      </c>
      <c r="D2960" s="1" t="s">
        <v>4047</v>
      </c>
    </row>
    <row r="2961">
      <c r="A2961" s="1">
        <v>716.0</v>
      </c>
      <c r="B2961" s="1">
        <v>1.5762229E7</v>
      </c>
      <c r="C2961" s="1">
        <v>6.7011603E7</v>
      </c>
      <c r="D2961" s="1" t="s">
        <v>4048</v>
      </c>
    </row>
    <row r="2962">
      <c r="A2962" s="1">
        <v>702.0</v>
      </c>
      <c r="B2962" s="1">
        <v>1.5760346E7</v>
      </c>
      <c r="C2962" s="1">
        <v>6.7008946E7</v>
      </c>
      <c r="D2962" s="1" t="s">
        <v>4049</v>
      </c>
    </row>
    <row r="2963">
      <c r="A2963" s="1">
        <v>665.0</v>
      </c>
      <c r="B2963" s="1">
        <v>1.573305E7</v>
      </c>
      <c r="C2963" s="1">
        <v>3.2425E8</v>
      </c>
      <c r="D2963" s="1" t="s">
        <v>4051</v>
      </c>
    </row>
    <row r="2964">
      <c r="A2964" s="1">
        <v>601.0</v>
      </c>
      <c r="B2964" s="1">
        <v>1.5728829E7</v>
      </c>
      <c r="C2964" s="1">
        <v>6.7150114E7</v>
      </c>
      <c r="D2964" s="1" t="s">
        <v>4052</v>
      </c>
    </row>
    <row r="2965">
      <c r="A2965" s="1">
        <v>570.0</v>
      </c>
      <c r="B2965" s="1">
        <v>1.5706058E7</v>
      </c>
      <c r="C2965" s="1">
        <v>6.6713931E7</v>
      </c>
      <c r="D2965" s="1" t="s">
        <v>3297</v>
      </c>
    </row>
    <row r="2966">
      <c r="A2966" s="1">
        <v>669.0</v>
      </c>
      <c r="B2966" s="1">
        <v>1.5675912E7</v>
      </c>
      <c r="C2966" s="1">
        <v>6.6570691E7</v>
      </c>
      <c r="D2966" s="17" t="s">
        <v>4054</v>
      </c>
    </row>
    <row r="2967">
      <c r="A2967" s="1">
        <v>715.0</v>
      </c>
      <c r="B2967" s="1">
        <v>1.5671176E7</v>
      </c>
      <c r="C2967" s="1">
        <v>6.6551954E7</v>
      </c>
      <c r="D2967" s="1" t="s">
        <v>4055</v>
      </c>
    </row>
    <row r="2968">
      <c r="A2968" s="1">
        <v>244.0</v>
      </c>
      <c r="B2968" s="1">
        <v>1.5667487E7</v>
      </c>
      <c r="C2968" s="1">
        <v>6.6582163E7</v>
      </c>
      <c r="D2968" s="1" t="s">
        <v>4056</v>
      </c>
    </row>
    <row r="2969">
      <c r="A2969" s="1">
        <v>504.0</v>
      </c>
      <c r="B2969" s="1">
        <v>1.5660004E7</v>
      </c>
      <c r="C2969" s="1">
        <v>1.06338732E8</v>
      </c>
      <c r="D2969" s="1" t="s">
        <v>4057</v>
      </c>
    </row>
    <row r="2970">
      <c r="A2970" s="1">
        <v>225.0</v>
      </c>
      <c r="B2970" s="1">
        <v>1.5656607E7</v>
      </c>
      <c r="C2970" s="1">
        <v>6.6606978E7</v>
      </c>
      <c r="D2970" s="1" t="s">
        <v>4058</v>
      </c>
    </row>
    <row r="2971">
      <c r="A2971" s="1">
        <v>601.0</v>
      </c>
      <c r="B2971" s="1">
        <v>1.5630058E7</v>
      </c>
      <c r="C2971" s="1">
        <v>6.6579716E7</v>
      </c>
      <c r="D2971" s="1" t="s">
        <v>4059</v>
      </c>
    </row>
    <row r="2972">
      <c r="A2972" s="1">
        <v>394.0</v>
      </c>
      <c r="B2972" s="1">
        <v>1.560509E7</v>
      </c>
      <c r="C2972" s="1">
        <v>6.6291316E7</v>
      </c>
      <c r="D2972" s="1" t="s">
        <v>2833</v>
      </c>
    </row>
    <row r="2973">
      <c r="A2973" s="1">
        <v>142.0</v>
      </c>
      <c r="B2973" s="1">
        <v>1.5596999E7</v>
      </c>
      <c r="C2973" s="1">
        <v>6.6336832E7</v>
      </c>
      <c r="D2973" s="1" t="s">
        <v>4062</v>
      </c>
    </row>
    <row r="2974">
      <c r="A2974" s="1">
        <v>671.0</v>
      </c>
      <c r="B2974" s="1">
        <v>1.5584144E7</v>
      </c>
      <c r="C2974" s="1">
        <v>6.6312151E7</v>
      </c>
      <c r="D2974" s="1" t="s">
        <v>2510</v>
      </c>
    </row>
    <row r="2975">
      <c r="A2975" s="1">
        <v>578.0</v>
      </c>
      <c r="B2975" s="1">
        <v>1.557986E7</v>
      </c>
      <c r="C2975" s="1">
        <v>6.615643E7</v>
      </c>
      <c r="D2975" s="1" t="s">
        <v>4064</v>
      </c>
    </row>
    <row r="2976">
      <c r="A2976" s="1">
        <v>608.0</v>
      </c>
      <c r="B2976" s="1">
        <v>1.5544281E7</v>
      </c>
      <c r="C2976" s="1">
        <v>6.6013397E7</v>
      </c>
      <c r="D2976" s="1" t="s">
        <v>4065</v>
      </c>
    </row>
    <row r="2977">
      <c r="A2977" s="1">
        <v>609.0</v>
      </c>
      <c r="B2977" s="1">
        <v>1.5507308E7</v>
      </c>
      <c r="C2977" s="1">
        <v>6.6058694E7</v>
      </c>
      <c r="D2977" s="1" t="s">
        <v>3126</v>
      </c>
    </row>
    <row r="2978">
      <c r="A2978" s="1">
        <v>671.0</v>
      </c>
      <c r="B2978" s="1">
        <v>1.5498132E7</v>
      </c>
      <c r="C2978" s="1">
        <v>6.5853053E7</v>
      </c>
      <c r="D2978" s="1" t="s">
        <v>4067</v>
      </c>
    </row>
    <row r="2979">
      <c r="A2979" s="1">
        <v>504.0</v>
      </c>
      <c r="B2979" s="1">
        <v>1.5475443E7</v>
      </c>
      <c r="C2979" s="1">
        <v>6.581179E7</v>
      </c>
      <c r="D2979" s="1" t="s">
        <v>4069</v>
      </c>
    </row>
    <row r="2980">
      <c r="A2980" s="1">
        <v>587.0</v>
      </c>
      <c r="B2980" s="1">
        <v>1.5469654E7</v>
      </c>
      <c r="C2980" s="1">
        <v>6.5712898E7</v>
      </c>
      <c r="D2980" s="1" t="s">
        <v>1661</v>
      </c>
    </row>
    <row r="2981">
      <c r="A2981" s="1">
        <v>207.0</v>
      </c>
      <c r="B2981" s="1">
        <v>1.5458143E7</v>
      </c>
      <c r="C2981" s="1">
        <v>6.5687006E7</v>
      </c>
      <c r="D2981" s="1" t="s">
        <v>4070</v>
      </c>
    </row>
    <row r="2982">
      <c r="A2982" s="1">
        <v>671.0</v>
      </c>
      <c r="B2982" s="1">
        <v>1.5418729E7</v>
      </c>
      <c r="C2982" s="1">
        <v>6.5710224E7</v>
      </c>
      <c r="D2982" s="1" t="s">
        <v>4071</v>
      </c>
    </row>
    <row r="2983">
      <c r="A2983" s="1">
        <v>531.0</v>
      </c>
      <c r="B2983" s="1">
        <v>1.5413611E7</v>
      </c>
      <c r="C2983" s="1">
        <v>6.5686034E7</v>
      </c>
      <c r="D2983" s="1" t="s">
        <v>4072</v>
      </c>
    </row>
    <row r="2984">
      <c r="A2984" s="1">
        <v>210.0</v>
      </c>
      <c r="B2984" s="1">
        <v>1.5409935E7</v>
      </c>
      <c r="C2984" s="1">
        <v>6.5549107E7</v>
      </c>
      <c r="D2984" s="1" t="s">
        <v>4073</v>
      </c>
    </row>
    <row r="2985">
      <c r="A2985" s="1">
        <v>403.0</v>
      </c>
      <c r="B2985" s="1">
        <v>1.5334377E7</v>
      </c>
      <c r="C2985" s="1">
        <v>6.5108663E7</v>
      </c>
      <c r="D2985" s="1" t="s">
        <v>4074</v>
      </c>
    </row>
    <row r="2986">
      <c r="A2986" s="1">
        <v>587.0</v>
      </c>
      <c r="B2986" s="1">
        <v>1.5321607E7</v>
      </c>
      <c r="C2986" s="1">
        <v>1.97637103E8</v>
      </c>
      <c r="D2986" s="1" t="s">
        <v>3471</v>
      </c>
    </row>
    <row r="2987">
      <c r="A2987" s="1">
        <v>531.0</v>
      </c>
      <c r="B2987" s="1">
        <v>1.5274135E7</v>
      </c>
      <c r="C2987" s="1">
        <v>6.493696E7</v>
      </c>
      <c r="D2987" s="1" t="s">
        <v>4075</v>
      </c>
    </row>
    <row r="2988">
      <c r="A2988" s="1">
        <v>671.0</v>
      </c>
      <c r="B2988" s="1">
        <v>1.5273879E7</v>
      </c>
      <c r="C2988" s="1">
        <v>6.4962571E7</v>
      </c>
      <c r="D2988" s="1" t="s">
        <v>1751</v>
      </c>
    </row>
    <row r="2989">
      <c r="A2989" s="1">
        <v>609.0</v>
      </c>
      <c r="B2989" s="1">
        <v>1.5259827E7</v>
      </c>
      <c r="C2989" s="1">
        <v>6.5015645E7</v>
      </c>
      <c r="D2989" s="1" t="s">
        <v>4077</v>
      </c>
    </row>
    <row r="2990">
      <c r="A2990" s="1">
        <v>395.0</v>
      </c>
      <c r="B2990" s="1">
        <v>1.5257246E7</v>
      </c>
      <c r="C2990" s="1">
        <v>6.4940219E7</v>
      </c>
      <c r="D2990" s="1" t="s">
        <v>4078</v>
      </c>
    </row>
    <row r="2991">
      <c r="A2991" s="1">
        <v>602.0</v>
      </c>
      <c r="B2991" s="1">
        <v>1.5232426E7</v>
      </c>
      <c r="C2991" s="1">
        <v>6.4787064E7</v>
      </c>
      <c r="D2991" s="1" t="s">
        <v>4079</v>
      </c>
    </row>
    <row r="2992">
      <c r="A2992" s="1">
        <v>665.0</v>
      </c>
      <c r="B2992" s="1">
        <v>1.5217767E7</v>
      </c>
      <c r="C2992" s="1">
        <v>6.4649225E7</v>
      </c>
      <c r="D2992" s="1" t="s">
        <v>4081</v>
      </c>
    </row>
    <row r="2993">
      <c r="A2993" s="1">
        <v>228.0</v>
      </c>
      <c r="B2993" s="1">
        <v>1.5214828E7</v>
      </c>
      <c r="C2993" s="1">
        <v>6.4641186E7</v>
      </c>
      <c r="D2993" s="1" t="s">
        <v>4082</v>
      </c>
    </row>
    <row r="2994">
      <c r="A2994" s="1">
        <v>694.0</v>
      </c>
      <c r="B2994" s="1">
        <v>1.5200577E7</v>
      </c>
      <c r="C2994" s="1">
        <v>6.4653451E7</v>
      </c>
      <c r="D2994" s="1" t="s">
        <v>4084</v>
      </c>
    </row>
    <row r="2995">
      <c r="A2995" s="1">
        <v>715.0</v>
      </c>
      <c r="B2995" s="1">
        <v>1.5199361E7</v>
      </c>
      <c r="C2995" s="1">
        <v>6.4593504E7</v>
      </c>
      <c r="D2995" s="1" t="s">
        <v>4086</v>
      </c>
    </row>
    <row r="2996">
      <c r="A2996" s="1">
        <v>405.0</v>
      </c>
      <c r="B2996" s="1">
        <v>1.5193349E7</v>
      </c>
      <c r="C2996" s="1">
        <v>6.4615401E7</v>
      </c>
      <c r="D2996" s="1" t="s">
        <v>4087</v>
      </c>
    </row>
    <row r="2997">
      <c r="A2997" s="1">
        <v>609.0</v>
      </c>
      <c r="B2997" s="1">
        <v>1.5188915E7</v>
      </c>
      <c r="C2997" s="1">
        <v>6.4528838E7</v>
      </c>
      <c r="D2997" s="1" t="s">
        <v>4089</v>
      </c>
    </row>
    <row r="2998">
      <c r="A2998" s="1">
        <v>142.0</v>
      </c>
      <c r="B2998" s="1">
        <v>1.5181242E7</v>
      </c>
      <c r="C2998" s="1">
        <v>6.4538005E7</v>
      </c>
      <c r="D2998" s="1" t="s">
        <v>4090</v>
      </c>
    </row>
    <row r="2999">
      <c r="A2999" s="1">
        <v>602.0</v>
      </c>
      <c r="B2999" s="1">
        <v>1.517724E7</v>
      </c>
      <c r="C2999" s="1">
        <v>6.4635634E7</v>
      </c>
      <c r="D2999" s="1" t="s">
        <v>2366</v>
      </c>
    </row>
    <row r="3000">
      <c r="A3000" s="1">
        <v>609.0</v>
      </c>
      <c r="B3000" s="1">
        <v>1.5172617E7</v>
      </c>
      <c r="C3000" s="1">
        <v>6.4511935E7</v>
      </c>
      <c r="D3000" s="1" t="s">
        <v>4091</v>
      </c>
    </row>
    <row r="3001">
      <c r="A3001" s="1">
        <v>694.0</v>
      </c>
      <c r="B3001" s="1">
        <v>1.5170577E7</v>
      </c>
      <c r="C3001" s="1">
        <v>6.4473533E7</v>
      </c>
      <c r="D3001" s="1" t="s">
        <v>1472</v>
      </c>
    </row>
    <row r="3002">
      <c r="A3002" s="1">
        <v>476.0</v>
      </c>
      <c r="B3002" s="1">
        <v>1.5168276E7</v>
      </c>
      <c r="C3002" s="1">
        <v>6.4686733E7</v>
      </c>
      <c r="D3002" s="1" t="s">
        <v>3824</v>
      </c>
    </row>
    <row r="3003">
      <c r="A3003" s="1">
        <v>319.0</v>
      </c>
      <c r="B3003" s="1">
        <v>1.5167438E7</v>
      </c>
      <c r="C3003" s="1">
        <v>3.66056515E8</v>
      </c>
      <c r="D3003" s="1" t="s">
        <v>3500</v>
      </c>
    </row>
    <row r="3004">
      <c r="A3004" s="1">
        <v>571.0</v>
      </c>
      <c r="B3004" s="1">
        <v>1.5166533E7</v>
      </c>
      <c r="C3004" s="1">
        <v>6.4467488E7</v>
      </c>
      <c r="D3004" s="1" t="s">
        <v>4092</v>
      </c>
    </row>
    <row r="3005">
      <c r="A3005" s="1">
        <v>210.0</v>
      </c>
      <c r="B3005" s="1">
        <v>1.5164052E7</v>
      </c>
      <c r="C3005" s="1">
        <v>3.95628748E8</v>
      </c>
      <c r="D3005" s="1" t="s">
        <v>4094</v>
      </c>
    </row>
    <row r="3006">
      <c r="A3006" s="1">
        <v>142.0</v>
      </c>
      <c r="B3006" s="1">
        <v>1.516032E7</v>
      </c>
      <c r="C3006" s="1">
        <v>6.4647615E7</v>
      </c>
      <c r="D3006" s="1" t="s">
        <v>1151</v>
      </c>
    </row>
    <row r="3007">
      <c r="A3007" s="1">
        <v>142.0</v>
      </c>
      <c r="B3007" s="1">
        <v>1.5152719E7</v>
      </c>
      <c r="C3007" s="1">
        <v>6.4635989E7</v>
      </c>
      <c r="D3007" s="1" t="s">
        <v>3390</v>
      </c>
    </row>
    <row r="3008">
      <c r="A3008" s="1">
        <v>601.0</v>
      </c>
      <c r="B3008" s="1">
        <v>1.5146648E7</v>
      </c>
      <c r="C3008" s="1">
        <v>6.4489292E7</v>
      </c>
      <c r="D3008" s="1" t="s">
        <v>4097</v>
      </c>
    </row>
    <row r="3009">
      <c r="A3009" s="1">
        <v>694.0</v>
      </c>
      <c r="B3009" s="1">
        <v>1.5144782E7</v>
      </c>
      <c r="C3009" s="1">
        <v>6.4370063E7</v>
      </c>
      <c r="D3009" s="1" t="s">
        <v>378</v>
      </c>
    </row>
    <row r="3010">
      <c r="A3010" s="1">
        <v>475.0</v>
      </c>
      <c r="B3010" s="1">
        <v>1.513746E7</v>
      </c>
      <c r="C3010" s="1">
        <v>6.4360143E7</v>
      </c>
      <c r="D3010" s="1" t="s">
        <v>1178</v>
      </c>
    </row>
    <row r="3011">
      <c r="A3011" s="1">
        <v>215.0</v>
      </c>
      <c r="B3011" s="1">
        <v>1.5126229E7</v>
      </c>
      <c r="C3011" s="1">
        <v>6.4270849E7</v>
      </c>
      <c r="D3011" s="1" t="s">
        <v>4098</v>
      </c>
    </row>
    <row r="3012">
      <c r="A3012" s="1">
        <v>503.0</v>
      </c>
      <c r="B3012" s="1">
        <v>1.5121031E7</v>
      </c>
      <c r="C3012" s="1">
        <v>6.4518796E7</v>
      </c>
      <c r="D3012" s="1" t="s">
        <v>4099</v>
      </c>
    </row>
    <row r="3013">
      <c r="A3013" s="1">
        <v>503.0</v>
      </c>
      <c r="B3013" s="1">
        <v>1.5048514E7</v>
      </c>
      <c r="C3013" s="1">
        <v>6.4003029E7</v>
      </c>
      <c r="D3013" s="1" t="s">
        <v>4100</v>
      </c>
    </row>
    <row r="3014">
      <c r="A3014" s="1">
        <v>173.0</v>
      </c>
      <c r="B3014" s="1">
        <v>1.5021405E7</v>
      </c>
      <c r="C3014" s="1">
        <v>6.3826667E7</v>
      </c>
      <c r="D3014" s="1" t="s">
        <v>4101</v>
      </c>
    </row>
    <row r="3015">
      <c r="A3015" s="1">
        <v>664.0</v>
      </c>
      <c r="B3015" s="1">
        <v>1.5005047E7</v>
      </c>
      <c r="C3015" s="1">
        <v>6.380416E7</v>
      </c>
      <c r="D3015" s="1" t="s">
        <v>4103</v>
      </c>
    </row>
    <row r="3016">
      <c r="A3016" s="1">
        <v>656.0</v>
      </c>
      <c r="B3016" s="1">
        <v>1.4995219E7</v>
      </c>
      <c r="C3016" s="1">
        <v>6.3819761E7</v>
      </c>
      <c r="D3016" s="1" t="s">
        <v>4105</v>
      </c>
    </row>
    <row r="3017">
      <c r="A3017" s="1">
        <v>665.0</v>
      </c>
      <c r="B3017" s="1">
        <v>1.4986903E7</v>
      </c>
      <c r="C3017" s="1">
        <v>6.3690395E7</v>
      </c>
      <c r="D3017" s="1" t="s">
        <v>4027</v>
      </c>
    </row>
    <row r="3018">
      <c r="A3018" s="1">
        <v>210.0</v>
      </c>
      <c r="B3018" s="1">
        <v>1.4969618E7</v>
      </c>
      <c r="C3018" s="1">
        <v>8.0231342E7</v>
      </c>
      <c r="D3018" s="1" t="s">
        <v>4107</v>
      </c>
    </row>
    <row r="3019">
      <c r="A3019" s="1">
        <v>379.0</v>
      </c>
      <c r="B3019" s="1">
        <v>1.4951782E7</v>
      </c>
      <c r="C3019" s="1">
        <v>6.3525843E7</v>
      </c>
      <c r="D3019" s="1" t="s">
        <v>4108</v>
      </c>
    </row>
    <row r="3020">
      <c r="A3020" s="1">
        <v>414.0</v>
      </c>
      <c r="B3020" s="1">
        <v>1.4919862E7</v>
      </c>
      <c r="C3020" s="1">
        <v>6.3404045E7</v>
      </c>
      <c r="D3020" s="1" t="s">
        <v>4110</v>
      </c>
    </row>
    <row r="3021">
      <c r="A3021" s="1">
        <v>355.0</v>
      </c>
      <c r="B3021" s="1">
        <v>1.4918932E7</v>
      </c>
      <c r="C3021" s="1">
        <v>6.3427341E7</v>
      </c>
      <c r="D3021" s="1" t="s">
        <v>4111</v>
      </c>
    </row>
    <row r="3022">
      <c r="A3022" s="1">
        <v>414.0</v>
      </c>
      <c r="B3022" s="1">
        <v>1.4892827E7</v>
      </c>
      <c r="C3022" s="1">
        <v>6.326568E7</v>
      </c>
      <c r="D3022" s="1" t="s">
        <v>1262</v>
      </c>
    </row>
    <row r="3023">
      <c r="A3023" s="1">
        <v>142.0</v>
      </c>
      <c r="B3023" s="1">
        <v>1.4887684E7</v>
      </c>
      <c r="C3023" s="1">
        <v>6.3560121E7</v>
      </c>
      <c r="D3023" s="1" t="s">
        <v>4112</v>
      </c>
    </row>
    <row r="3024">
      <c r="A3024" s="1">
        <v>573.0</v>
      </c>
      <c r="B3024" s="1">
        <v>1.4876508E7</v>
      </c>
      <c r="C3024" s="1">
        <v>6.3261386E7</v>
      </c>
      <c r="D3024" s="1" t="s">
        <v>4113</v>
      </c>
    </row>
    <row r="3025">
      <c r="A3025" s="1">
        <v>673.0</v>
      </c>
      <c r="B3025" s="1">
        <v>1.4838518E7</v>
      </c>
      <c r="C3025" s="1">
        <v>6.3065495E7</v>
      </c>
      <c r="D3025" s="1" t="s">
        <v>4114</v>
      </c>
    </row>
    <row r="3026">
      <c r="A3026" s="1">
        <v>676.0</v>
      </c>
      <c r="B3026" s="1">
        <v>1.483557E7</v>
      </c>
      <c r="C3026" s="1">
        <v>6.3062239E7</v>
      </c>
      <c r="D3026" s="1" t="s">
        <v>4115</v>
      </c>
    </row>
    <row r="3027">
      <c r="A3027" s="1">
        <v>355.0</v>
      </c>
      <c r="B3027" s="1">
        <v>1.4824589E7</v>
      </c>
      <c r="C3027" s="1">
        <v>6.3073434E7</v>
      </c>
      <c r="D3027" s="1" t="s">
        <v>4116</v>
      </c>
    </row>
    <row r="3028">
      <c r="A3028" s="1">
        <v>488.0</v>
      </c>
      <c r="B3028" s="1">
        <v>1.4822684E7</v>
      </c>
      <c r="C3028" s="1">
        <v>6.3075458E7</v>
      </c>
      <c r="D3028" s="1" t="s">
        <v>4025</v>
      </c>
    </row>
    <row r="3029">
      <c r="A3029" s="1">
        <v>607.0</v>
      </c>
      <c r="B3029" s="1">
        <v>1.481779E7</v>
      </c>
      <c r="C3029" s="1">
        <v>6.3069536E7</v>
      </c>
      <c r="D3029" s="1" t="s">
        <v>2940</v>
      </c>
    </row>
    <row r="3030">
      <c r="A3030" s="1">
        <v>694.0</v>
      </c>
      <c r="B3030" s="1">
        <v>1.479793E7</v>
      </c>
      <c r="C3030" s="1">
        <v>6.2893105E7</v>
      </c>
      <c r="D3030" s="1" t="s">
        <v>2067</v>
      </c>
    </row>
    <row r="3031">
      <c r="A3031" s="1">
        <v>571.0</v>
      </c>
      <c r="B3031" s="1">
        <v>1.4793543E7</v>
      </c>
      <c r="C3031" s="1">
        <v>6.302302E7</v>
      </c>
      <c r="D3031" s="1" t="s">
        <v>4117</v>
      </c>
    </row>
    <row r="3032">
      <c r="A3032" s="1">
        <v>410.0</v>
      </c>
      <c r="B3032" s="1">
        <v>1.4746913E7</v>
      </c>
      <c r="C3032" s="1">
        <v>6.269728E7</v>
      </c>
      <c r="D3032" s="1" t="s">
        <v>4118</v>
      </c>
    </row>
    <row r="3033">
      <c r="A3033" s="1">
        <v>355.0</v>
      </c>
      <c r="B3033" s="1">
        <v>1.474503E7</v>
      </c>
      <c r="C3033" s="1">
        <v>6.2670897E7</v>
      </c>
      <c r="D3033" s="1" t="s">
        <v>4119</v>
      </c>
    </row>
    <row r="3034">
      <c r="A3034" s="1">
        <v>504.0</v>
      </c>
      <c r="B3034" s="1">
        <v>1.4727333E7</v>
      </c>
      <c r="C3034" s="1">
        <v>6.2654279E7</v>
      </c>
      <c r="D3034" s="1" t="s">
        <v>1097</v>
      </c>
    </row>
    <row r="3035">
      <c r="A3035" s="1">
        <v>414.0</v>
      </c>
      <c r="B3035" s="1">
        <v>1.469394E7</v>
      </c>
      <c r="C3035" s="1">
        <v>6.2533424E7</v>
      </c>
      <c r="D3035" s="1" t="s">
        <v>3866</v>
      </c>
    </row>
    <row r="3036">
      <c r="A3036" s="1">
        <v>671.0</v>
      </c>
      <c r="B3036" s="1">
        <v>1.4661468E7</v>
      </c>
      <c r="C3036" s="1">
        <v>2.06597799E8</v>
      </c>
      <c r="D3036" s="1" t="s">
        <v>3974</v>
      </c>
    </row>
    <row r="3037">
      <c r="A3037" s="1">
        <v>392.0</v>
      </c>
      <c r="B3037" s="1">
        <v>1.4622498E7</v>
      </c>
      <c r="C3037" s="1">
        <v>6.2177084E7</v>
      </c>
      <c r="D3037" s="1" t="s">
        <v>2371</v>
      </c>
    </row>
    <row r="3038">
      <c r="A3038" s="1">
        <v>504.0</v>
      </c>
      <c r="B3038" s="1">
        <v>1.4607524E7</v>
      </c>
      <c r="C3038" s="1">
        <v>6.2135955E7</v>
      </c>
      <c r="D3038" s="1" t="s">
        <v>4120</v>
      </c>
    </row>
    <row r="3039">
      <c r="A3039" s="1">
        <v>244.0</v>
      </c>
      <c r="B3039" s="1">
        <v>1.4607022E7</v>
      </c>
      <c r="C3039" s="1">
        <v>6.2143182E7</v>
      </c>
      <c r="D3039" s="1" t="s">
        <v>4121</v>
      </c>
    </row>
    <row r="3040">
      <c r="A3040" s="1">
        <v>488.0</v>
      </c>
      <c r="B3040" s="1">
        <v>1.4587524E7</v>
      </c>
      <c r="C3040" s="1">
        <v>6.216142E7</v>
      </c>
      <c r="D3040" s="1" t="s">
        <v>3624</v>
      </c>
    </row>
    <row r="3041">
      <c r="A3041" s="1">
        <v>665.0</v>
      </c>
      <c r="B3041" s="1">
        <v>1.4575665E7</v>
      </c>
      <c r="C3041" s="1">
        <v>6.203979E7</v>
      </c>
      <c r="D3041" s="1" t="s">
        <v>4123</v>
      </c>
    </row>
    <row r="3042">
      <c r="A3042" s="1">
        <v>414.0</v>
      </c>
      <c r="B3042" s="1">
        <v>1.4574492E7</v>
      </c>
      <c r="C3042" s="1">
        <v>6.2012733E7</v>
      </c>
      <c r="D3042" s="1" t="s">
        <v>2682</v>
      </c>
    </row>
    <row r="3043">
      <c r="A3043" s="1">
        <v>244.0</v>
      </c>
      <c r="B3043" s="1">
        <v>1.4573719E7</v>
      </c>
      <c r="C3043" s="1">
        <v>6.2009911E7</v>
      </c>
      <c r="D3043" s="1" t="s">
        <v>4126</v>
      </c>
    </row>
    <row r="3044">
      <c r="A3044" s="1">
        <v>492.0</v>
      </c>
      <c r="B3044" s="1">
        <v>1.4527428E7</v>
      </c>
      <c r="C3044" s="1">
        <v>6.1790502E7</v>
      </c>
      <c r="D3044" s="1" t="s">
        <v>4127</v>
      </c>
    </row>
    <row r="3045">
      <c r="A3045" s="1">
        <v>571.0</v>
      </c>
      <c r="B3045" s="1">
        <v>1.4513702E7</v>
      </c>
      <c r="C3045" s="1">
        <v>6.1785686E7</v>
      </c>
      <c r="D3045" s="1" t="s">
        <v>4128</v>
      </c>
    </row>
    <row r="3046">
      <c r="A3046" s="1">
        <v>577.0</v>
      </c>
      <c r="B3046" s="1">
        <v>1.4494609E7</v>
      </c>
      <c r="C3046" s="1">
        <v>6.1655259E7</v>
      </c>
      <c r="D3046" s="1" t="s">
        <v>4129</v>
      </c>
    </row>
    <row r="3047">
      <c r="A3047" s="1">
        <v>678.0</v>
      </c>
      <c r="B3047" s="1">
        <v>1.4489419E7</v>
      </c>
      <c r="C3047" s="1">
        <v>6.1660164E7</v>
      </c>
      <c r="D3047" s="1" t="s">
        <v>4130</v>
      </c>
    </row>
    <row r="3048">
      <c r="A3048" s="1">
        <v>671.0</v>
      </c>
      <c r="B3048" s="1">
        <v>1.4469688E7</v>
      </c>
      <c r="C3048" s="1">
        <v>4.13079223E8</v>
      </c>
      <c r="D3048" s="1" t="s">
        <v>3623</v>
      </c>
    </row>
    <row r="3049">
      <c r="A3049" s="1">
        <v>644.0</v>
      </c>
      <c r="B3049" s="1">
        <v>1.4454759E7</v>
      </c>
      <c r="C3049" s="1">
        <v>6.1527208E7</v>
      </c>
      <c r="D3049" s="1" t="s">
        <v>4131</v>
      </c>
    </row>
    <row r="3050">
      <c r="A3050" s="1">
        <v>671.0</v>
      </c>
      <c r="B3050" s="1">
        <v>1.4426222E7</v>
      </c>
      <c r="C3050" s="1">
        <v>6.1551772E7</v>
      </c>
      <c r="D3050" s="1" t="s">
        <v>4132</v>
      </c>
    </row>
    <row r="3051">
      <c r="A3051" s="1">
        <v>395.0</v>
      </c>
      <c r="B3051" s="1">
        <v>1.4386025E7</v>
      </c>
      <c r="C3051" s="1">
        <v>6.1271775E7</v>
      </c>
      <c r="D3051" s="1" t="s">
        <v>4133</v>
      </c>
    </row>
    <row r="3052">
      <c r="A3052" s="1">
        <v>571.0</v>
      </c>
      <c r="B3052" s="1">
        <v>1.4365823E7</v>
      </c>
      <c r="C3052" s="1">
        <v>6.1131793E7</v>
      </c>
      <c r="D3052" s="1" t="s">
        <v>4135</v>
      </c>
    </row>
    <row r="3053">
      <c r="A3053" s="1">
        <v>492.0</v>
      </c>
      <c r="B3053" s="1">
        <v>1.4344161E7</v>
      </c>
      <c r="C3053" s="1">
        <v>6.5556814E7</v>
      </c>
      <c r="D3053" s="1" t="s">
        <v>4136</v>
      </c>
    </row>
    <row r="3054">
      <c r="A3054" s="1">
        <v>414.0</v>
      </c>
      <c r="B3054" s="1">
        <v>1.4335888E7</v>
      </c>
      <c r="C3054" s="1">
        <v>6.101722E7</v>
      </c>
      <c r="D3054" s="1" t="s">
        <v>2643</v>
      </c>
    </row>
    <row r="3055">
      <c r="A3055" s="1">
        <v>320.0</v>
      </c>
      <c r="B3055" s="1">
        <v>1.4324148E7</v>
      </c>
      <c r="C3055" s="1">
        <v>6.0921018E7</v>
      </c>
      <c r="D3055" s="1" t="s">
        <v>4137</v>
      </c>
    </row>
    <row r="3056">
      <c r="A3056" s="1">
        <v>337.0</v>
      </c>
      <c r="B3056" s="1">
        <v>1.428564E7</v>
      </c>
      <c r="C3056" s="1">
        <v>6.0801803E7</v>
      </c>
      <c r="D3056" s="1" t="s">
        <v>4138</v>
      </c>
    </row>
    <row r="3057">
      <c r="A3057" s="1">
        <v>470.0</v>
      </c>
      <c r="B3057" s="1">
        <v>1.4279488E7</v>
      </c>
      <c r="C3057" s="1">
        <v>6.0802459E7</v>
      </c>
      <c r="D3057" s="1" t="s">
        <v>4140</v>
      </c>
    </row>
    <row r="3058">
      <c r="A3058" s="1">
        <v>571.0</v>
      </c>
      <c r="B3058" s="1">
        <v>1.4272781E7</v>
      </c>
      <c r="C3058" s="1">
        <v>6.090585E7</v>
      </c>
      <c r="D3058" s="1" t="s">
        <v>4141</v>
      </c>
    </row>
    <row r="3059">
      <c r="A3059" s="1">
        <v>673.0</v>
      </c>
      <c r="B3059" s="1">
        <v>1.4261646E7</v>
      </c>
      <c r="C3059" s="1">
        <v>6.068092E7</v>
      </c>
      <c r="D3059" s="1" t="s">
        <v>3505</v>
      </c>
    </row>
    <row r="3060">
      <c r="A3060" s="1">
        <v>405.0</v>
      </c>
      <c r="B3060" s="1">
        <v>1.4254218E7</v>
      </c>
      <c r="C3060" s="1">
        <v>6.0678429E7</v>
      </c>
      <c r="D3060" s="1" t="s">
        <v>4143</v>
      </c>
    </row>
    <row r="3061">
      <c r="A3061" s="1">
        <v>671.0</v>
      </c>
      <c r="B3061" s="1">
        <v>1.4239983E7</v>
      </c>
      <c r="C3061" s="1">
        <v>6.0602196E7</v>
      </c>
      <c r="D3061" s="1" t="s">
        <v>4144</v>
      </c>
    </row>
    <row r="3062">
      <c r="A3062" s="1">
        <v>172.0</v>
      </c>
      <c r="B3062" s="1">
        <v>1.4223583E7</v>
      </c>
      <c r="C3062" s="1">
        <v>6.0463177E7</v>
      </c>
      <c r="D3062" s="1" t="s">
        <v>1184</v>
      </c>
    </row>
    <row r="3063">
      <c r="A3063" s="1">
        <v>531.0</v>
      </c>
      <c r="B3063" s="1">
        <v>1.4221851E7</v>
      </c>
      <c r="C3063" s="1">
        <v>6.0479316E7</v>
      </c>
      <c r="D3063" s="1" t="s">
        <v>4145</v>
      </c>
    </row>
    <row r="3064">
      <c r="A3064" s="1">
        <v>414.0</v>
      </c>
      <c r="B3064" s="1">
        <v>1.4198821E7</v>
      </c>
      <c r="C3064" s="1">
        <v>6.0434956E7</v>
      </c>
      <c r="D3064" s="1" t="s">
        <v>382</v>
      </c>
    </row>
    <row r="3065">
      <c r="A3065" s="1">
        <v>472.0</v>
      </c>
      <c r="B3065" s="1">
        <v>1.4194165E7</v>
      </c>
      <c r="C3065" s="1">
        <v>6.0444923E7</v>
      </c>
      <c r="D3065" s="1" t="s">
        <v>1498</v>
      </c>
    </row>
    <row r="3066">
      <c r="A3066" s="1">
        <v>571.0</v>
      </c>
      <c r="B3066" s="1">
        <v>1.4073685E7</v>
      </c>
      <c r="C3066" s="1">
        <v>5.9871969E7</v>
      </c>
      <c r="D3066" s="1" t="s">
        <v>4146</v>
      </c>
    </row>
    <row r="3067">
      <c r="A3067" s="1">
        <v>587.0</v>
      </c>
      <c r="B3067" s="1">
        <v>1.4058656E7</v>
      </c>
      <c r="C3067" s="1">
        <v>3.86405166E8</v>
      </c>
      <c r="D3067" s="1" t="s">
        <v>4147</v>
      </c>
    </row>
    <row r="3068">
      <c r="A3068" s="1">
        <v>671.0</v>
      </c>
      <c r="B3068" s="1">
        <v>1.4045937E7</v>
      </c>
      <c r="C3068" s="1">
        <v>5.967397E7</v>
      </c>
      <c r="D3068" s="1" t="s">
        <v>4149</v>
      </c>
    </row>
    <row r="3069">
      <c r="A3069" s="1">
        <v>578.0</v>
      </c>
      <c r="B3069" s="1">
        <v>1.403816E7</v>
      </c>
      <c r="C3069" s="1">
        <v>5.9657445E7</v>
      </c>
      <c r="D3069" s="1" t="s">
        <v>4150</v>
      </c>
    </row>
    <row r="3070">
      <c r="A3070" s="1">
        <v>664.0</v>
      </c>
      <c r="B3070" s="1">
        <v>1.4035855E7</v>
      </c>
      <c r="C3070" s="1">
        <v>5.9679223E7</v>
      </c>
      <c r="D3070" s="1" t="s">
        <v>3715</v>
      </c>
    </row>
    <row r="3071">
      <c r="A3071" s="1">
        <v>531.0</v>
      </c>
      <c r="B3071" s="1">
        <v>1.4026391E7</v>
      </c>
      <c r="C3071" s="1">
        <v>5.96665E7</v>
      </c>
      <c r="D3071" s="1" t="s">
        <v>4153</v>
      </c>
    </row>
    <row r="3072">
      <c r="A3072" s="1">
        <v>203.0</v>
      </c>
      <c r="B3072" s="1">
        <v>1.4023517E7</v>
      </c>
      <c r="C3072" s="1">
        <v>1.29207923E8</v>
      </c>
      <c r="D3072" s="1" t="s">
        <v>4154</v>
      </c>
    </row>
    <row r="3073">
      <c r="A3073" s="1">
        <v>609.0</v>
      </c>
      <c r="B3073" s="1">
        <v>1.4020833E7</v>
      </c>
      <c r="C3073" s="1">
        <v>5.9572076E7</v>
      </c>
      <c r="D3073" s="1" t="s">
        <v>3812</v>
      </c>
    </row>
    <row r="3074">
      <c r="A3074" s="1">
        <v>531.0</v>
      </c>
      <c r="B3074" s="1">
        <v>1.4006057E7</v>
      </c>
      <c r="C3074" s="1">
        <v>5.9567447E7</v>
      </c>
      <c r="D3074" s="1" t="s">
        <v>4156</v>
      </c>
    </row>
    <row r="3075">
      <c r="A3075" s="1">
        <v>531.0</v>
      </c>
      <c r="B3075" s="1">
        <v>1.4006057E7</v>
      </c>
      <c r="C3075" s="1">
        <v>8.9468953E7</v>
      </c>
      <c r="D3075" s="1" t="s">
        <v>3330</v>
      </c>
    </row>
    <row r="3076">
      <c r="A3076" s="1">
        <v>504.0</v>
      </c>
      <c r="B3076" s="1">
        <v>1.4001411E7</v>
      </c>
      <c r="C3076" s="1">
        <v>1.31586605E8</v>
      </c>
      <c r="D3076" s="1" t="s">
        <v>4157</v>
      </c>
    </row>
    <row r="3077">
      <c r="A3077" s="1">
        <v>355.0</v>
      </c>
      <c r="B3077" s="1">
        <v>1.3995167E7</v>
      </c>
      <c r="C3077" s="1">
        <v>5.9450731E7</v>
      </c>
      <c r="D3077" s="1" t="s">
        <v>4158</v>
      </c>
    </row>
    <row r="3078">
      <c r="A3078" s="1">
        <v>609.0</v>
      </c>
      <c r="B3078" s="1">
        <v>1.3977387E7</v>
      </c>
      <c r="C3078" s="1">
        <v>5.9384903E7</v>
      </c>
      <c r="D3078" s="1" t="s">
        <v>3834</v>
      </c>
    </row>
    <row r="3079">
      <c r="A3079" s="1">
        <v>475.0</v>
      </c>
      <c r="B3079" s="1">
        <v>1.3945356E7</v>
      </c>
      <c r="C3079" s="1">
        <v>5.9232062E7</v>
      </c>
      <c r="D3079" s="1" t="s">
        <v>1786</v>
      </c>
    </row>
    <row r="3080">
      <c r="A3080" s="1">
        <v>654.0</v>
      </c>
      <c r="B3080" s="1">
        <v>1.3938853E7</v>
      </c>
      <c r="C3080" s="1">
        <v>5.9221156E7</v>
      </c>
      <c r="D3080" s="1" t="s">
        <v>4159</v>
      </c>
    </row>
    <row r="3081">
      <c r="A3081" s="1">
        <v>321.0</v>
      </c>
      <c r="B3081" s="1">
        <v>1.3934672E7</v>
      </c>
      <c r="C3081" s="1">
        <v>5.9150518E7</v>
      </c>
      <c r="D3081" s="1" t="s">
        <v>4160</v>
      </c>
    </row>
    <row r="3082">
      <c r="A3082" s="1">
        <v>603.0</v>
      </c>
      <c r="B3082" s="1">
        <v>1.3930986E7</v>
      </c>
      <c r="C3082" s="1">
        <v>5.9219101E7</v>
      </c>
      <c r="D3082" s="1" t="s">
        <v>3596</v>
      </c>
    </row>
    <row r="3083">
      <c r="A3083" s="1">
        <v>458.0</v>
      </c>
      <c r="B3083" s="1">
        <v>1.3930972E7</v>
      </c>
      <c r="C3083" s="1">
        <v>5.9135639E7</v>
      </c>
      <c r="D3083" s="1" t="s">
        <v>4162</v>
      </c>
    </row>
    <row r="3084">
      <c r="A3084" s="1">
        <v>492.0</v>
      </c>
      <c r="B3084" s="1">
        <v>1.3927813E7</v>
      </c>
      <c r="C3084" s="1">
        <v>5.9163359E7</v>
      </c>
      <c r="D3084" s="1" t="s">
        <v>4163</v>
      </c>
    </row>
    <row r="3085">
      <c r="A3085" s="1">
        <v>571.0</v>
      </c>
      <c r="B3085" s="1">
        <v>1.3896683E7</v>
      </c>
      <c r="C3085" s="1">
        <v>5.9013943E7</v>
      </c>
      <c r="D3085" s="1" t="s">
        <v>3236</v>
      </c>
    </row>
    <row r="3086">
      <c r="A3086" s="1">
        <v>395.0</v>
      </c>
      <c r="B3086" s="1">
        <v>1.3876038E7</v>
      </c>
      <c r="C3086" s="1">
        <v>5.9000665E7</v>
      </c>
      <c r="D3086" s="1" t="s">
        <v>4166</v>
      </c>
    </row>
    <row r="3087">
      <c r="A3087" s="1">
        <v>414.0</v>
      </c>
      <c r="B3087" s="1">
        <v>1.3854227E7</v>
      </c>
      <c r="C3087" s="1">
        <v>5.8860212E7</v>
      </c>
      <c r="D3087" s="1" t="s">
        <v>374</v>
      </c>
    </row>
    <row r="3088">
      <c r="A3088" s="1">
        <v>694.0</v>
      </c>
      <c r="B3088" s="1">
        <v>1.3849103E7</v>
      </c>
      <c r="C3088" s="1">
        <v>5.8866281E7</v>
      </c>
      <c r="D3088" s="1" t="s">
        <v>2686</v>
      </c>
    </row>
    <row r="3089">
      <c r="A3089" s="1">
        <v>700.0</v>
      </c>
      <c r="B3089" s="1">
        <v>1.3844272E7</v>
      </c>
      <c r="C3089" s="1">
        <v>5.8879306E7</v>
      </c>
      <c r="D3089" s="1" t="s">
        <v>4169</v>
      </c>
    </row>
    <row r="3090">
      <c r="A3090" s="1">
        <v>531.0</v>
      </c>
      <c r="B3090" s="1">
        <v>1.3824941E7</v>
      </c>
      <c r="C3090" s="1">
        <v>5.8726655E7</v>
      </c>
      <c r="D3090" s="1" t="s">
        <v>4171</v>
      </c>
    </row>
    <row r="3091">
      <c r="A3091" s="1">
        <v>665.0</v>
      </c>
      <c r="B3091" s="1">
        <v>1.3781368E7</v>
      </c>
      <c r="C3091" s="1">
        <v>3.79335901E8</v>
      </c>
      <c r="D3091" s="1" t="s">
        <v>4172</v>
      </c>
    </row>
    <row r="3092">
      <c r="A3092" s="1">
        <v>602.0</v>
      </c>
      <c r="B3092" s="1">
        <v>1.3766736E7</v>
      </c>
      <c r="C3092" s="1">
        <v>5.8482316E7</v>
      </c>
      <c r="D3092" s="1" t="s">
        <v>4174</v>
      </c>
    </row>
    <row r="3093">
      <c r="A3093" s="1">
        <v>664.0</v>
      </c>
      <c r="B3093" s="1">
        <v>1.3764234E7</v>
      </c>
      <c r="C3093" s="1">
        <v>5.8507791E7</v>
      </c>
      <c r="D3093" s="1" t="s">
        <v>4175</v>
      </c>
    </row>
    <row r="3094">
      <c r="A3094" s="1">
        <v>700.0</v>
      </c>
      <c r="B3094" s="1">
        <v>1.3755147E7</v>
      </c>
      <c r="C3094" s="1">
        <v>5.8485649E7</v>
      </c>
      <c r="D3094" s="1" t="s">
        <v>4176</v>
      </c>
    </row>
    <row r="3095">
      <c r="A3095" s="1">
        <v>661.0</v>
      </c>
      <c r="B3095" s="1">
        <v>1.3744211E7</v>
      </c>
      <c r="C3095" s="1">
        <v>5.8364061E7</v>
      </c>
      <c r="D3095" s="1" t="s">
        <v>946</v>
      </c>
    </row>
    <row r="3096">
      <c r="A3096" s="1">
        <v>676.0</v>
      </c>
      <c r="B3096" s="1">
        <v>1.3738424E7</v>
      </c>
      <c r="C3096" s="1">
        <v>5.8497771E7</v>
      </c>
      <c r="D3096" s="1" t="s">
        <v>4177</v>
      </c>
    </row>
    <row r="3097">
      <c r="A3097" s="1">
        <v>142.0</v>
      </c>
      <c r="B3097" s="1">
        <v>1.3733673E7</v>
      </c>
      <c r="C3097" s="1">
        <v>5.8267462E7</v>
      </c>
      <c r="D3097" s="1" t="s">
        <v>741</v>
      </c>
    </row>
    <row r="3098">
      <c r="A3098" s="1">
        <v>671.0</v>
      </c>
      <c r="B3098" s="1">
        <v>1.3732244E7</v>
      </c>
      <c r="C3098" s="1">
        <v>5.826846E7</v>
      </c>
      <c r="D3098" s="1" t="s">
        <v>2788</v>
      </c>
    </row>
    <row r="3099">
      <c r="A3099" s="1">
        <v>409.0</v>
      </c>
      <c r="B3099" s="1">
        <v>1.3699337E7</v>
      </c>
      <c r="C3099" s="1">
        <v>5.8163765E7</v>
      </c>
      <c r="D3099" s="1" t="s">
        <v>4178</v>
      </c>
    </row>
    <row r="3100">
      <c r="A3100" s="1">
        <v>395.0</v>
      </c>
      <c r="B3100" s="1">
        <v>1.3656461E7</v>
      </c>
      <c r="C3100" s="1">
        <v>5.8028518E7</v>
      </c>
      <c r="D3100" s="1" t="s">
        <v>4179</v>
      </c>
    </row>
    <row r="3101">
      <c r="A3101" s="1">
        <v>403.0</v>
      </c>
      <c r="B3101" s="1">
        <v>1.3649687E7</v>
      </c>
      <c r="C3101" s="1">
        <v>5.792306E7</v>
      </c>
      <c r="D3101" s="1" t="s">
        <v>2933</v>
      </c>
    </row>
    <row r="3102">
      <c r="A3102" s="1">
        <v>414.0</v>
      </c>
      <c r="B3102" s="1">
        <v>1.3648572E7</v>
      </c>
      <c r="C3102" s="1">
        <v>5.7913911E7</v>
      </c>
      <c r="D3102" s="1" t="s">
        <v>4180</v>
      </c>
    </row>
    <row r="3103">
      <c r="A3103" s="1">
        <v>526.0</v>
      </c>
      <c r="B3103" s="1">
        <v>1.3629312E7</v>
      </c>
      <c r="C3103" s="1">
        <v>5.7852351E7</v>
      </c>
      <c r="D3103" s="1" t="s">
        <v>4181</v>
      </c>
    </row>
    <row r="3104">
      <c r="A3104" s="1">
        <v>671.0</v>
      </c>
      <c r="B3104" s="1">
        <v>1.3618711E7</v>
      </c>
      <c r="C3104" s="1">
        <v>5.7831315E7</v>
      </c>
      <c r="D3104" s="1" t="s">
        <v>4182</v>
      </c>
    </row>
    <row r="3105">
      <c r="A3105" s="1">
        <v>716.0</v>
      </c>
      <c r="B3105" s="1">
        <v>1.3602322E7</v>
      </c>
      <c r="C3105" s="1">
        <v>5.7713975E7</v>
      </c>
      <c r="D3105" s="1" t="s">
        <v>368</v>
      </c>
    </row>
    <row r="3106">
      <c r="A3106" s="1">
        <v>203.0</v>
      </c>
      <c r="B3106" s="1">
        <v>1.3598437E7</v>
      </c>
      <c r="C3106" s="1">
        <v>5.7731565E7</v>
      </c>
      <c r="D3106" s="1" t="s">
        <v>2508</v>
      </c>
    </row>
    <row r="3107">
      <c r="A3107" s="1">
        <v>414.0</v>
      </c>
      <c r="B3107" s="1">
        <v>1.3579814E7</v>
      </c>
      <c r="C3107" s="1">
        <v>5.7615305E7</v>
      </c>
      <c r="D3107" s="1" t="s">
        <v>856</v>
      </c>
    </row>
    <row r="3108">
      <c r="A3108" s="1">
        <v>215.0</v>
      </c>
      <c r="B3108" s="1">
        <v>1.3576831E7</v>
      </c>
      <c r="C3108" s="1">
        <v>7.1039488E7</v>
      </c>
      <c r="D3108" s="1" t="s">
        <v>4183</v>
      </c>
    </row>
    <row r="3109">
      <c r="A3109" s="1">
        <v>215.0</v>
      </c>
      <c r="B3109" s="1">
        <v>1.3576831E7</v>
      </c>
      <c r="C3109" s="1">
        <v>5.7776103E7</v>
      </c>
      <c r="D3109" s="1" t="s">
        <v>849</v>
      </c>
    </row>
    <row r="3110">
      <c r="A3110" s="1">
        <v>571.0</v>
      </c>
      <c r="B3110" s="1">
        <v>1.3552614E7</v>
      </c>
      <c r="C3110" s="1">
        <v>5.750591E7</v>
      </c>
      <c r="D3110" s="1" t="s">
        <v>4184</v>
      </c>
    </row>
    <row r="3111">
      <c r="A3111" s="1">
        <v>488.0</v>
      </c>
      <c r="B3111" s="1">
        <v>1.3537066E7</v>
      </c>
      <c r="C3111" s="1">
        <v>5.7409715E7</v>
      </c>
      <c r="D3111" s="1" t="s">
        <v>4185</v>
      </c>
    </row>
    <row r="3112">
      <c r="A3112" s="1">
        <v>669.0</v>
      </c>
      <c r="B3112" s="1">
        <v>1.3525784E7</v>
      </c>
      <c r="C3112" s="1">
        <v>5.7415017E7</v>
      </c>
      <c r="D3112" s="1" t="s">
        <v>4186</v>
      </c>
    </row>
    <row r="3113">
      <c r="A3113" s="1">
        <v>409.0</v>
      </c>
      <c r="B3113" s="1">
        <v>1.3499471E7</v>
      </c>
      <c r="C3113" s="1">
        <v>5.7291486E7</v>
      </c>
      <c r="D3113" s="1" t="s">
        <v>1812</v>
      </c>
    </row>
    <row r="3114">
      <c r="A3114" s="1">
        <v>403.0</v>
      </c>
      <c r="B3114" s="1">
        <v>1.3493639E7</v>
      </c>
      <c r="C3114" s="1">
        <v>5.7262449E7</v>
      </c>
      <c r="D3114" s="1" t="s">
        <v>4017</v>
      </c>
    </row>
    <row r="3115">
      <c r="A3115" s="1">
        <v>488.0</v>
      </c>
      <c r="B3115" s="1">
        <v>1.3490278E7</v>
      </c>
      <c r="C3115" s="1">
        <v>5.727328E7</v>
      </c>
      <c r="D3115" s="1" t="s">
        <v>2889</v>
      </c>
    </row>
    <row r="3116">
      <c r="A3116" s="1">
        <v>409.0</v>
      </c>
      <c r="B3116" s="1">
        <v>1.3437648E7</v>
      </c>
      <c r="C3116" s="1">
        <v>5.7025398E7</v>
      </c>
      <c r="D3116" s="1" t="s">
        <v>4187</v>
      </c>
    </row>
    <row r="3117">
      <c r="A3117" s="1">
        <v>667.0</v>
      </c>
      <c r="B3117" s="1">
        <v>1.3427602E7</v>
      </c>
      <c r="C3117" s="1">
        <v>5.7021197E7</v>
      </c>
      <c r="D3117" s="1" t="s">
        <v>4188</v>
      </c>
    </row>
    <row r="3118">
      <c r="A3118" s="1">
        <v>203.0</v>
      </c>
      <c r="B3118" s="1">
        <v>1.341828E7</v>
      </c>
      <c r="C3118" s="1">
        <v>1.06551497E8</v>
      </c>
      <c r="D3118" s="1" t="s">
        <v>3951</v>
      </c>
    </row>
    <row r="3119">
      <c r="A3119" s="1">
        <v>571.0</v>
      </c>
      <c r="B3119" s="1">
        <v>1.3408848E7</v>
      </c>
      <c r="C3119" s="1">
        <v>5.6898389E7</v>
      </c>
      <c r="D3119" s="1" t="s">
        <v>4189</v>
      </c>
    </row>
    <row r="3120">
      <c r="A3120" s="1">
        <v>395.0</v>
      </c>
      <c r="B3120" s="1">
        <v>1.3371853E7</v>
      </c>
      <c r="C3120" s="1">
        <v>5.6775122E7</v>
      </c>
      <c r="D3120" s="1" t="s">
        <v>4191</v>
      </c>
    </row>
    <row r="3121">
      <c r="A3121" s="1">
        <v>716.0</v>
      </c>
      <c r="B3121" s="1">
        <v>1.3369762E7</v>
      </c>
      <c r="C3121" s="1">
        <v>5.6789168E7</v>
      </c>
      <c r="D3121" s="1" t="s">
        <v>4192</v>
      </c>
    </row>
    <row r="3122">
      <c r="A3122" s="1">
        <v>215.0</v>
      </c>
      <c r="B3122" s="1">
        <v>1.336842E7</v>
      </c>
      <c r="C3122" s="1">
        <v>5.6955543E7</v>
      </c>
      <c r="D3122" s="1" t="s">
        <v>1246</v>
      </c>
    </row>
    <row r="3123">
      <c r="A3123" s="1">
        <v>353.0</v>
      </c>
      <c r="B3123" s="1">
        <v>1.3350016E7</v>
      </c>
      <c r="C3123" s="1">
        <v>5.6685979E7</v>
      </c>
      <c r="D3123" s="1" t="s">
        <v>4194</v>
      </c>
    </row>
    <row r="3124">
      <c r="A3124" s="1">
        <v>504.0</v>
      </c>
      <c r="B3124" s="1">
        <v>1.3345514E7</v>
      </c>
      <c r="C3124" s="1">
        <v>5.6893667E7</v>
      </c>
      <c r="D3124" s="1" t="s">
        <v>3863</v>
      </c>
    </row>
    <row r="3125">
      <c r="A3125" s="1">
        <v>656.0</v>
      </c>
      <c r="B3125" s="1">
        <v>1.3334725E7</v>
      </c>
      <c r="C3125" s="1">
        <v>5.6555668E7</v>
      </c>
      <c r="D3125" s="1" t="s">
        <v>3198</v>
      </c>
    </row>
    <row r="3126">
      <c r="A3126" s="1">
        <v>407.0</v>
      </c>
      <c r="B3126" s="1">
        <v>1.3302791E7</v>
      </c>
      <c r="C3126" s="1">
        <v>5.6460103E7</v>
      </c>
      <c r="D3126" s="1" t="s">
        <v>2397</v>
      </c>
    </row>
    <row r="3127">
      <c r="A3127" s="1">
        <v>353.0</v>
      </c>
      <c r="B3127" s="1">
        <v>1.329355E7</v>
      </c>
      <c r="C3127" s="1">
        <v>5.6441328E7</v>
      </c>
      <c r="D3127" s="1" t="s">
        <v>4195</v>
      </c>
    </row>
    <row r="3128">
      <c r="A3128" s="1">
        <v>571.0</v>
      </c>
      <c r="B3128" s="1">
        <v>1.3241722E7</v>
      </c>
      <c r="C3128" s="1">
        <v>8.4754709E7</v>
      </c>
      <c r="D3128" s="1" t="s">
        <v>4196</v>
      </c>
    </row>
    <row r="3129">
      <c r="A3129" s="1">
        <v>337.0</v>
      </c>
      <c r="B3129" s="1">
        <v>1.322849E7</v>
      </c>
      <c r="C3129" s="1">
        <v>5.6173052E7</v>
      </c>
      <c r="D3129" s="1" t="s">
        <v>1237</v>
      </c>
    </row>
    <row r="3130">
      <c r="A3130" s="1">
        <v>243.0</v>
      </c>
      <c r="B3130" s="1">
        <v>1.3218848E7</v>
      </c>
      <c r="C3130" s="1">
        <v>5.6086594E7</v>
      </c>
      <c r="D3130" s="1" t="s">
        <v>3762</v>
      </c>
    </row>
    <row r="3131">
      <c r="A3131" s="1">
        <v>601.0</v>
      </c>
      <c r="B3131" s="1">
        <v>1.3199206E7</v>
      </c>
      <c r="C3131" s="1">
        <v>5.6050744E7</v>
      </c>
      <c r="D3131" s="1" t="s">
        <v>4197</v>
      </c>
    </row>
    <row r="3132">
      <c r="A3132" s="1">
        <v>671.0</v>
      </c>
      <c r="B3132" s="1">
        <v>1.319584E7</v>
      </c>
      <c r="C3132" s="1">
        <v>5.6096725E7</v>
      </c>
      <c r="D3132" s="1" t="s">
        <v>1403</v>
      </c>
    </row>
    <row r="3133">
      <c r="A3133" s="1">
        <v>673.0</v>
      </c>
      <c r="B3133" s="1">
        <v>1.316306E7</v>
      </c>
      <c r="C3133" s="1">
        <v>5.5944273E7</v>
      </c>
      <c r="D3133" s="1" t="s">
        <v>2010</v>
      </c>
    </row>
    <row r="3134">
      <c r="A3134" s="1">
        <v>628.0</v>
      </c>
      <c r="B3134" s="1">
        <v>1.3161574E7</v>
      </c>
      <c r="C3134" s="1">
        <v>5.5813456E7</v>
      </c>
      <c r="D3134" s="1" t="s">
        <v>4198</v>
      </c>
    </row>
    <row r="3135">
      <c r="A3135" s="1">
        <v>678.0</v>
      </c>
      <c r="B3135" s="1">
        <v>1.3160425E7</v>
      </c>
      <c r="C3135" s="1">
        <v>5.5823483E7</v>
      </c>
      <c r="D3135" s="1" t="s">
        <v>4199</v>
      </c>
    </row>
    <row r="3136">
      <c r="A3136" s="1">
        <v>625.0</v>
      </c>
      <c r="B3136" s="1">
        <v>1.3160203E7</v>
      </c>
      <c r="C3136" s="1">
        <v>5.5803095E7</v>
      </c>
      <c r="D3136" s="1" t="s">
        <v>2873</v>
      </c>
    </row>
    <row r="3137">
      <c r="A3137" s="1">
        <v>320.0</v>
      </c>
      <c r="B3137" s="1">
        <v>1.3150958E7</v>
      </c>
      <c r="C3137" s="1">
        <v>5.5804606E7</v>
      </c>
      <c r="D3137" s="1" t="s">
        <v>4200</v>
      </c>
    </row>
    <row r="3138">
      <c r="A3138" s="1">
        <v>504.0</v>
      </c>
      <c r="B3138" s="1">
        <v>1.31454E7</v>
      </c>
      <c r="C3138" s="1">
        <v>3.08491707E8</v>
      </c>
      <c r="D3138" s="1" t="s">
        <v>4201</v>
      </c>
    </row>
    <row r="3139">
      <c r="A3139" s="1">
        <v>458.0</v>
      </c>
      <c r="B3139" s="1">
        <v>1.3134006E7</v>
      </c>
      <c r="C3139" s="1">
        <v>5.5706986E7</v>
      </c>
      <c r="D3139" s="1" t="s">
        <v>4202</v>
      </c>
    </row>
    <row r="3140">
      <c r="A3140" s="1">
        <v>546.0</v>
      </c>
      <c r="B3140" s="1">
        <v>1.3118901E7</v>
      </c>
      <c r="C3140" s="1">
        <v>5.5840126E7</v>
      </c>
      <c r="D3140" s="1" t="s">
        <v>4204</v>
      </c>
    </row>
    <row r="3141">
      <c r="A3141" s="1">
        <v>715.0</v>
      </c>
      <c r="B3141" s="1">
        <v>1.308649E7</v>
      </c>
      <c r="C3141" s="1">
        <v>5.5544077E7</v>
      </c>
      <c r="D3141" s="1" t="s">
        <v>4205</v>
      </c>
    </row>
    <row r="3142">
      <c r="A3142" s="1">
        <v>244.0</v>
      </c>
      <c r="B3142" s="1">
        <v>1.3084162E7</v>
      </c>
      <c r="C3142" s="1">
        <v>5.5561597E7</v>
      </c>
      <c r="D3142" s="1" t="s">
        <v>4206</v>
      </c>
    </row>
    <row r="3143">
      <c r="A3143" s="1">
        <v>530.0</v>
      </c>
      <c r="B3143" s="1">
        <v>1.3064119E7</v>
      </c>
      <c r="C3143" s="1">
        <v>5.541824E7</v>
      </c>
      <c r="D3143" s="1" t="s">
        <v>4208</v>
      </c>
    </row>
    <row r="3144">
      <c r="A3144" s="1">
        <v>380.0</v>
      </c>
      <c r="B3144" s="1">
        <v>1.3060568E7</v>
      </c>
      <c r="C3144" s="1">
        <v>5.5435878E7</v>
      </c>
      <c r="D3144" s="1" t="s">
        <v>4209</v>
      </c>
    </row>
    <row r="3145">
      <c r="A3145" s="1">
        <v>609.0</v>
      </c>
      <c r="B3145" s="1">
        <v>1.3055488E7</v>
      </c>
      <c r="C3145" s="1">
        <v>5.5473823E7</v>
      </c>
      <c r="D3145" s="1" t="s">
        <v>365</v>
      </c>
    </row>
    <row r="3146">
      <c r="A3146" s="1">
        <v>194.0</v>
      </c>
      <c r="B3146" s="1">
        <v>1.3049007E7</v>
      </c>
      <c r="C3146" s="1">
        <v>1.16612262E8</v>
      </c>
      <c r="D3146" s="1" t="s">
        <v>3408</v>
      </c>
    </row>
    <row r="3147">
      <c r="A3147" s="1">
        <v>671.0</v>
      </c>
      <c r="B3147" s="1">
        <v>1.3042801E7</v>
      </c>
      <c r="C3147" s="1">
        <v>5.5435657E7</v>
      </c>
      <c r="D3147" s="1" t="s">
        <v>4211</v>
      </c>
    </row>
    <row r="3148">
      <c r="A3148" s="1">
        <v>665.0</v>
      </c>
      <c r="B3148" s="1">
        <v>1.3041236E7</v>
      </c>
      <c r="C3148" s="1">
        <v>5.5351014E7</v>
      </c>
      <c r="D3148" s="1" t="s">
        <v>4212</v>
      </c>
    </row>
    <row r="3149">
      <c r="A3149" s="1">
        <v>578.0</v>
      </c>
      <c r="B3149" s="1">
        <v>1.303601E7</v>
      </c>
      <c r="C3149" s="1">
        <v>5.5302818E7</v>
      </c>
      <c r="D3149" s="1" t="s">
        <v>4213</v>
      </c>
    </row>
    <row r="3150">
      <c r="A3150" s="1">
        <v>665.0</v>
      </c>
      <c r="B3150" s="1">
        <v>1.301933E7</v>
      </c>
      <c r="C3150" s="1">
        <v>5.5223308E7</v>
      </c>
      <c r="D3150" s="1" t="s">
        <v>1603</v>
      </c>
    </row>
    <row r="3151">
      <c r="A3151" s="1">
        <v>571.0</v>
      </c>
      <c r="B3151" s="1">
        <v>1.3017436E7</v>
      </c>
      <c r="C3151" s="1">
        <v>1.93244584E8</v>
      </c>
      <c r="D3151" s="1" t="s">
        <v>2663</v>
      </c>
    </row>
    <row r="3152">
      <c r="A3152" s="1">
        <v>504.0</v>
      </c>
      <c r="B3152" s="1">
        <v>1.2997334E7</v>
      </c>
      <c r="C3152" s="1">
        <v>5.5196491E7</v>
      </c>
      <c r="D3152" s="1" t="s">
        <v>1628</v>
      </c>
    </row>
    <row r="3153">
      <c r="A3153" s="1">
        <v>564.0</v>
      </c>
      <c r="B3153" s="1">
        <v>1.2979294E7</v>
      </c>
      <c r="C3153" s="1">
        <v>5.5091485E7</v>
      </c>
      <c r="D3153" s="1" t="s">
        <v>4214</v>
      </c>
    </row>
    <row r="3154">
      <c r="A3154" s="1">
        <v>472.0</v>
      </c>
      <c r="B3154" s="1">
        <v>1.2969891E7</v>
      </c>
      <c r="C3154" s="1">
        <v>5.5130465E7</v>
      </c>
      <c r="D3154" s="1" t="s">
        <v>565</v>
      </c>
    </row>
    <row r="3155">
      <c r="A3155" s="1">
        <v>667.0</v>
      </c>
      <c r="B3155" s="1">
        <v>1.2965822E7</v>
      </c>
      <c r="C3155" s="1">
        <v>5.510076E7</v>
      </c>
      <c r="D3155" s="1" t="s">
        <v>2487</v>
      </c>
    </row>
    <row r="3156">
      <c r="A3156" s="1">
        <v>1185.0</v>
      </c>
      <c r="B3156" s="1">
        <v>1.2961302E7</v>
      </c>
      <c r="C3156" s="1">
        <v>5.4982369E7</v>
      </c>
      <c r="D3156" s="1" t="s">
        <v>4215</v>
      </c>
    </row>
    <row r="3157">
      <c r="A3157" s="1">
        <v>285.0</v>
      </c>
      <c r="B3157" s="1">
        <v>1.2945165E7</v>
      </c>
      <c r="C3157" s="1">
        <v>5.4959352E7</v>
      </c>
      <c r="D3157" s="1" t="s">
        <v>4216</v>
      </c>
    </row>
    <row r="3158">
      <c r="A3158" s="1">
        <v>473.0</v>
      </c>
      <c r="B3158" s="1">
        <v>1.2938947E7</v>
      </c>
      <c r="C3158" s="1">
        <v>5.4884411E7</v>
      </c>
      <c r="D3158" s="1" t="s">
        <v>930</v>
      </c>
    </row>
    <row r="3159">
      <c r="A3159" s="1">
        <v>671.0</v>
      </c>
      <c r="B3159" s="1">
        <v>1.2921067E7</v>
      </c>
      <c r="C3159" s="1">
        <v>5.5118814E7</v>
      </c>
      <c r="D3159" s="1" t="s">
        <v>2349</v>
      </c>
    </row>
    <row r="3160">
      <c r="A3160" s="1">
        <v>609.0</v>
      </c>
      <c r="B3160" s="1">
        <v>1.290925E7</v>
      </c>
      <c r="C3160" s="1">
        <v>5.4812938E7</v>
      </c>
      <c r="D3160" s="1" t="s">
        <v>1882</v>
      </c>
    </row>
    <row r="3161">
      <c r="A3161" s="1">
        <v>395.0</v>
      </c>
      <c r="B3161" s="1">
        <v>1.2890926E7</v>
      </c>
      <c r="C3161" s="1">
        <v>5.479547E7</v>
      </c>
      <c r="D3161" s="1" t="s">
        <v>4217</v>
      </c>
    </row>
    <row r="3162">
      <c r="A3162" s="1">
        <v>671.0</v>
      </c>
      <c r="B3162" s="1">
        <v>1.2888836E7</v>
      </c>
      <c r="C3162" s="1">
        <v>5.4800169E7</v>
      </c>
      <c r="D3162" s="1" t="s">
        <v>1822</v>
      </c>
    </row>
    <row r="3163">
      <c r="A3163" s="1">
        <v>225.0</v>
      </c>
      <c r="B3163" s="1">
        <v>1.2886904E7</v>
      </c>
      <c r="C3163" s="1">
        <v>5.4653916E7</v>
      </c>
      <c r="D3163" s="1" t="s">
        <v>4218</v>
      </c>
    </row>
    <row r="3164">
      <c r="A3164" s="1">
        <v>355.0</v>
      </c>
      <c r="B3164" s="1">
        <v>1.2860978E7</v>
      </c>
      <c r="C3164" s="1">
        <v>5.4533285E7</v>
      </c>
      <c r="D3164" s="1" t="s">
        <v>1714</v>
      </c>
    </row>
    <row r="3165">
      <c r="A3165" s="1">
        <v>403.0</v>
      </c>
      <c r="B3165" s="1">
        <v>1.2860547E7</v>
      </c>
      <c r="C3165" s="1">
        <v>5.4640727E7</v>
      </c>
      <c r="D3165" s="1" t="s">
        <v>932</v>
      </c>
    </row>
    <row r="3166">
      <c r="A3166" s="1">
        <v>571.0</v>
      </c>
      <c r="B3166" s="1">
        <v>1.2854609E7</v>
      </c>
      <c r="C3166" s="1">
        <v>5.4629458E7</v>
      </c>
      <c r="D3166" s="1" t="s">
        <v>3177</v>
      </c>
    </row>
    <row r="3167">
      <c r="A3167" s="1">
        <v>609.0</v>
      </c>
      <c r="B3167" s="1">
        <v>1.2852222E7</v>
      </c>
      <c r="C3167" s="1">
        <v>5.4571008E7</v>
      </c>
      <c r="D3167" s="1" t="s">
        <v>4219</v>
      </c>
    </row>
    <row r="3168">
      <c r="A3168" s="1">
        <v>129.0</v>
      </c>
      <c r="B3168" s="1">
        <v>1.2849447E7</v>
      </c>
      <c r="C3168" s="1">
        <v>5.4533942E7</v>
      </c>
      <c r="D3168" s="1" t="s">
        <v>4220</v>
      </c>
    </row>
    <row r="3169">
      <c r="A3169" s="1">
        <v>669.0</v>
      </c>
      <c r="B3169" s="1">
        <v>1.2843028E7</v>
      </c>
      <c r="C3169" s="1">
        <v>5.4538823E7</v>
      </c>
      <c r="D3169" s="17" t="s">
        <v>1908</v>
      </c>
    </row>
    <row r="3170">
      <c r="A3170" s="1">
        <v>571.0</v>
      </c>
      <c r="B3170" s="1">
        <v>1.282463E7</v>
      </c>
      <c r="C3170" s="1">
        <v>3.49825956E8</v>
      </c>
      <c r="D3170" s="1" t="s">
        <v>4221</v>
      </c>
    </row>
    <row r="3171">
      <c r="A3171" s="1">
        <v>403.0</v>
      </c>
      <c r="B3171" s="1">
        <v>1.2807715E7</v>
      </c>
      <c r="C3171" s="1">
        <v>5.4311468E7</v>
      </c>
      <c r="D3171" s="1" t="s">
        <v>1173</v>
      </c>
    </row>
    <row r="3172">
      <c r="A3172" s="1">
        <v>587.0</v>
      </c>
      <c r="B3172" s="1">
        <v>1.2798714E7</v>
      </c>
      <c r="C3172" s="1">
        <v>5.4319891E7</v>
      </c>
      <c r="D3172" s="1" t="s">
        <v>1322</v>
      </c>
    </row>
    <row r="3173">
      <c r="A3173" s="1">
        <v>142.0</v>
      </c>
      <c r="B3173" s="1">
        <v>1.2795297E7</v>
      </c>
      <c r="C3173" s="1">
        <v>5.443063E7</v>
      </c>
      <c r="D3173" s="1" t="s">
        <v>4223</v>
      </c>
    </row>
    <row r="3174">
      <c r="A3174" s="1">
        <v>215.0</v>
      </c>
      <c r="B3174" s="1">
        <v>1.2774528E7</v>
      </c>
      <c r="C3174" s="1">
        <v>5.4269368E7</v>
      </c>
      <c r="D3174" s="1" t="s">
        <v>4224</v>
      </c>
    </row>
    <row r="3175">
      <c r="A3175" s="1">
        <v>321.0</v>
      </c>
      <c r="B3175" s="1">
        <v>1.2759889E7</v>
      </c>
      <c r="C3175" s="1">
        <v>5.4129601E7</v>
      </c>
      <c r="D3175" s="1" t="s">
        <v>2203</v>
      </c>
    </row>
    <row r="3176">
      <c r="A3176" s="1">
        <v>394.0</v>
      </c>
      <c r="B3176" s="1">
        <v>1.273744E7</v>
      </c>
      <c r="C3176" s="1">
        <v>7.3496173E7</v>
      </c>
      <c r="D3176" s="1" t="s">
        <v>3724</v>
      </c>
    </row>
    <row r="3177">
      <c r="A3177" s="1">
        <v>715.0</v>
      </c>
      <c r="B3177" s="1">
        <v>1.2731193E7</v>
      </c>
      <c r="C3177" s="1">
        <v>5.3971877E7</v>
      </c>
      <c r="D3177" s="1" t="s">
        <v>2469</v>
      </c>
    </row>
    <row r="3178">
      <c r="A3178" s="1">
        <v>677.0</v>
      </c>
      <c r="B3178" s="1">
        <v>1.2730708E7</v>
      </c>
      <c r="C3178" s="1">
        <v>2.12944285E8</v>
      </c>
      <c r="D3178" s="1" t="s">
        <v>3293</v>
      </c>
    </row>
    <row r="3179">
      <c r="A3179" s="1">
        <v>676.0</v>
      </c>
      <c r="B3179" s="1">
        <v>1.2728465E7</v>
      </c>
      <c r="C3179" s="1">
        <v>5.4013674E7</v>
      </c>
      <c r="D3179" s="1" t="s">
        <v>1470</v>
      </c>
    </row>
    <row r="3180">
      <c r="A3180" s="1">
        <v>664.0</v>
      </c>
      <c r="B3180" s="1">
        <v>1.2701891E7</v>
      </c>
      <c r="C3180" s="1">
        <v>5.3866352E7</v>
      </c>
      <c r="D3180" s="1" t="s">
        <v>4228</v>
      </c>
    </row>
    <row r="3181">
      <c r="A3181" s="1">
        <v>395.0</v>
      </c>
      <c r="B3181" s="1">
        <v>1.2681778E7</v>
      </c>
      <c r="C3181" s="1">
        <v>5.3843368E7</v>
      </c>
      <c r="D3181" s="1" t="s">
        <v>4229</v>
      </c>
    </row>
    <row r="3182">
      <c r="A3182" s="1">
        <v>504.0</v>
      </c>
      <c r="B3182" s="1">
        <v>1.2676973E7</v>
      </c>
      <c r="C3182" s="1">
        <v>5.3712512E7</v>
      </c>
      <c r="D3182" s="1" t="s">
        <v>3377</v>
      </c>
    </row>
    <row r="3183">
      <c r="A3183" s="1">
        <v>604.0</v>
      </c>
      <c r="B3183" s="1">
        <v>1.2676944E7</v>
      </c>
      <c r="C3183" s="1">
        <v>1.12698033E8</v>
      </c>
      <c r="D3183" s="1" t="s">
        <v>1696</v>
      </c>
    </row>
    <row r="3184">
      <c r="A3184" s="1">
        <v>244.0</v>
      </c>
      <c r="B3184" s="1">
        <v>1.2653598E7</v>
      </c>
      <c r="C3184" s="1">
        <v>5.3841726E7</v>
      </c>
      <c r="D3184" s="1" t="s">
        <v>3806</v>
      </c>
    </row>
    <row r="3185">
      <c r="A3185" s="1">
        <v>597.0</v>
      </c>
      <c r="B3185" s="1">
        <v>1.263741E7</v>
      </c>
      <c r="C3185" s="1">
        <v>5.3618216E7</v>
      </c>
      <c r="D3185" s="1" t="s">
        <v>4050</v>
      </c>
    </row>
    <row r="3186">
      <c r="A3186" s="1">
        <v>414.0</v>
      </c>
      <c r="B3186" s="1">
        <v>1.261164E7</v>
      </c>
      <c r="C3186" s="1">
        <v>5.346994E7</v>
      </c>
      <c r="D3186" s="1" t="s">
        <v>4232</v>
      </c>
    </row>
    <row r="3187">
      <c r="A3187" s="1">
        <v>665.0</v>
      </c>
      <c r="B3187" s="1">
        <v>1.2586096E7</v>
      </c>
      <c r="C3187" s="1">
        <v>1.24104748E8</v>
      </c>
      <c r="D3187" s="1" t="s">
        <v>4233</v>
      </c>
    </row>
    <row r="3188">
      <c r="A3188" s="1">
        <v>665.0</v>
      </c>
      <c r="B3188" s="1">
        <v>1.2586096E7</v>
      </c>
      <c r="C3188" s="1">
        <v>2.04056837E8</v>
      </c>
      <c r="D3188" s="1" t="s">
        <v>4235</v>
      </c>
    </row>
    <row r="3189">
      <c r="A3189" s="1">
        <v>492.0</v>
      </c>
      <c r="B3189" s="1">
        <v>1.2577372E7</v>
      </c>
      <c r="C3189" s="1">
        <v>5.3365829E7</v>
      </c>
      <c r="D3189" s="1" t="s">
        <v>1992</v>
      </c>
    </row>
    <row r="3190">
      <c r="A3190" s="1">
        <v>677.0</v>
      </c>
      <c r="B3190" s="1">
        <v>1.254966E7</v>
      </c>
      <c r="C3190" s="1">
        <v>5.3269477E7</v>
      </c>
      <c r="D3190" s="1" t="s">
        <v>4237</v>
      </c>
    </row>
    <row r="3191">
      <c r="A3191" s="1">
        <v>414.0</v>
      </c>
      <c r="B3191" s="1">
        <v>1.2538729E7</v>
      </c>
      <c r="C3191" s="1">
        <v>1.74188565E8</v>
      </c>
      <c r="D3191" s="1" t="s">
        <v>4238</v>
      </c>
    </row>
    <row r="3192">
      <c r="A3192" s="1">
        <v>673.0</v>
      </c>
      <c r="B3192" s="1">
        <v>1.2526887E7</v>
      </c>
      <c r="C3192" s="1">
        <v>5.3109467E7</v>
      </c>
      <c r="D3192" s="1" t="s">
        <v>4239</v>
      </c>
    </row>
    <row r="3193">
      <c r="A3193" s="1">
        <v>126.0</v>
      </c>
      <c r="B3193" s="1">
        <v>1.2508833E7</v>
      </c>
      <c r="C3193" s="1">
        <v>5.3116703E7</v>
      </c>
      <c r="D3193" s="1" t="s">
        <v>3509</v>
      </c>
    </row>
    <row r="3194">
      <c r="A3194" s="1">
        <v>120.0</v>
      </c>
      <c r="B3194" s="1">
        <v>1.247235E7</v>
      </c>
      <c r="C3194" s="1">
        <v>5.293853E7</v>
      </c>
      <c r="D3194" s="1" t="s">
        <v>3714</v>
      </c>
    </row>
    <row r="3195">
      <c r="A3195" s="1">
        <v>678.0</v>
      </c>
      <c r="B3195" s="1">
        <v>1.2466288E7</v>
      </c>
      <c r="C3195" s="1">
        <v>5.2961095E7</v>
      </c>
      <c r="D3195" s="1" t="s">
        <v>230</v>
      </c>
    </row>
    <row r="3196">
      <c r="A3196" s="1">
        <v>531.0</v>
      </c>
      <c r="B3196" s="1">
        <v>1.2354274E7</v>
      </c>
      <c r="C3196" s="1">
        <v>5.2568636E7</v>
      </c>
      <c r="D3196" s="1" t="s">
        <v>4240</v>
      </c>
    </row>
    <row r="3197">
      <c r="A3197" s="1">
        <v>355.0</v>
      </c>
      <c r="B3197" s="1">
        <v>1.2347953E7</v>
      </c>
      <c r="C3197" s="1">
        <v>2.13028483E8</v>
      </c>
      <c r="D3197" s="1" t="s">
        <v>4241</v>
      </c>
    </row>
    <row r="3198">
      <c r="A3198" s="1">
        <v>215.0</v>
      </c>
      <c r="B3198" s="1">
        <v>1.2343911E7</v>
      </c>
      <c r="C3198" s="1">
        <v>5.23977E7</v>
      </c>
      <c r="D3198" s="1" t="s">
        <v>4242</v>
      </c>
    </row>
    <row r="3199">
      <c r="A3199" s="1">
        <v>577.0</v>
      </c>
      <c r="B3199" s="1">
        <v>1.2313794E7</v>
      </c>
      <c r="C3199" s="1">
        <v>1.71415266E8</v>
      </c>
      <c r="D3199" s="1" t="s">
        <v>4243</v>
      </c>
    </row>
    <row r="3200">
      <c r="A3200" s="1">
        <v>353.0</v>
      </c>
      <c r="B3200" s="1">
        <v>1.2307094E7</v>
      </c>
      <c r="C3200" s="1">
        <v>5.2258655E7</v>
      </c>
      <c r="D3200" s="1" t="s">
        <v>2963</v>
      </c>
    </row>
    <row r="3201">
      <c r="A3201" s="1">
        <v>673.0</v>
      </c>
      <c r="B3201" s="1">
        <v>1.2304904E7</v>
      </c>
      <c r="C3201" s="1">
        <v>1.09287206E8</v>
      </c>
      <c r="D3201" s="1" t="s">
        <v>2071</v>
      </c>
    </row>
    <row r="3202">
      <c r="A3202" s="1">
        <v>610.0</v>
      </c>
      <c r="B3202" s="1">
        <v>1.2292515E7</v>
      </c>
      <c r="C3202" s="1">
        <v>5.231761E7</v>
      </c>
      <c r="D3202" s="1" t="s">
        <v>1134</v>
      </c>
    </row>
    <row r="3203">
      <c r="A3203" s="1">
        <v>392.0</v>
      </c>
      <c r="B3203" s="1">
        <v>1.2290943E7</v>
      </c>
      <c r="C3203" s="1">
        <v>5.2230936E7</v>
      </c>
      <c r="D3203" s="1" t="s">
        <v>3157</v>
      </c>
    </row>
    <row r="3204">
      <c r="A3204" s="1">
        <v>244.0</v>
      </c>
      <c r="B3204" s="1">
        <v>1.2256664E7</v>
      </c>
      <c r="C3204" s="1">
        <v>5.2101563E7</v>
      </c>
      <c r="D3204" s="1" t="s">
        <v>4247</v>
      </c>
    </row>
    <row r="3205">
      <c r="A3205" s="1">
        <v>120.0</v>
      </c>
      <c r="B3205" s="1">
        <v>1.2241941E7</v>
      </c>
      <c r="C3205" s="1">
        <v>5.1972354E7</v>
      </c>
      <c r="D3205" s="1" t="s">
        <v>3777</v>
      </c>
    </row>
    <row r="3206">
      <c r="A3206" s="1">
        <v>715.0</v>
      </c>
      <c r="B3206" s="1">
        <v>1.2231998E7</v>
      </c>
      <c r="C3206" s="1">
        <v>5.1952416E7</v>
      </c>
      <c r="D3206" s="1" t="s">
        <v>4248</v>
      </c>
    </row>
    <row r="3207">
      <c r="A3207" s="1">
        <v>395.0</v>
      </c>
      <c r="B3207" s="1">
        <v>1.2225953E7</v>
      </c>
      <c r="C3207" s="1">
        <v>5.1976614E7</v>
      </c>
      <c r="D3207" s="1" t="s">
        <v>2724</v>
      </c>
    </row>
    <row r="3208">
      <c r="A3208" s="1">
        <v>716.0</v>
      </c>
      <c r="B3208" s="1">
        <v>1.22247E7</v>
      </c>
      <c r="C3208" s="1">
        <v>1.65813745E8</v>
      </c>
      <c r="D3208" s="1" t="s">
        <v>4249</v>
      </c>
    </row>
    <row r="3209">
      <c r="A3209" s="1">
        <v>571.0</v>
      </c>
      <c r="B3209" s="1">
        <v>1.218145E7</v>
      </c>
      <c r="C3209" s="1">
        <v>5.1758902E7</v>
      </c>
      <c r="D3209" s="1" t="s">
        <v>3958</v>
      </c>
    </row>
    <row r="3210">
      <c r="A3210" s="1">
        <v>531.0</v>
      </c>
      <c r="B3210" s="1">
        <v>1.2176098E7</v>
      </c>
      <c r="C3210" s="1">
        <v>5.166518E7</v>
      </c>
      <c r="D3210" s="1" t="s">
        <v>4250</v>
      </c>
    </row>
    <row r="3211">
      <c r="A3211" s="1">
        <v>380.0</v>
      </c>
      <c r="B3211" s="1">
        <v>1.2165789E7</v>
      </c>
      <c r="C3211" s="1">
        <v>5.1778249E7</v>
      </c>
      <c r="D3211" s="1" t="s">
        <v>4251</v>
      </c>
    </row>
    <row r="3212">
      <c r="A3212" s="1">
        <v>671.0</v>
      </c>
      <c r="B3212" s="1">
        <v>1.2158841E7</v>
      </c>
      <c r="C3212" s="1">
        <v>5.1580777E7</v>
      </c>
      <c r="D3212" s="1" t="s">
        <v>3374</v>
      </c>
    </row>
    <row r="3213">
      <c r="A3213" s="1">
        <v>601.0</v>
      </c>
      <c r="B3213" s="1">
        <v>1.2135654E7</v>
      </c>
      <c r="C3213" s="1">
        <v>5.146485E7</v>
      </c>
      <c r="D3213" s="1" t="s">
        <v>1084</v>
      </c>
    </row>
    <row r="3214">
      <c r="A3214" s="1">
        <v>680.0</v>
      </c>
      <c r="B3214" s="1">
        <v>1.2115039E7</v>
      </c>
      <c r="C3214" s="1">
        <v>5.1448026E7</v>
      </c>
      <c r="D3214" s="1" t="s">
        <v>4252</v>
      </c>
    </row>
    <row r="3215">
      <c r="A3215" s="1">
        <v>225.0</v>
      </c>
      <c r="B3215" s="1">
        <v>1.2113472E7</v>
      </c>
      <c r="C3215" s="1">
        <v>5.1488925E7</v>
      </c>
      <c r="D3215" s="1" t="s">
        <v>4246</v>
      </c>
    </row>
    <row r="3216">
      <c r="A3216" s="1">
        <v>671.0</v>
      </c>
      <c r="B3216" s="1">
        <v>1.2100973E7</v>
      </c>
      <c r="C3216" s="1">
        <v>5.1349297E7</v>
      </c>
      <c r="D3216" s="1" t="s">
        <v>4253</v>
      </c>
    </row>
    <row r="3217">
      <c r="A3217" s="1">
        <v>715.0</v>
      </c>
      <c r="B3217" s="1">
        <v>1.2082103E7</v>
      </c>
      <c r="C3217" s="1">
        <v>5.1328E7</v>
      </c>
      <c r="D3217" s="1" t="s">
        <v>4254</v>
      </c>
    </row>
    <row r="3218">
      <c r="A3218" s="1">
        <v>586.0</v>
      </c>
      <c r="B3218" s="1">
        <v>1.2064627E7</v>
      </c>
      <c r="C3218" s="1">
        <v>5.122483E7</v>
      </c>
      <c r="D3218" s="1" t="s">
        <v>358</v>
      </c>
    </row>
    <row r="3219">
      <c r="A3219" s="1">
        <v>713.0</v>
      </c>
      <c r="B3219" s="1">
        <v>1.2055946E7</v>
      </c>
      <c r="C3219" s="1">
        <v>5.1212416E7</v>
      </c>
      <c r="D3219" s="1" t="s">
        <v>4255</v>
      </c>
    </row>
    <row r="3220">
      <c r="A3220" s="1">
        <v>667.0</v>
      </c>
      <c r="B3220" s="1">
        <v>1.2040812E7</v>
      </c>
      <c r="C3220" s="1">
        <v>5.108781E7</v>
      </c>
      <c r="D3220" s="1" t="s">
        <v>4256</v>
      </c>
    </row>
    <row r="3221">
      <c r="A3221" s="1">
        <v>570.0</v>
      </c>
      <c r="B3221" s="1">
        <v>1.1986879E7</v>
      </c>
      <c r="C3221" s="1">
        <v>5.0845332E7</v>
      </c>
      <c r="D3221" s="1" t="s">
        <v>1873</v>
      </c>
    </row>
    <row r="3222">
      <c r="A3222" s="1">
        <v>671.0</v>
      </c>
      <c r="B3222" s="1">
        <v>1.1976343E7</v>
      </c>
      <c r="C3222" s="1">
        <v>5.0863069E7</v>
      </c>
      <c r="D3222" s="1" t="s">
        <v>2313</v>
      </c>
    </row>
    <row r="3223">
      <c r="A3223" s="1">
        <v>578.0</v>
      </c>
      <c r="B3223" s="1">
        <v>1.1962213E7</v>
      </c>
      <c r="C3223" s="1">
        <v>5.0745897E7</v>
      </c>
      <c r="D3223" s="1" t="s">
        <v>2318</v>
      </c>
    </row>
    <row r="3224">
      <c r="A3224" s="1">
        <v>394.0</v>
      </c>
      <c r="B3224" s="1">
        <v>1.1958902E7</v>
      </c>
      <c r="C3224" s="1">
        <v>3.77272064E8</v>
      </c>
      <c r="D3224" s="1" t="s">
        <v>3573</v>
      </c>
    </row>
    <row r="3225">
      <c r="A3225" s="1">
        <v>676.0</v>
      </c>
      <c r="B3225" s="1">
        <v>1.1955273E7</v>
      </c>
      <c r="C3225" s="1">
        <v>5.0738409E7</v>
      </c>
      <c r="D3225" s="1" t="s">
        <v>4257</v>
      </c>
    </row>
    <row r="3226">
      <c r="A3226" s="1">
        <v>608.0</v>
      </c>
      <c r="B3226" s="1">
        <v>1.193158E7</v>
      </c>
      <c r="C3226" s="1">
        <v>5.0637499E7</v>
      </c>
      <c r="D3226" s="1" t="s">
        <v>563</v>
      </c>
    </row>
    <row r="3227">
      <c r="A3227" s="1">
        <v>461.0</v>
      </c>
      <c r="B3227" s="1">
        <v>1.1925919E7</v>
      </c>
      <c r="C3227" s="1">
        <v>1.10262552E8</v>
      </c>
      <c r="D3227" s="1" t="s">
        <v>4258</v>
      </c>
    </row>
    <row r="3228">
      <c r="A3228" s="1">
        <v>500.0</v>
      </c>
      <c r="B3228" s="1">
        <v>1.1917231E7</v>
      </c>
      <c r="C3228" s="1">
        <v>5.0618905E7</v>
      </c>
      <c r="D3228" s="17" t="s">
        <v>1441</v>
      </c>
    </row>
    <row r="3229">
      <c r="A3229" s="1">
        <v>694.0</v>
      </c>
      <c r="B3229" s="1">
        <v>1.1910388E7</v>
      </c>
      <c r="C3229" s="1">
        <v>5.061081E7</v>
      </c>
      <c r="D3229" s="1" t="s">
        <v>3091</v>
      </c>
    </row>
    <row r="3230">
      <c r="A3230" s="1">
        <v>403.0</v>
      </c>
      <c r="B3230" s="1">
        <v>1.190965E7</v>
      </c>
      <c r="C3230" s="1">
        <v>4.58483974E8</v>
      </c>
      <c r="D3230" s="1" t="s">
        <v>2344</v>
      </c>
    </row>
    <row r="3231">
      <c r="A3231" s="1">
        <v>641.0</v>
      </c>
      <c r="B3231" s="1">
        <v>1.1902406E7</v>
      </c>
      <c r="C3231" s="1">
        <v>5.0614305E7</v>
      </c>
      <c r="D3231" s="1" t="s">
        <v>1412</v>
      </c>
    </row>
    <row r="3232">
      <c r="A3232" s="1">
        <v>676.0</v>
      </c>
      <c r="B3232" s="1">
        <v>1.1895846E7</v>
      </c>
      <c r="C3232" s="1">
        <v>5.0509806E7</v>
      </c>
      <c r="D3232" s="1" t="s">
        <v>4260</v>
      </c>
    </row>
    <row r="3233">
      <c r="A3233" s="1">
        <v>597.0</v>
      </c>
      <c r="B3233" s="1">
        <v>1.1877858E7</v>
      </c>
      <c r="C3233" s="1">
        <v>1.42531099E8</v>
      </c>
      <c r="D3233" s="1" t="s">
        <v>4261</v>
      </c>
    </row>
    <row r="3234">
      <c r="A3234" s="1">
        <v>720.0</v>
      </c>
      <c r="B3234" s="1">
        <v>1.1849103E7</v>
      </c>
      <c r="C3234" s="1">
        <v>5.0364657E7</v>
      </c>
      <c r="D3234" s="1" t="s">
        <v>4263</v>
      </c>
    </row>
    <row r="3235">
      <c r="A3235" s="1">
        <v>665.0</v>
      </c>
      <c r="B3235" s="1">
        <v>1.1807327E7</v>
      </c>
      <c r="C3235" s="1">
        <v>5.0143638E7</v>
      </c>
      <c r="D3235" s="1" t="s">
        <v>685</v>
      </c>
    </row>
    <row r="3236">
      <c r="A3236" s="1">
        <v>721.0</v>
      </c>
      <c r="B3236" s="1">
        <v>1.1798299E7</v>
      </c>
      <c r="C3236" s="1">
        <v>5.0154449E7</v>
      </c>
      <c r="D3236" s="1" t="s">
        <v>4265</v>
      </c>
    </row>
    <row r="3237">
      <c r="A3237" s="1">
        <v>475.0</v>
      </c>
      <c r="B3237" s="1">
        <v>1.1788113E7</v>
      </c>
      <c r="C3237" s="1">
        <v>5.0115426E7</v>
      </c>
      <c r="D3237" s="1" t="s">
        <v>3658</v>
      </c>
    </row>
    <row r="3238">
      <c r="A3238" s="1">
        <v>609.0</v>
      </c>
      <c r="B3238" s="1">
        <v>1.1774144E7</v>
      </c>
      <c r="C3238" s="1">
        <v>5.0047265E7</v>
      </c>
      <c r="D3238" s="1" t="s">
        <v>3213</v>
      </c>
    </row>
    <row r="3239">
      <c r="A3239" s="1">
        <v>664.0</v>
      </c>
      <c r="B3239" s="1">
        <v>1.1774108E7</v>
      </c>
      <c r="C3239" s="1">
        <v>5.0011289E7</v>
      </c>
      <c r="D3239" s="1" t="s">
        <v>4266</v>
      </c>
    </row>
    <row r="3240">
      <c r="A3240" s="1">
        <v>565.0</v>
      </c>
      <c r="B3240" s="1">
        <v>1.1770596E7</v>
      </c>
      <c r="C3240" s="1">
        <v>5.0012001E7</v>
      </c>
      <c r="D3240" s="1" t="s">
        <v>4267</v>
      </c>
    </row>
    <row r="3241">
      <c r="A3241" s="1">
        <v>522.0</v>
      </c>
      <c r="B3241" s="1">
        <v>1.1743623E7</v>
      </c>
      <c r="C3241" s="1">
        <v>4.9879926E7</v>
      </c>
      <c r="D3241" s="1" t="s">
        <v>4268</v>
      </c>
    </row>
    <row r="3242">
      <c r="A3242" s="1">
        <v>576.0</v>
      </c>
      <c r="B3242" s="1">
        <v>1.1742901E7</v>
      </c>
      <c r="C3242" s="1">
        <v>4.9896775E7</v>
      </c>
      <c r="D3242" s="1" t="s">
        <v>3364</v>
      </c>
    </row>
    <row r="3243">
      <c r="A3243" s="1">
        <v>671.0</v>
      </c>
      <c r="B3243" s="1">
        <v>1.1723547E7</v>
      </c>
      <c r="C3243" s="1">
        <v>2.56691177E8</v>
      </c>
      <c r="D3243" s="1" t="s">
        <v>4269</v>
      </c>
    </row>
    <row r="3244">
      <c r="A3244" s="1">
        <v>609.0</v>
      </c>
      <c r="B3244" s="1">
        <v>1.1711735E7</v>
      </c>
      <c r="C3244" s="1">
        <v>4.9812549E7</v>
      </c>
      <c r="D3244" s="1" t="s">
        <v>4270</v>
      </c>
    </row>
    <row r="3245">
      <c r="A3245" s="1">
        <v>694.0</v>
      </c>
      <c r="B3245" s="1">
        <v>1.1711148E7</v>
      </c>
      <c r="C3245" s="1">
        <v>4.9771288E7</v>
      </c>
      <c r="D3245" s="1" t="s">
        <v>4271</v>
      </c>
    </row>
    <row r="3246">
      <c r="A3246" s="1">
        <v>603.0</v>
      </c>
      <c r="B3246" s="1">
        <v>1.1691233E7</v>
      </c>
      <c r="C3246" s="1">
        <v>4.9606579E7</v>
      </c>
      <c r="D3246" s="1" t="s">
        <v>4272</v>
      </c>
    </row>
    <row r="3247">
      <c r="A3247" s="1">
        <v>602.0</v>
      </c>
      <c r="B3247" s="1">
        <v>1.1689292E7</v>
      </c>
      <c r="C3247" s="1">
        <v>4.9619304E7</v>
      </c>
      <c r="D3247" s="1" t="s">
        <v>4274</v>
      </c>
    </row>
    <row r="3248">
      <c r="A3248" s="1">
        <v>675.0</v>
      </c>
      <c r="B3248" s="1">
        <v>1.1682474E7</v>
      </c>
      <c r="C3248" s="1">
        <v>4.9630074E7</v>
      </c>
      <c r="D3248" s="1" t="s">
        <v>4109</v>
      </c>
    </row>
    <row r="3249">
      <c r="A3249" s="1">
        <v>396.0</v>
      </c>
      <c r="B3249" s="1">
        <v>1.1669648E7</v>
      </c>
      <c r="C3249" s="1">
        <v>4.9528576E7</v>
      </c>
      <c r="D3249" s="1" t="s">
        <v>4276</v>
      </c>
    </row>
    <row r="3250">
      <c r="A3250" s="1">
        <v>404.0</v>
      </c>
      <c r="B3250" s="1">
        <v>1.1636223E7</v>
      </c>
      <c r="C3250" s="1">
        <v>4.940024E7</v>
      </c>
      <c r="D3250" s="1" t="s">
        <v>3922</v>
      </c>
    </row>
    <row r="3251">
      <c r="A3251" s="1">
        <v>475.0</v>
      </c>
      <c r="B3251" s="1">
        <v>1.1619508E7</v>
      </c>
      <c r="C3251" s="1">
        <v>4.9400973E7</v>
      </c>
      <c r="D3251" s="1" t="s">
        <v>4277</v>
      </c>
    </row>
    <row r="3252">
      <c r="A3252" s="1">
        <v>414.0</v>
      </c>
      <c r="B3252" s="1">
        <v>1.160753E7</v>
      </c>
      <c r="C3252" s="1">
        <v>4.9501272E7</v>
      </c>
      <c r="D3252" s="1" t="s">
        <v>4278</v>
      </c>
    </row>
    <row r="3253">
      <c r="A3253" s="1">
        <v>665.0</v>
      </c>
      <c r="B3253" s="1">
        <v>1.1607206E7</v>
      </c>
      <c r="C3253" s="1">
        <v>4.9295851E7</v>
      </c>
      <c r="D3253" s="1" t="s">
        <v>4279</v>
      </c>
    </row>
    <row r="3254">
      <c r="A3254" s="1">
        <v>597.0</v>
      </c>
      <c r="B3254" s="1">
        <v>1.1589134E7</v>
      </c>
      <c r="C3254" s="1">
        <v>4.9410307E7</v>
      </c>
      <c r="D3254" s="1" t="s">
        <v>4280</v>
      </c>
    </row>
    <row r="3255">
      <c r="A3255" s="1">
        <v>671.0</v>
      </c>
      <c r="B3255" s="1">
        <v>1.1582157E7</v>
      </c>
      <c r="C3255" s="1">
        <v>4.9178052E7</v>
      </c>
      <c r="D3255" s="1" t="s">
        <v>2868</v>
      </c>
    </row>
    <row r="3256">
      <c r="A3256" s="1">
        <v>565.0</v>
      </c>
      <c r="B3256" s="1">
        <v>1.1565025E7</v>
      </c>
      <c r="C3256" s="1">
        <v>4.915294E7</v>
      </c>
      <c r="D3256" s="1" t="s">
        <v>1667</v>
      </c>
    </row>
    <row r="3257">
      <c r="A3257" s="1">
        <v>531.0</v>
      </c>
      <c r="B3257" s="1">
        <v>1.154709E7</v>
      </c>
      <c r="C3257" s="1">
        <v>4.905237E7</v>
      </c>
      <c r="D3257" s="1" t="s">
        <v>4210</v>
      </c>
    </row>
    <row r="3258">
      <c r="A3258" s="1">
        <v>571.0</v>
      </c>
      <c r="B3258" s="1">
        <v>1.1532779E7</v>
      </c>
      <c r="C3258" s="1">
        <v>1.83327399E8</v>
      </c>
      <c r="D3258" s="1" t="s">
        <v>2721</v>
      </c>
    </row>
    <row r="3259">
      <c r="A3259" s="1">
        <v>671.0</v>
      </c>
      <c r="B3259" s="1">
        <v>1.1528231E7</v>
      </c>
      <c r="C3259" s="1">
        <v>4.893122E7</v>
      </c>
      <c r="D3259" s="1" t="s">
        <v>4281</v>
      </c>
    </row>
    <row r="3260">
      <c r="A3260" s="1">
        <v>473.0</v>
      </c>
      <c r="B3260" s="1">
        <v>1.1527825E7</v>
      </c>
      <c r="C3260" s="1">
        <v>4.8913586E7</v>
      </c>
      <c r="D3260" s="1" t="s">
        <v>4282</v>
      </c>
    </row>
    <row r="3261">
      <c r="A3261" s="1">
        <v>504.0</v>
      </c>
      <c r="B3261" s="1">
        <v>1.1515705E7</v>
      </c>
      <c r="C3261" s="1">
        <v>4.8896441E7</v>
      </c>
      <c r="D3261" s="1" t="s">
        <v>1266</v>
      </c>
    </row>
    <row r="3262">
      <c r="A3262" s="1">
        <v>550.0</v>
      </c>
      <c r="B3262" s="1">
        <v>1.1514737E7</v>
      </c>
      <c r="C3262" s="1">
        <v>4.8915794E7</v>
      </c>
      <c r="D3262" s="1" t="s">
        <v>4283</v>
      </c>
    </row>
    <row r="3263">
      <c r="A3263" s="1">
        <v>414.0</v>
      </c>
      <c r="B3263" s="1">
        <v>1.1505512E7</v>
      </c>
      <c r="C3263" s="1">
        <v>4.8904365E7</v>
      </c>
      <c r="D3263" s="1" t="s">
        <v>4284</v>
      </c>
    </row>
    <row r="3264">
      <c r="A3264" s="1">
        <v>571.0</v>
      </c>
      <c r="B3264" s="1">
        <v>1.1489245E7</v>
      </c>
      <c r="C3264" s="1">
        <v>4.46907612E8</v>
      </c>
      <c r="D3264" s="1" t="s">
        <v>4286</v>
      </c>
    </row>
    <row r="3265">
      <c r="A3265" s="1">
        <v>602.0</v>
      </c>
      <c r="B3265" s="1">
        <v>1.1482438E7</v>
      </c>
      <c r="C3265" s="1">
        <v>4.8827242E7</v>
      </c>
      <c r="D3265" s="1" t="s">
        <v>4287</v>
      </c>
    </row>
    <row r="3266">
      <c r="A3266" s="1">
        <v>353.0</v>
      </c>
      <c r="B3266" s="1">
        <v>1.1457431E7</v>
      </c>
      <c r="C3266" s="1">
        <v>4.868929E7</v>
      </c>
      <c r="D3266" s="1" t="s">
        <v>1836</v>
      </c>
    </row>
    <row r="3267">
      <c r="A3267" s="1">
        <v>392.0</v>
      </c>
      <c r="B3267" s="1">
        <v>1.1446458E7</v>
      </c>
      <c r="C3267" s="1">
        <v>4.8657443E7</v>
      </c>
      <c r="D3267" s="1" t="s">
        <v>4288</v>
      </c>
    </row>
    <row r="3268">
      <c r="A3268" s="1">
        <v>641.0</v>
      </c>
      <c r="B3268" s="1">
        <v>1.1442946E7</v>
      </c>
      <c r="C3268" s="1">
        <v>4.8653494E7</v>
      </c>
      <c r="D3268" s="1" t="s">
        <v>2447</v>
      </c>
    </row>
    <row r="3269">
      <c r="A3269" s="1">
        <v>571.0</v>
      </c>
      <c r="B3269" s="1">
        <v>1.1429036E7</v>
      </c>
      <c r="C3269" s="1">
        <v>4.8564606E7</v>
      </c>
      <c r="D3269" s="1" t="s">
        <v>4291</v>
      </c>
    </row>
    <row r="3270">
      <c r="A3270" s="1">
        <v>664.0</v>
      </c>
      <c r="B3270" s="1">
        <v>1.1400401E7</v>
      </c>
      <c r="C3270" s="1">
        <v>4.845249E7</v>
      </c>
      <c r="D3270" s="1" t="s">
        <v>4292</v>
      </c>
    </row>
    <row r="3271">
      <c r="A3271" s="1">
        <v>475.0</v>
      </c>
      <c r="B3271" s="1">
        <v>1.1390772E7</v>
      </c>
      <c r="C3271" s="1">
        <v>4.8441359E7</v>
      </c>
      <c r="D3271" s="1" t="s">
        <v>4293</v>
      </c>
    </row>
    <row r="3272">
      <c r="A3272" s="1">
        <v>409.0</v>
      </c>
      <c r="B3272" s="1">
        <v>1.1366392E7</v>
      </c>
      <c r="C3272" s="1">
        <v>4.8314393E7</v>
      </c>
      <c r="D3272" s="1" t="s">
        <v>701</v>
      </c>
    </row>
    <row r="3273">
      <c r="A3273" s="1">
        <v>425.0</v>
      </c>
      <c r="B3273" s="1">
        <v>1.136552E7</v>
      </c>
      <c r="C3273" s="1">
        <v>4.832912E7</v>
      </c>
      <c r="D3273" s="1" t="s">
        <v>655</v>
      </c>
    </row>
    <row r="3274">
      <c r="A3274" s="1">
        <v>210.0</v>
      </c>
      <c r="B3274" s="1">
        <v>1.1364386E7</v>
      </c>
      <c r="C3274" s="1">
        <v>4.845144E7</v>
      </c>
      <c r="D3274" s="1" t="s">
        <v>4294</v>
      </c>
    </row>
    <row r="3275">
      <c r="A3275" s="1">
        <v>337.0</v>
      </c>
      <c r="B3275" s="1">
        <v>1.1338367E7</v>
      </c>
      <c r="C3275" s="1">
        <v>4.8224643E7</v>
      </c>
      <c r="D3275" s="1" t="s">
        <v>3862</v>
      </c>
    </row>
    <row r="3276">
      <c r="A3276" s="1">
        <v>569.0</v>
      </c>
      <c r="B3276" s="1">
        <v>1.1324504E7</v>
      </c>
      <c r="C3276" s="1">
        <v>4.8144966E7</v>
      </c>
      <c r="D3276" s="1" t="s">
        <v>3360</v>
      </c>
    </row>
    <row r="3277">
      <c r="A3277" s="1">
        <v>409.0</v>
      </c>
      <c r="B3277" s="1">
        <v>1.1307028E7</v>
      </c>
      <c r="C3277" s="1">
        <v>4.8092575E7</v>
      </c>
      <c r="D3277" s="1" t="s">
        <v>4296</v>
      </c>
    </row>
    <row r="3278">
      <c r="A3278" s="1">
        <v>531.0</v>
      </c>
      <c r="B3278" s="1">
        <v>1.1296481E7</v>
      </c>
      <c r="C3278" s="1">
        <v>4.7972002E7</v>
      </c>
      <c r="D3278" s="1" t="s">
        <v>4297</v>
      </c>
    </row>
    <row r="3279">
      <c r="A3279" s="1">
        <v>414.0</v>
      </c>
      <c r="B3279" s="1">
        <v>1.1275081E7</v>
      </c>
      <c r="C3279" s="1">
        <v>4.7858334E7</v>
      </c>
      <c r="D3279" s="1" t="s">
        <v>4298</v>
      </c>
    </row>
    <row r="3280">
      <c r="A3280" s="1">
        <v>228.0</v>
      </c>
      <c r="B3280" s="1">
        <v>1.1271718E7</v>
      </c>
      <c r="C3280" s="1">
        <v>4.8027994E7</v>
      </c>
      <c r="D3280" s="1" t="s">
        <v>217</v>
      </c>
    </row>
    <row r="3281">
      <c r="A3281" s="1">
        <v>578.0</v>
      </c>
      <c r="B3281" s="1">
        <v>1.1270697E7</v>
      </c>
      <c r="C3281" s="1">
        <v>4.7870847E7</v>
      </c>
      <c r="D3281" s="1" t="s">
        <v>1433</v>
      </c>
    </row>
    <row r="3282">
      <c r="A3282" s="1">
        <v>380.0</v>
      </c>
      <c r="B3282" s="1">
        <v>1.1264547E7</v>
      </c>
      <c r="C3282" s="1">
        <v>4.7873152E7</v>
      </c>
      <c r="D3282" s="1" t="s">
        <v>2286</v>
      </c>
    </row>
    <row r="3283">
      <c r="A3283" s="1">
        <v>142.0</v>
      </c>
      <c r="B3283" s="1">
        <v>1.124785E7</v>
      </c>
      <c r="C3283" s="1">
        <v>4.7795675E7</v>
      </c>
      <c r="D3283" s="1" t="s">
        <v>4300</v>
      </c>
    </row>
    <row r="3284">
      <c r="A3284" s="1">
        <v>609.0</v>
      </c>
      <c r="B3284" s="1">
        <v>1.1235219E7</v>
      </c>
      <c r="C3284" s="1">
        <v>4.7794755E7</v>
      </c>
      <c r="D3284" s="1" t="s">
        <v>4301</v>
      </c>
    </row>
    <row r="3285">
      <c r="A3285" s="1">
        <v>414.0</v>
      </c>
      <c r="B3285" s="1">
        <v>1.1212831E7</v>
      </c>
      <c r="C3285" s="1">
        <v>4.7650318E7</v>
      </c>
      <c r="D3285" s="1" t="s">
        <v>4302</v>
      </c>
    </row>
    <row r="3286">
      <c r="A3286" s="1">
        <v>504.0</v>
      </c>
      <c r="B3286" s="1">
        <v>1.1175847E7</v>
      </c>
      <c r="C3286" s="1">
        <v>4.7542762E7</v>
      </c>
      <c r="D3286" s="1" t="s">
        <v>4303</v>
      </c>
    </row>
    <row r="3287">
      <c r="A3287" s="1">
        <v>565.0</v>
      </c>
      <c r="B3287" s="1">
        <v>1.1174087E7</v>
      </c>
      <c r="C3287" s="1">
        <v>4.71051638E8</v>
      </c>
      <c r="D3287" s="1" t="s">
        <v>4304</v>
      </c>
    </row>
    <row r="3288">
      <c r="A3288" s="1">
        <v>569.0</v>
      </c>
      <c r="B3288" s="1">
        <v>1.1164032E7</v>
      </c>
      <c r="C3288" s="1">
        <v>5.8497939E7</v>
      </c>
      <c r="D3288" s="1" t="s">
        <v>237</v>
      </c>
    </row>
    <row r="3289">
      <c r="A3289" s="1">
        <v>602.0</v>
      </c>
      <c r="B3289" s="1">
        <v>1.1154148E7</v>
      </c>
      <c r="C3289" s="1">
        <v>4.7426471E7</v>
      </c>
      <c r="D3289" s="1" t="s">
        <v>4305</v>
      </c>
    </row>
    <row r="3290">
      <c r="A3290" s="1">
        <v>522.0</v>
      </c>
      <c r="B3290" s="1">
        <v>1.1153433E7</v>
      </c>
      <c r="C3290" s="1">
        <v>4.7431607E7</v>
      </c>
      <c r="D3290" s="1" t="s">
        <v>4306</v>
      </c>
    </row>
    <row r="3291">
      <c r="A3291" s="1">
        <v>531.0</v>
      </c>
      <c r="B3291" s="1">
        <v>1.1152136E7</v>
      </c>
      <c r="C3291" s="1">
        <v>4.7438975E7</v>
      </c>
      <c r="D3291" s="1" t="s">
        <v>4307</v>
      </c>
    </row>
    <row r="3292">
      <c r="A3292" s="1">
        <v>504.0</v>
      </c>
      <c r="B3292" s="1">
        <v>1.1151984E7</v>
      </c>
      <c r="C3292" s="1">
        <v>4.7422655E7</v>
      </c>
      <c r="D3292" s="1" t="s">
        <v>814</v>
      </c>
    </row>
    <row r="3293">
      <c r="A3293" s="1">
        <v>671.0</v>
      </c>
      <c r="B3293" s="1">
        <v>1.1145618E7</v>
      </c>
      <c r="C3293" s="1">
        <v>4.7334179E7</v>
      </c>
      <c r="D3293" s="1" t="s">
        <v>3372</v>
      </c>
    </row>
    <row r="3294">
      <c r="A3294" s="1">
        <v>407.0</v>
      </c>
      <c r="B3294" s="1">
        <v>1.1127205E7</v>
      </c>
      <c r="C3294" s="1">
        <v>7.5931068E7</v>
      </c>
      <c r="D3294" s="1" t="s">
        <v>4308</v>
      </c>
    </row>
    <row r="3295">
      <c r="A3295" s="1">
        <v>720.0</v>
      </c>
      <c r="B3295" s="1">
        <v>1.1123947E7</v>
      </c>
      <c r="C3295" s="1">
        <v>1.79370574E8</v>
      </c>
      <c r="D3295" s="1" t="s">
        <v>2184</v>
      </c>
    </row>
    <row r="3296">
      <c r="A3296" s="1">
        <v>550.0</v>
      </c>
      <c r="B3296" s="1">
        <v>1.1106028E7</v>
      </c>
      <c r="C3296" s="1">
        <v>4.7776997E7</v>
      </c>
      <c r="D3296" s="1" t="s">
        <v>613</v>
      </c>
    </row>
    <row r="3297">
      <c r="A3297" s="1">
        <v>244.0</v>
      </c>
      <c r="B3297" s="1">
        <v>1.1105746E7</v>
      </c>
      <c r="C3297" s="1">
        <v>4.7193711E7</v>
      </c>
      <c r="D3297" s="1" t="s">
        <v>3972</v>
      </c>
    </row>
    <row r="3298">
      <c r="A3298" s="1">
        <v>380.0</v>
      </c>
      <c r="B3298" s="1">
        <v>1.1100503E7</v>
      </c>
      <c r="C3298" s="1">
        <v>4.7202626E7</v>
      </c>
      <c r="D3298" s="1" t="s">
        <v>2713</v>
      </c>
    </row>
    <row r="3299">
      <c r="A3299" s="1">
        <v>587.0</v>
      </c>
      <c r="B3299" s="1">
        <v>1.1100473E7</v>
      </c>
      <c r="C3299" s="1">
        <v>4.7199208E7</v>
      </c>
      <c r="D3299" s="1" t="s">
        <v>4310</v>
      </c>
    </row>
    <row r="3300">
      <c r="A3300" s="1">
        <v>667.0</v>
      </c>
      <c r="B3300" s="1">
        <v>1.1095278E7</v>
      </c>
      <c r="C3300" s="1">
        <v>4.722183E7</v>
      </c>
      <c r="D3300" s="1" t="s">
        <v>4311</v>
      </c>
    </row>
    <row r="3301">
      <c r="A3301" s="1">
        <v>503.0</v>
      </c>
      <c r="B3301" s="1">
        <v>1.1091028E7</v>
      </c>
      <c r="C3301" s="1">
        <v>4.7219806E7</v>
      </c>
      <c r="D3301" s="1" t="s">
        <v>4313</v>
      </c>
    </row>
    <row r="3302">
      <c r="A3302" s="1">
        <v>664.0</v>
      </c>
      <c r="B3302" s="1">
        <v>1.1090236E7</v>
      </c>
      <c r="C3302" s="1">
        <v>4.7090335E7</v>
      </c>
      <c r="D3302" s="1" t="s">
        <v>4023</v>
      </c>
    </row>
    <row r="3303">
      <c r="A3303" s="1">
        <v>654.0</v>
      </c>
      <c r="B3303" s="1">
        <v>1.1074805E7</v>
      </c>
      <c r="C3303" s="1">
        <v>4.7085049E7</v>
      </c>
      <c r="D3303" s="1" t="s">
        <v>1217</v>
      </c>
    </row>
    <row r="3304">
      <c r="A3304" s="1">
        <v>671.0</v>
      </c>
      <c r="B3304" s="1">
        <v>1.1070441E7</v>
      </c>
      <c r="C3304" s="1">
        <v>5.6312673E7</v>
      </c>
      <c r="D3304" s="1" t="s">
        <v>2710</v>
      </c>
    </row>
    <row r="3305">
      <c r="A3305" s="1">
        <v>645.0</v>
      </c>
      <c r="B3305" s="1">
        <v>1.1039385E7</v>
      </c>
      <c r="C3305" s="1">
        <v>5.3472446E7</v>
      </c>
      <c r="D3305" s="1" t="s">
        <v>4315</v>
      </c>
    </row>
    <row r="3306">
      <c r="A3306" s="1">
        <v>564.0</v>
      </c>
      <c r="B3306" s="1">
        <v>1.1034759E7</v>
      </c>
      <c r="C3306" s="1">
        <v>4.6892129E7</v>
      </c>
      <c r="D3306" s="1" t="s">
        <v>4316</v>
      </c>
    </row>
    <row r="3307">
      <c r="A3307" s="1">
        <v>671.0</v>
      </c>
      <c r="B3307" s="1">
        <v>1.1034293E7</v>
      </c>
      <c r="C3307" s="1">
        <v>4.6887577E7</v>
      </c>
      <c r="D3307" s="1" t="s">
        <v>4317</v>
      </c>
    </row>
    <row r="3308">
      <c r="A3308" s="1">
        <v>142.0</v>
      </c>
      <c r="B3308" s="1">
        <v>1.1012208E7</v>
      </c>
      <c r="C3308" s="1">
        <v>4.7012063E7</v>
      </c>
      <c r="D3308" s="1" t="s">
        <v>1363</v>
      </c>
    </row>
    <row r="3309">
      <c r="A3309" s="1">
        <v>244.0</v>
      </c>
      <c r="B3309" s="1">
        <v>1.0998076E7</v>
      </c>
      <c r="C3309" s="1">
        <v>4.6775156E7</v>
      </c>
      <c r="D3309" s="1" t="s">
        <v>1177</v>
      </c>
    </row>
    <row r="3310">
      <c r="A3310" s="1">
        <v>401.0</v>
      </c>
      <c r="B3310" s="1">
        <v>1.0987849E7</v>
      </c>
      <c r="C3310" s="1">
        <v>4.6658732E7</v>
      </c>
      <c r="D3310" s="1" t="s">
        <v>4319</v>
      </c>
    </row>
    <row r="3311">
      <c r="A3311" s="1">
        <v>353.0</v>
      </c>
      <c r="B3311" s="1">
        <v>1.0980525E7</v>
      </c>
      <c r="C3311" s="1">
        <v>4.6697005E7</v>
      </c>
      <c r="D3311" s="1" t="s">
        <v>725</v>
      </c>
    </row>
    <row r="3312">
      <c r="A3312" s="1">
        <v>673.0</v>
      </c>
      <c r="B3312" s="1">
        <v>1.0958224E7</v>
      </c>
      <c r="C3312" s="1">
        <v>3.90894935E8</v>
      </c>
      <c r="D3312" s="1" t="s">
        <v>4321</v>
      </c>
    </row>
    <row r="3313">
      <c r="A3313" s="1">
        <v>571.0</v>
      </c>
      <c r="B3313" s="1">
        <v>1.0954762E7</v>
      </c>
      <c r="C3313" s="1">
        <v>4.6543744E7</v>
      </c>
      <c r="D3313" s="1" t="s">
        <v>4322</v>
      </c>
    </row>
    <row r="3314">
      <c r="A3314" s="1">
        <v>225.0</v>
      </c>
      <c r="B3314" s="1">
        <v>1.0952371E7</v>
      </c>
      <c r="C3314" s="1">
        <v>4.6570257E7</v>
      </c>
      <c r="D3314" s="1" t="s">
        <v>4323</v>
      </c>
    </row>
    <row r="3315">
      <c r="A3315" s="1">
        <v>715.0</v>
      </c>
      <c r="B3315" s="1">
        <v>1.0929791E7</v>
      </c>
      <c r="C3315" s="1">
        <v>4.6426891E7</v>
      </c>
      <c r="D3315" s="1" t="s">
        <v>1192</v>
      </c>
    </row>
    <row r="3316">
      <c r="A3316" s="1">
        <v>207.0</v>
      </c>
      <c r="B3316" s="1">
        <v>1.0927887E7</v>
      </c>
      <c r="C3316" s="1">
        <v>4.6454845E7</v>
      </c>
      <c r="D3316" s="1" t="s">
        <v>1678</v>
      </c>
    </row>
    <row r="3317">
      <c r="A3317" s="1">
        <v>142.0</v>
      </c>
      <c r="B3317" s="1">
        <v>1.0913386E7</v>
      </c>
      <c r="C3317" s="1">
        <v>4.647233E7</v>
      </c>
      <c r="D3317" s="1" t="s">
        <v>4173</v>
      </c>
    </row>
    <row r="3318">
      <c r="A3318" s="1">
        <v>570.0</v>
      </c>
      <c r="B3318" s="1">
        <v>1.0880458E7</v>
      </c>
      <c r="C3318" s="1">
        <v>4.6231055E7</v>
      </c>
      <c r="D3318" s="1" t="s">
        <v>4264</v>
      </c>
    </row>
    <row r="3319">
      <c r="A3319" s="1">
        <v>564.0</v>
      </c>
      <c r="B3319" s="1">
        <v>1.0879858E7</v>
      </c>
      <c r="C3319" s="1">
        <v>4.6442978E7</v>
      </c>
      <c r="D3319" s="1" t="s">
        <v>4325</v>
      </c>
    </row>
    <row r="3320">
      <c r="A3320" s="1">
        <v>455.0</v>
      </c>
      <c r="B3320" s="1">
        <v>1.0879172E7</v>
      </c>
      <c r="C3320" s="1">
        <v>4.6235818E7</v>
      </c>
      <c r="D3320" s="1" t="s">
        <v>4327</v>
      </c>
    </row>
    <row r="3321">
      <c r="A3321" s="1">
        <v>671.0</v>
      </c>
      <c r="B3321" s="1">
        <v>1.0876402E7</v>
      </c>
      <c r="C3321" s="1">
        <v>4.6249596E7</v>
      </c>
      <c r="D3321" s="1" t="s">
        <v>1572</v>
      </c>
    </row>
    <row r="3322">
      <c r="A3322" s="1">
        <v>531.0</v>
      </c>
      <c r="B3322" s="1">
        <v>1.0873281E7</v>
      </c>
      <c r="C3322" s="1">
        <v>4.6247311E7</v>
      </c>
      <c r="D3322" s="1" t="s">
        <v>4328</v>
      </c>
    </row>
    <row r="3323">
      <c r="A3323" s="1">
        <v>546.0</v>
      </c>
      <c r="B3323" s="1">
        <v>1.0864854E7</v>
      </c>
      <c r="C3323" s="1">
        <v>4.6158598E7</v>
      </c>
      <c r="D3323" s="1" t="s">
        <v>4329</v>
      </c>
    </row>
    <row r="3324">
      <c r="A3324" s="1">
        <v>546.0</v>
      </c>
      <c r="B3324" s="1">
        <v>1.0862489E7</v>
      </c>
      <c r="C3324" s="1">
        <v>4.6171701E7</v>
      </c>
      <c r="D3324" s="1" t="s">
        <v>1073</v>
      </c>
    </row>
    <row r="3325">
      <c r="A3325" s="1">
        <v>676.0</v>
      </c>
      <c r="B3325" s="1">
        <v>1.0849155E7</v>
      </c>
      <c r="C3325" s="1">
        <v>4.6148871E7</v>
      </c>
      <c r="D3325" s="1" t="s">
        <v>4330</v>
      </c>
    </row>
    <row r="3326">
      <c r="A3326" s="1">
        <v>609.0</v>
      </c>
      <c r="B3326" s="1">
        <v>1.0835772E7</v>
      </c>
      <c r="C3326" s="1">
        <v>4.6086414E7</v>
      </c>
      <c r="D3326" s="1" t="s">
        <v>3593</v>
      </c>
    </row>
    <row r="3327">
      <c r="A3327" s="1">
        <v>673.0</v>
      </c>
      <c r="B3327" s="1">
        <v>1.0834314E7</v>
      </c>
      <c r="C3327" s="1">
        <v>1.04694654E8</v>
      </c>
      <c r="D3327" s="1" t="s">
        <v>4331</v>
      </c>
    </row>
    <row r="3328">
      <c r="A3328" s="1">
        <v>602.0</v>
      </c>
      <c r="B3328" s="1">
        <v>1.0829207E7</v>
      </c>
      <c r="C3328" s="1">
        <v>4.6065032E7</v>
      </c>
      <c r="D3328" s="1" t="s">
        <v>4332</v>
      </c>
    </row>
    <row r="3329">
      <c r="A3329" s="1">
        <v>667.0</v>
      </c>
      <c r="B3329" s="1">
        <v>1.0828787E7</v>
      </c>
      <c r="C3329" s="1">
        <v>4.6051938E7</v>
      </c>
      <c r="D3329" s="1" t="s">
        <v>2839</v>
      </c>
    </row>
    <row r="3330">
      <c r="A3330" s="1">
        <v>244.0</v>
      </c>
      <c r="B3330" s="1">
        <v>1.0828019E7</v>
      </c>
      <c r="C3330" s="1">
        <v>4.6053551E7</v>
      </c>
      <c r="D3330" s="1" t="s">
        <v>4333</v>
      </c>
    </row>
    <row r="3331">
      <c r="A3331" s="1">
        <v>285.0</v>
      </c>
      <c r="B3331" s="1">
        <v>1.0825671E7</v>
      </c>
      <c r="C3331" s="1">
        <v>4.5950428E7</v>
      </c>
      <c r="D3331" s="1" t="s">
        <v>4334</v>
      </c>
    </row>
    <row r="3332">
      <c r="A3332" s="1">
        <v>571.0</v>
      </c>
      <c r="B3332" s="1">
        <v>1.0808307E7</v>
      </c>
      <c r="C3332" s="1">
        <v>4.5950967E7</v>
      </c>
      <c r="D3332" s="1" t="s">
        <v>4335</v>
      </c>
    </row>
    <row r="3333">
      <c r="A3333" s="1">
        <v>475.0</v>
      </c>
      <c r="B3333" s="1">
        <v>1.0805966E7</v>
      </c>
      <c r="C3333" s="1">
        <v>4.5948098E7</v>
      </c>
      <c r="D3333" s="1" t="s">
        <v>4336</v>
      </c>
    </row>
    <row r="3334">
      <c r="A3334" s="1">
        <v>676.0</v>
      </c>
      <c r="B3334" s="1">
        <v>1.0797423E7</v>
      </c>
      <c r="C3334" s="1">
        <v>5.889698E7</v>
      </c>
      <c r="D3334" s="1" t="s">
        <v>4338</v>
      </c>
    </row>
    <row r="3335">
      <c r="A3335" s="1">
        <v>587.0</v>
      </c>
      <c r="B3335" s="1">
        <v>1.0775519E7</v>
      </c>
      <c r="C3335" s="1">
        <v>4.5756226E7</v>
      </c>
      <c r="D3335" s="1" t="s">
        <v>4339</v>
      </c>
    </row>
    <row r="3336">
      <c r="A3336" s="1">
        <v>669.0</v>
      </c>
      <c r="B3336" s="1">
        <v>1.0746086E7</v>
      </c>
      <c r="C3336" s="1">
        <v>4.5653476E7</v>
      </c>
      <c r="D3336" s="1" t="s">
        <v>4340</v>
      </c>
    </row>
    <row r="3337">
      <c r="A3337" s="1">
        <v>414.0</v>
      </c>
      <c r="B3337" s="1">
        <v>1.0720997E7</v>
      </c>
      <c r="C3337" s="1">
        <v>4.5551914E7</v>
      </c>
      <c r="D3337" s="1" t="s">
        <v>920</v>
      </c>
    </row>
    <row r="3338">
      <c r="A3338" s="1">
        <v>380.0</v>
      </c>
      <c r="B3338" s="1">
        <v>1.0720493E7</v>
      </c>
      <c r="C3338" s="1">
        <v>4.5559503E7</v>
      </c>
      <c r="D3338" s="1" t="s">
        <v>3735</v>
      </c>
    </row>
    <row r="3339">
      <c r="A3339" s="1">
        <v>609.0</v>
      </c>
      <c r="B3339" s="1">
        <v>1.0717718E7</v>
      </c>
      <c r="C3339" s="1">
        <v>4.5680966E7</v>
      </c>
      <c r="D3339" s="1" t="s">
        <v>3985</v>
      </c>
    </row>
    <row r="3340">
      <c r="A3340" s="1">
        <v>602.0</v>
      </c>
      <c r="B3340" s="1">
        <v>1.0712668E7</v>
      </c>
      <c r="C3340" s="1">
        <v>4.5566379E7</v>
      </c>
      <c r="D3340" s="1" t="s">
        <v>4342</v>
      </c>
    </row>
    <row r="3341">
      <c r="A3341" s="1">
        <v>643.0</v>
      </c>
      <c r="B3341" s="1">
        <v>1.0686774E7</v>
      </c>
      <c r="C3341" s="1">
        <v>4.5407967E7</v>
      </c>
      <c r="D3341" s="1" t="s">
        <v>1439</v>
      </c>
    </row>
    <row r="3342">
      <c r="A3342" s="1">
        <v>671.0</v>
      </c>
      <c r="B3342" s="1">
        <v>1.0669164E7</v>
      </c>
      <c r="C3342" s="1">
        <v>4.5287631E7</v>
      </c>
      <c r="D3342" s="1" t="s">
        <v>3919</v>
      </c>
    </row>
    <row r="3343">
      <c r="A3343" s="1">
        <v>207.0</v>
      </c>
      <c r="B3343" s="1">
        <v>1.0652816E7</v>
      </c>
      <c r="C3343" s="1">
        <v>4.526873E7</v>
      </c>
      <c r="D3343" s="1" t="s">
        <v>4343</v>
      </c>
    </row>
    <row r="3344">
      <c r="A3344" s="1">
        <v>677.0</v>
      </c>
      <c r="B3344" s="1">
        <v>1.0650367E7</v>
      </c>
      <c r="C3344" s="1">
        <v>4.5270406E7</v>
      </c>
      <c r="D3344" s="1" t="s">
        <v>4344</v>
      </c>
    </row>
    <row r="3345">
      <c r="A3345" s="1">
        <v>475.0</v>
      </c>
      <c r="B3345" s="1">
        <v>1.0644285E7</v>
      </c>
      <c r="C3345" s="1">
        <v>4.528798E7</v>
      </c>
      <c r="D3345" s="1" t="s">
        <v>4345</v>
      </c>
    </row>
    <row r="3346">
      <c r="A3346" s="1">
        <v>665.0</v>
      </c>
      <c r="B3346" s="1">
        <v>1.062734E7</v>
      </c>
      <c r="C3346" s="1">
        <v>4.5159908E7</v>
      </c>
      <c r="D3346" s="1" t="s">
        <v>3622</v>
      </c>
    </row>
    <row r="3347">
      <c r="A3347" s="1">
        <v>586.0</v>
      </c>
      <c r="B3347" s="1">
        <v>1.062176E7</v>
      </c>
      <c r="C3347" s="1">
        <v>1.58216908E8</v>
      </c>
      <c r="D3347" s="1" t="s">
        <v>4347</v>
      </c>
    </row>
    <row r="3348">
      <c r="A3348" s="1">
        <v>207.0</v>
      </c>
      <c r="B3348" s="1">
        <v>1.0621422E7</v>
      </c>
      <c r="C3348" s="1">
        <v>4.5121427E7</v>
      </c>
      <c r="D3348" s="1" t="s">
        <v>4348</v>
      </c>
    </row>
    <row r="3349">
      <c r="A3349" s="1">
        <v>564.0</v>
      </c>
      <c r="B3349" s="1">
        <v>1.0619833E7</v>
      </c>
      <c r="C3349" s="1">
        <v>4.5150632E7</v>
      </c>
      <c r="D3349" s="1" t="s">
        <v>3320</v>
      </c>
    </row>
    <row r="3350">
      <c r="A3350" s="1">
        <v>578.0</v>
      </c>
      <c r="B3350" s="1">
        <v>1.0612238E7</v>
      </c>
      <c r="C3350" s="1">
        <v>4.5284959E7</v>
      </c>
      <c r="D3350" s="1" t="s">
        <v>4349</v>
      </c>
    </row>
    <row r="3351">
      <c r="A3351" s="1">
        <v>696.0</v>
      </c>
      <c r="B3351" s="1">
        <v>1.0600409E7</v>
      </c>
      <c r="C3351" s="1">
        <v>4.4997698E7</v>
      </c>
      <c r="D3351" s="1" t="s">
        <v>4350</v>
      </c>
    </row>
    <row r="3352">
      <c r="A3352" s="1">
        <v>702.0</v>
      </c>
      <c r="B3352" s="1">
        <v>1.058343E7</v>
      </c>
      <c r="C3352" s="1">
        <v>4.4996289E7</v>
      </c>
      <c r="D3352" s="1" t="s">
        <v>4352</v>
      </c>
    </row>
    <row r="3353">
      <c r="A3353" s="1">
        <v>244.0</v>
      </c>
      <c r="B3353" s="1">
        <v>1.0579185E7</v>
      </c>
      <c r="C3353" s="1">
        <v>4.4892947E7</v>
      </c>
      <c r="D3353" s="1" t="s">
        <v>2166</v>
      </c>
    </row>
    <row r="3354">
      <c r="A3354" s="1">
        <v>597.0</v>
      </c>
      <c r="B3354" s="1">
        <v>1.0576686E7</v>
      </c>
      <c r="C3354" s="1">
        <v>4.4906909E7</v>
      </c>
      <c r="D3354" s="1" t="s">
        <v>4354</v>
      </c>
    </row>
    <row r="3355">
      <c r="A3355" s="1">
        <v>503.0</v>
      </c>
      <c r="B3355" s="1">
        <v>1.0576536E7</v>
      </c>
      <c r="C3355" s="1">
        <v>4.4930844E7</v>
      </c>
      <c r="D3355" s="1" t="s">
        <v>4356</v>
      </c>
    </row>
    <row r="3356">
      <c r="A3356" s="1">
        <v>419.0</v>
      </c>
      <c r="B3356" s="1">
        <v>1.0572596E7</v>
      </c>
      <c r="C3356" s="1">
        <v>4.500208E7</v>
      </c>
      <c r="D3356" s="17" t="s">
        <v>3416</v>
      </c>
    </row>
    <row r="3357">
      <c r="A3357" s="1">
        <v>676.0</v>
      </c>
      <c r="B3357" s="1">
        <v>1.0567977E7</v>
      </c>
      <c r="C3357" s="1">
        <v>4.4898883E7</v>
      </c>
      <c r="D3357" s="1" t="s">
        <v>284</v>
      </c>
    </row>
    <row r="3358">
      <c r="A3358" s="1">
        <v>531.0</v>
      </c>
      <c r="B3358" s="1">
        <v>1.0556875E7</v>
      </c>
      <c r="C3358" s="1">
        <v>4.4817858E7</v>
      </c>
      <c r="D3358" s="1" t="s">
        <v>1922</v>
      </c>
    </row>
    <row r="3359">
      <c r="A3359" s="1">
        <v>694.0</v>
      </c>
      <c r="B3359" s="1">
        <v>1.0540836E7</v>
      </c>
      <c r="C3359" s="1">
        <v>4.4716302E7</v>
      </c>
      <c r="D3359" s="1" t="s">
        <v>4358</v>
      </c>
    </row>
    <row r="3360">
      <c r="A3360" s="1">
        <v>394.0</v>
      </c>
      <c r="B3360" s="1">
        <v>1.0538556E7</v>
      </c>
      <c r="C3360" s="1">
        <v>4.4732005E7</v>
      </c>
      <c r="D3360" s="1" t="s">
        <v>4359</v>
      </c>
    </row>
    <row r="3361">
      <c r="A3361" s="1">
        <v>578.0</v>
      </c>
      <c r="B3361" s="1">
        <v>1.0515411E7</v>
      </c>
      <c r="C3361" s="1">
        <v>4.4598557E7</v>
      </c>
      <c r="D3361" s="1" t="s">
        <v>3409</v>
      </c>
    </row>
    <row r="3362">
      <c r="A3362" s="1">
        <v>337.0</v>
      </c>
      <c r="B3362" s="1">
        <v>1.0513329E7</v>
      </c>
      <c r="C3362" s="1">
        <v>4.4610238E7</v>
      </c>
      <c r="D3362" s="1" t="s">
        <v>1537</v>
      </c>
    </row>
    <row r="3363">
      <c r="A3363" s="1">
        <v>228.0</v>
      </c>
      <c r="B3363" s="1">
        <v>1.0508877E7</v>
      </c>
      <c r="C3363" s="1">
        <v>4.4666681E7</v>
      </c>
      <c r="D3363" s="1" t="s">
        <v>4361</v>
      </c>
    </row>
    <row r="3364">
      <c r="A3364" s="1">
        <v>578.0</v>
      </c>
      <c r="B3364" s="1">
        <v>1.0499234E7</v>
      </c>
      <c r="C3364" s="1">
        <v>4.4607387E7</v>
      </c>
      <c r="D3364" s="1" t="s">
        <v>2431</v>
      </c>
    </row>
    <row r="3365">
      <c r="A3365" s="1">
        <v>715.0</v>
      </c>
      <c r="B3365" s="1">
        <v>1.0482779E7</v>
      </c>
      <c r="C3365" s="1">
        <v>4.4493529E7</v>
      </c>
      <c r="D3365" s="1" t="s">
        <v>570</v>
      </c>
    </row>
    <row r="3366">
      <c r="A3366" s="1">
        <v>353.0</v>
      </c>
      <c r="B3366" s="1">
        <v>1.0471912E7</v>
      </c>
      <c r="C3366" s="1">
        <v>4.4621938E7</v>
      </c>
      <c r="D3366" s="1" t="s">
        <v>1781</v>
      </c>
    </row>
    <row r="3367">
      <c r="A3367" s="1">
        <v>414.0</v>
      </c>
      <c r="B3367" s="1">
        <v>1.044937E7</v>
      </c>
      <c r="C3367" s="1">
        <v>4.4381884E7</v>
      </c>
      <c r="D3367" s="1" t="s">
        <v>4362</v>
      </c>
    </row>
    <row r="3368">
      <c r="A3368" s="1">
        <v>597.0</v>
      </c>
      <c r="B3368" s="1">
        <v>1.0448697E7</v>
      </c>
      <c r="C3368" s="1">
        <v>4.4396596E7</v>
      </c>
      <c r="D3368" s="1" t="s">
        <v>629</v>
      </c>
    </row>
    <row r="3369">
      <c r="A3369" s="1">
        <v>571.0</v>
      </c>
      <c r="B3369" s="1">
        <v>1.0447901E7</v>
      </c>
      <c r="C3369" s="1">
        <v>4.4602813E7</v>
      </c>
      <c r="D3369" s="1" t="s">
        <v>2307</v>
      </c>
    </row>
    <row r="3370">
      <c r="A3370" s="1">
        <v>395.0</v>
      </c>
      <c r="B3370" s="1">
        <v>1.0440603E7</v>
      </c>
      <c r="C3370" s="1">
        <v>4.4389057E7</v>
      </c>
      <c r="D3370" s="1" t="s">
        <v>4365</v>
      </c>
    </row>
    <row r="3371">
      <c r="A3371" s="1">
        <v>609.0</v>
      </c>
      <c r="B3371" s="1">
        <v>1.0431363E7</v>
      </c>
      <c r="C3371" s="1">
        <v>4.4423459E7</v>
      </c>
      <c r="D3371" s="1" t="s">
        <v>2932</v>
      </c>
    </row>
    <row r="3372">
      <c r="A3372" s="1">
        <v>410.0</v>
      </c>
      <c r="B3372" s="1">
        <v>1.0430558E7</v>
      </c>
      <c r="C3372" s="1">
        <v>4.4425107E7</v>
      </c>
      <c r="D3372" s="1" t="s">
        <v>4366</v>
      </c>
    </row>
    <row r="3373">
      <c r="A3373" s="1">
        <v>473.0</v>
      </c>
      <c r="B3373" s="1">
        <v>1.042662E7</v>
      </c>
      <c r="C3373" s="1">
        <v>4.4268851E7</v>
      </c>
      <c r="D3373" s="1" t="s">
        <v>3544</v>
      </c>
    </row>
    <row r="3374">
      <c r="A3374" s="1">
        <v>609.0</v>
      </c>
      <c r="B3374" s="1">
        <v>1.0426274E7</v>
      </c>
      <c r="C3374" s="1">
        <v>4.4256683E7</v>
      </c>
      <c r="D3374" s="1" t="s">
        <v>1578</v>
      </c>
    </row>
    <row r="3375">
      <c r="A3375" s="1">
        <v>609.0</v>
      </c>
      <c r="B3375" s="1">
        <v>1.0421804E7</v>
      </c>
      <c r="C3375" s="1">
        <v>4.4299178E7</v>
      </c>
      <c r="D3375" s="1" t="s">
        <v>4368</v>
      </c>
    </row>
    <row r="3376">
      <c r="A3376" s="1">
        <v>630.0</v>
      </c>
      <c r="B3376" s="1">
        <v>1.0398938E7</v>
      </c>
      <c r="C3376" s="1">
        <v>4.4209689E7</v>
      </c>
      <c r="D3376" s="1" t="s">
        <v>2201</v>
      </c>
    </row>
    <row r="3377">
      <c r="A3377" s="1">
        <v>228.0</v>
      </c>
      <c r="B3377" s="1">
        <v>1.0390147E7</v>
      </c>
      <c r="C3377" s="1">
        <v>4.4112968E7</v>
      </c>
      <c r="D3377" s="1" t="s">
        <v>4369</v>
      </c>
    </row>
    <row r="3378">
      <c r="A3378" s="1">
        <v>715.0</v>
      </c>
      <c r="B3378" s="1">
        <v>1.0383622E7</v>
      </c>
      <c r="C3378" s="1">
        <v>4.4153495E7</v>
      </c>
      <c r="D3378" s="1" t="s">
        <v>4370</v>
      </c>
    </row>
    <row r="3379">
      <c r="A3379" s="1">
        <v>525.0</v>
      </c>
      <c r="B3379" s="1">
        <v>1.0378508E7</v>
      </c>
      <c r="C3379" s="1">
        <v>4.4066255E7</v>
      </c>
      <c r="D3379" s="1" t="s">
        <v>4371</v>
      </c>
    </row>
    <row r="3380">
      <c r="A3380" s="1">
        <v>353.0</v>
      </c>
      <c r="B3380" s="1">
        <v>1.0367683E7</v>
      </c>
      <c r="C3380" s="1">
        <v>4.3996346E7</v>
      </c>
      <c r="D3380" s="1" t="s">
        <v>538</v>
      </c>
    </row>
    <row r="3381">
      <c r="A3381" s="1">
        <v>715.0</v>
      </c>
      <c r="B3381" s="1">
        <v>1.0360431E7</v>
      </c>
      <c r="C3381" s="1">
        <v>4.3956231E7</v>
      </c>
      <c r="D3381" s="1" t="s">
        <v>4372</v>
      </c>
    </row>
    <row r="3382">
      <c r="A3382" s="1">
        <v>601.0</v>
      </c>
      <c r="B3382" s="1">
        <v>1.0345248E7</v>
      </c>
      <c r="C3382" s="1">
        <v>4.3965972E7</v>
      </c>
      <c r="D3382" s="1" t="s">
        <v>4373</v>
      </c>
    </row>
    <row r="3383">
      <c r="A3383" s="1">
        <v>673.0</v>
      </c>
      <c r="B3383" s="1">
        <v>1.0332458E7</v>
      </c>
      <c r="C3383" s="1">
        <v>4.4721152E7</v>
      </c>
      <c r="D3383" s="1" t="s">
        <v>4374</v>
      </c>
    </row>
    <row r="3384">
      <c r="A3384" s="1">
        <v>713.0</v>
      </c>
      <c r="B3384" s="1">
        <v>1.0321917E7</v>
      </c>
      <c r="C3384" s="1">
        <v>4.3866055E7</v>
      </c>
      <c r="D3384" s="1" t="s">
        <v>347</v>
      </c>
    </row>
    <row r="3385">
      <c r="A3385" s="1">
        <v>608.0</v>
      </c>
      <c r="B3385" s="1">
        <v>1.0320977E7</v>
      </c>
      <c r="C3385" s="1">
        <v>4.3765778E7</v>
      </c>
      <c r="D3385" s="1" t="s">
        <v>4375</v>
      </c>
    </row>
    <row r="3386">
      <c r="A3386" s="1">
        <v>531.0</v>
      </c>
      <c r="B3386" s="1">
        <v>1.0315308E7</v>
      </c>
      <c r="C3386" s="1">
        <v>4.4620417E7</v>
      </c>
      <c r="D3386" s="1" t="s">
        <v>1506</v>
      </c>
    </row>
    <row r="3387">
      <c r="A3387" s="1">
        <v>578.0</v>
      </c>
      <c r="B3387" s="1">
        <v>1.0315142E7</v>
      </c>
      <c r="C3387" s="1">
        <v>4.3757075E7</v>
      </c>
      <c r="D3387" s="1" t="s">
        <v>529</v>
      </c>
    </row>
    <row r="3388">
      <c r="A3388" s="1">
        <v>244.0</v>
      </c>
      <c r="B3388" s="1">
        <v>1.0311042E7</v>
      </c>
      <c r="C3388" s="1">
        <v>4.3773286E7</v>
      </c>
      <c r="D3388" s="1" t="s">
        <v>3088</v>
      </c>
    </row>
    <row r="3389">
      <c r="A3389" s="1">
        <v>716.0</v>
      </c>
      <c r="B3389" s="1">
        <v>1.0297129E7</v>
      </c>
      <c r="C3389" s="1">
        <v>4.3756325E7</v>
      </c>
      <c r="D3389" s="1" t="s">
        <v>2282</v>
      </c>
    </row>
    <row r="3390">
      <c r="A3390" s="1">
        <v>503.0</v>
      </c>
      <c r="B3390" s="1">
        <v>1.0293621E7</v>
      </c>
      <c r="C3390" s="1">
        <v>4.38029E7</v>
      </c>
      <c r="D3390" s="1" t="s">
        <v>4376</v>
      </c>
    </row>
    <row r="3391">
      <c r="A3391" s="1">
        <v>504.0</v>
      </c>
      <c r="B3391" s="1">
        <v>1.0267188E7</v>
      </c>
      <c r="C3391" s="1">
        <v>4.3628807E7</v>
      </c>
      <c r="D3391" s="1" t="s">
        <v>4377</v>
      </c>
    </row>
    <row r="3392">
      <c r="A3392" s="1">
        <v>475.0</v>
      </c>
      <c r="B3392" s="1">
        <v>1.0255032E7</v>
      </c>
      <c r="C3392" s="1">
        <v>4.3527253E7</v>
      </c>
      <c r="D3392" s="1" t="s">
        <v>4378</v>
      </c>
    </row>
    <row r="3393">
      <c r="A3393" s="1">
        <v>321.0</v>
      </c>
      <c r="B3393" s="1">
        <v>1.0226151E7</v>
      </c>
      <c r="C3393" s="1">
        <v>4.3421626E7</v>
      </c>
      <c r="D3393" s="1" t="s">
        <v>1830</v>
      </c>
    </row>
    <row r="3394">
      <c r="A3394" s="1">
        <v>321.0</v>
      </c>
      <c r="B3394" s="1">
        <v>1.0211561E7</v>
      </c>
      <c r="C3394" s="1">
        <v>4.3327356E7</v>
      </c>
      <c r="D3394" s="1" t="s">
        <v>883</v>
      </c>
    </row>
    <row r="3395">
      <c r="A3395" s="1">
        <v>671.0</v>
      </c>
      <c r="B3395" s="1">
        <v>1.0190041E7</v>
      </c>
      <c r="C3395" s="1">
        <v>4.3425368E7</v>
      </c>
      <c r="D3395" s="1" t="s">
        <v>4381</v>
      </c>
    </row>
    <row r="3396">
      <c r="A3396" s="1">
        <v>414.0</v>
      </c>
      <c r="B3396" s="1">
        <v>1.0183883E7</v>
      </c>
      <c r="C3396" s="1">
        <v>4.3202397E7</v>
      </c>
      <c r="D3396" s="1" t="s">
        <v>4383</v>
      </c>
    </row>
    <row r="3397">
      <c r="A3397" s="1">
        <v>601.0</v>
      </c>
      <c r="B3397" s="1">
        <v>1.0177493E7</v>
      </c>
      <c r="C3397" s="1">
        <v>2.26476139E8</v>
      </c>
      <c r="D3397" s="1" t="s">
        <v>4384</v>
      </c>
    </row>
    <row r="3398">
      <c r="A3398" s="1">
        <v>601.0</v>
      </c>
      <c r="B3398" s="1">
        <v>1.0155201E7</v>
      </c>
      <c r="C3398" s="1">
        <v>4.3212909E7</v>
      </c>
      <c r="D3398" s="1" t="s">
        <v>4386</v>
      </c>
    </row>
    <row r="3399">
      <c r="A3399" s="1">
        <v>459.0</v>
      </c>
      <c r="B3399" s="1">
        <v>1.0148629E7</v>
      </c>
      <c r="C3399" s="1">
        <v>4.3108834E7</v>
      </c>
      <c r="D3399" s="1" t="s">
        <v>4388</v>
      </c>
    </row>
    <row r="3400">
      <c r="A3400" s="1">
        <v>228.0</v>
      </c>
      <c r="B3400" s="1">
        <v>1.0148568E7</v>
      </c>
      <c r="C3400" s="1">
        <v>4.3229285E7</v>
      </c>
      <c r="D3400" s="1" t="s">
        <v>3984</v>
      </c>
    </row>
    <row r="3401">
      <c r="A3401" s="1">
        <v>678.0</v>
      </c>
      <c r="B3401" s="1">
        <v>1.0138185E7</v>
      </c>
      <c r="C3401" s="1">
        <v>4.2995033E7</v>
      </c>
      <c r="D3401" s="1" t="s">
        <v>4390</v>
      </c>
    </row>
    <row r="3402">
      <c r="A3402" s="1">
        <v>694.0</v>
      </c>
      <c r="B3402" s="1">
        <v>1.0125333E7</v>
      </c>
      <c r="C3402" s="1">
        <v>5.6691596E7</v>
      </c>
      <c r="D3402" s="1" t="s">
        <v>4391</v>
      </c>
    </row>
    <row r="3403">
      <c r="A3403" s="1">
        <v>353.0</v>
      </c>
      <c r="B3403" s="1">
        <v>1.0124512E7</v>
      </c>
      <c r="C3403" s="1">
        <v>4.3023305E7</v>
      </c>
      <c r="D3403" s="1" t="s">
        <v>2196</v>
      </c>
    </row>
    <row r="3404">
      <c r="A3404" s="1">
        <v>172.0</v>
      </c>
      <c r="B3404" s="1">
        <v>1.0112276E7</v>
      </c>
      <c r="C3404" s="1">
        <v>4.2931119E7</v>
      </c>
      <c r="D3404" s="1" t="s">
        <v>1756</v>
      </c>
    </row>
    <row r="3405">
      <c r="A3405" s="1">
        <v>414.0</v>
      </c>
      <c r="B3405" s="1">
        <v>1.010583E7</v>
      </c>
      <c r="C3405" s="1">
        <v>4.2874774E7</v>
      </c>
      <c r="D3405" s="1" t="s">
        <v>4392</v>
      </c>
    </row>
    <row r="3406">
      <c r="A3406" s="1">
        <v>228.0</v>
      </c>
      <c r="B3406" s="1">
        <v>1.0098435E7</v>
      </c>
      <c r="C3406" s="1">
        <v>4.2907106E7</v>
      </c>
      <c r="D3406" s="1" t="s">
        <v>4393</v>
      </c>
    </row>
    <row r="3407">
      <c r="A3407" s="1">
        <v>403.0</v>
      </c>
      <c r="B3407" s="1">
        <v>1.0097701E7</v>
      </c>
      <c r="C3407" s="1">
        <v>4.2868017E7</v>
      </c>
      <c r="D3407" s="1" t="s">
        <v>4394</v>
      </c>
    </row>
    <row r="3408">
      <c r="A3408" s="1">
        <v>414.0</v>
      </c>
      <c r="B3408" s="1">
        <v>1.0095496E7</v>
      </c>
      <c r="C3408" s="1">
        <v>4.2870628E7</v>
      </c>
      <c r="D3408" s="1" t="s">
        <v>1944</v>
      </c>
    </row>
    <row r="3409">
      <c r="A3409" s="1">
        <v>531.0</v>
      </c>
      <c r="B3409" s="1">
        <v>1.0086424E7</v>
      </c>
      <c r="C3409" s="1">
        <v>4.7191166E7</v>
      </c>
      <c r="D3409" s="1" t="s">
        <v>4341</v>
      </c>
    </row>
    <row r="3410">
      <c r="A3410" s="1">
        <v>609.0</v>
      </c>
      <c r="B3410" s="1">
        <v>1.0079952E7</v>
      </c>
      <c r="C3410" s="1">
        <v>4.2786413E7</v>
      </c>
      <c r="D3410" s="1" t="s">
        <v>1581</v>
      </c>
    </row>
    <row r="3411">
      <c r="A3411" s="1">
        <v>564.0</v>
      </c>
      <c r="B3411" s="1">
        <v>1.0061667E7</v>
      </c>
      <c r="C3411" s="1">
        <v>4.288855E7</v>
      </c>
      <c r="D3411" s="1" t="s">
        <v>925</v>
      </c>
    </row>
    <row r="3412">
      <c r="A3412" s="1">
        <v>578.0</v>
      </c>
      <c r="B3412" s="1">
        <v>1.0048379E7</v>
      </c>
      <c r="C3412" s="1">
        <v>4.2630054E7</v>
      </c>
      <c r="D3412" s="1" t="s">
        <v>1288</v>
      </c>
    </row>
    <row r="3413">
      <c r="A3413" s="1">
        <v>414.0</v>
      </c>
      <c r="B3413" s="1">
        <v>1.0046791E7</v>
      </c>
      <c r="C3413" s="1">
        <v>4.2628506E7</v>
      </c>
      <c r="D3413" s="1" t="s">
        <v>1924</v>
      </c>
    </row>
    <row r="3414">
      <c r="A3414" s="1">
        <v>531.0</v>
      </c>
      <c r="B3414" s="1">
        <v>1.0044252E7</v>
      </c>
      <c r="C3414" s="1">
        <v>4.2748026E7</v>
      </c>
      <c r="D3414" s="1" t="s">
        <v>3016</v>
      </c>
    </row>
    <row r="3415">
      <c r="A3415" s="1">
        <v>504.0</v>
      </c>
      <c r="B3415" s="1">
        <v>1.0016231E7</v>
      </c>
      <c r="C3415" s="1">
        <v>4.2516744E7</v>
      </c>
      <c r="D3415" s="1" t="s">
        <v>1021</v>
      </c>
    </row>
    <row r="3416">
      <c r="A3416" s="1">
        <v>649.0</v>
      </c>
      <c r="B3416" s="1">
        <v>1.0014398E7</v>
      </c>
      <c r="C3416" s="1">
        <v>4.253058E7</v>
      </c>
      <c r="D3416" s="1" t="s">
        <v>4395</v>
      </c>
    </row>
    <row r="3417">
      <c r="A3417" s="1">
        <v>608.0</v>
      </c>
      <c r="B3417" s="1">
        <v>1.0012523E7</v>
      </c>
      <c r="C3417" s="1">
        <v>4.2434156E7</v>
      </c>
      <c r="D3417" s="1" t="s">
        <v>4396</v>
      </c>
    </row>
    <row r="3418">
      <c r="A3418" s="1">
        <v>564.0</v>
      </c>
      <c r="B3418" s="1">
        <v>9972579.0</v>
      </c>
      <c r="C3418" s="1">
        <v>4.2326889E7</v>
      </c>
      <c r="D3418" s="1" t="s">
        <v>4397</v>
      </c>
    </row>
    <row r="3419">
      <c r="A3419" s="1">
        <v>571.0</v>
      </c>
      <c r="B3419" s="1">
        <v>9968281.0</v>
      </c>
      <c r="C3419" s="1">
        <v>4.2529787E7</v>
      </c>
      <c r="D3419" s="1" t="s">
        <v>4398</v>
      </c>
    </row>
    <row r="3420">
      <c r="A3420" s="1">
        <v>321.0</v>
      </c>
      <c r="B3420" s="1">
        <v>9952640.0</v>
      </c>
      <c r="C3420" s="1">
        <v>4.2214272E7</v>
      </c>
      <c r="D3420" s="1" t="s">
        <v>4399</v>
      </c>
    </row>
    <row r="3421">
      <c r="A3421" s="1">
        <v>716.0</v>
      </c>
      <c r="B3421" s="1">
        <v>9948308.0</v>
      </c>
      <c r="C3421" s="1">
        <v>4.2204138E7</v>
      </c>
      <c r="D3421" s="1" t="s">
        <v>4355</v>
      </c>
    </row>
    <row r="3422">
      <c r="A3422" s="1">
        <v>715.0</v>
      </c>
      <c r="B3422" s="1">
        <v>9939566.0</v>
      </c>
      <c r="C3422" s="1">
        <v>4.2195696E7</v>
      </c>
      <c r="D3422" s="1" t="s">
        <v>4401</v>
      </c>
    </row>
    <row r="3423">
      <c r="A3423" s="1">
        <v>601.0</v>
      </c>
      <c r="B3423" s="1">
        <v>9936835.0</v>
      </c>
      <c r="C3423" s="1">
        <v>4.2198244E7</v>
      </c>
      <c r="D3423" s="1" t="s">
        <v>4402</v>
      </c>
    </row>
    <row r="3424">
      <c r="A3424" s="1">
        <v>531.0</v>
      </c>
      <c r="B3424" s="1">
        <v>9931117.0</v>
      </c>
      <c r="C3424" s="1">
        <v>4.2210038E7</v>
      </c>
      <c r="D3424" s="1" t="s">
        <v>4403</v>
      </c>
    </row>
    <row r="3425">
      <c r="A3425" s="1">
        <v>403.0</v>
      </c>
      <c r="B3425" s="1">
        <v>9907722.0</v>
      </c>
      <c r="C3425" s="1">
        <v>4.2088E7</v>
      </c>
      <c r="D3425" s="1" t="s">
        <v>3861</v>
      </c>
    </row>
    <row r="3426">
      <c r="A3426" s="1">
        <v>401.0</v>
      </c>
      <c r="B3426" s="1">
        <v>9898495.0</v>
      </c>
      <c r="C3426" s="1">
        <v>4.2109332E7</v>
      </c>
      <c r="D3426" s="1" t="s">
        <v>4404</v>
      </c>
    </row>
    <row r="3427">
      <c r="A3427" s="1">
        <v>609.0</v>
      </c>
      <c r="B3427" s="1">
        <v>9882669.0</v>
      </c>
      <c r="C3427" s="1">
        <v>4.2005884E7</v>
      </c>
      <c r="D3427" s="1" t="s">
        <v>817</v>
      </c>
    </row>
    <row r="3428">
      <c r="A3428" s="1">
        <v>546.0</v>
      </c>
      <c r="B3428" s="1">
        <v>9866828.0</v>
      </c>
      <c r="C3428" s="1">
        <v>4.1855235E7</v>
      </c>
      <c r="D3428" s="1" t="s">
        <v>4405</v>
      </c>
    </row>
    <row r="3429">
      <c r="A3429" s="1">
        <v>225.0</v>
      </c>
      <c r="B3429" s="1">
        <v>9860005.0</v>
      </c>
      <c r="C3429" s="1">
        <v>4.1860235E7</v>
      </c>
      <c r="D3429" s="1" t="s">
        <v>4407</v>
      </c>
    </row>
    <row r="3430">
      <c r="A3430" s="1">
        <v>503.0</v>
      </c>
      <c r="B3430" s="1">
        <v>9837031.0</v>
      </c>
      <c r="C3430" s="1">
        <v>4.198893E7</v>
      </c>
      <c r="D3430" s="1" t="s">
        <v>1119</v>
      </c>
    </row>
    <row r="3431">
      <c r="A3431" s="1">
        <v>504.0</v>
      </c>
      <c r="B3431" s="1">
        <v>9835889.0</v>
      </c>
      <c r="C3431" s="1">
        <v>4.1734266E7</v>
      </c>
      <c r="D3431" s="1" t="s">
        <v>2719</v>
      </c>
    </row>
    <row r="3432">
      <c r="A3432" s="1">
        <v>337.0</v>
      </c>
      <c r="B3432" s="1">
        <v>9818917.0</v>
      </c>
      <c r="C3432" s="1">
        <v>4.1640325E7</v>
      </c>
      <c r="D3432" s="1" t="s">
        <v>4411</v>
      </c>
    </row>
    <row r="3433">
      <c r="A3433" s="1">
        <v>403.0</v>
      </c>
      <c r="B3433" s="1">
        <v>9814229.0</v>
      </c>
      <c r="C3433" s="1">
        <v>4.1642509E7</v>
      </c>
      <c r="D3433" s="1" t="s">
        <v>241</v>
      </c>
    </row>
    <row r="3434">
      <c r="A3434" s="1">
        <v>394.0</v>
      </c>
      <c r="B3434" s="1">
        <v>9800256.0</v>
      </c>
      <c r="C3434" s="1">
        <v>1.82859721E8</v>
      </c>
      <c r="D3434" s="1" t="s">
        <v>2357</v>
      </c>
    </row>
    <row r="3435">
      <c r="A3435" s="1">
        <v>610.0</v>
      </c>
      <c r="B3435" s="1">
        <v>9792598.0</v>
      </c>
      <c r="C3435" s="1">
        <v>4.1748254E7</v>
      </c>
      <c r="D3435" s="1" t="s">
        <v>957</v>
      </c>
    </row>
    <row r="3436">
      <c r="A3436" s="1">
        <v>676.0</v>
      </c>
      <c r="B3436" s="1">
        <v>9739843.0</v>
      </c>
      <c r="C3436" s="1">
        <v>4.1336697E7</v>
      </c>
      <c r="D3436" s="1" t="s">
        <v>2747</v>
      </c>
    </row>
    <row r="3437">
      <c r="A3437" s="1">
        <v>609.0</v>
      </c>
      <c r="B3437" s="1">
        <v>9727781.0</v>
      </c>
      <c r="C3437" s="1">
        <v>4.1354861E7</v>
      </c>
      <c r="D3437" s="1" t="s">
        <v>220</v>
      </c>
    </row>
    <row r="3438">
      <c r="A3438" s="1">
        <v>414.0</v>
      </c>
      <c r="B3438" s="1">
        <v>9723804.0</v>
      </c>
      <c r="C3438" s="1">
        <v>4.1435856E7</v>
      </c>
      <c r="D3438" s="1" t="s">
        <v>3086</v>
      </c>
    </row>
    <row r="3439">
      <c r="A3439" s="1">
        <v>172.0</v>
      </c>
      <c r="B3439" s="1">
        <v>9722324.0</v>
      </c>
      <c r="C3439" s="1">
        <v>4.1229918E7</v>
      </c>
      <c r="D3439" s="1" t="s">
        <v>2117</v>
      </c>
    </row>
    <row r="3440">
      <c r="A3440" s="1">
        <v>715.0</v>
      </c>
      <c r="B3440" s="1">
        <v>9718481.0</v>
      </c>
      <c r="C3440" s="1">
        <v>4.1190508E7</v>
      </c>
      <c r="D3440" s="1" t="s">
        <v>328</v>
      </c>
    </row>
    <row r="3441">
      <c r="A3441" s="1">
        <v>676.0</v>
      </c>
      <c r="B3441" s="1">
        <v>9711745.0</v>
      </c>
      <c r="C3441" s="1">
        <v>4.1218063E7</v>
      </c>
      <c r="D3441" s="1" t="s">
        <v>4353</v>
      </c>
    </row>
    <row r="3442">
      <c r="A3442" s="1">
        <v>504.0</v>
      </c>
      <c r="B3442" s="1">
        <v>9709132.0</v>
      </c>
      <c r="C3442" s="1">
        <v>4.1194648E7</v>
      </c>
      <c r="D3442" s="1" t="s">
        <v>3590</v>
      </c>
    </row>
    <row r="3443">
      <c r="A3443" s="1">
        <v>671.0</v>
      </c>
      <c r="B3443" s="1">
        <v>9685511.0</v>
      </c>
      <c r="C3443" s="1">
        <v>4.1115406E7</v>
      </c>
      <c r="D3443" s="1" t="s">
        <v>1639</v>
      </c>
    </row>
    <row r="3444">
      <c r="A3444" s="1">
        <v>173.0</v>
      </c>
      <c r="B3444" s="1">
        <v>9679822.0</v>
      </c>
      <c r="C3444" s="1">
        <v>4.1123086E7</v>
      </c>
      <c r="D3444" s="1" t="s">
        <v>4414</v>
      </c>
    </row>
    <row r="3445">
      <c r="A3445" s="1">
        <v>353.0</v>
      </c>
      <c r="B3445" s="1">
        <v>9669663.0</v>
      </c>
      <c r="C3445" s="1">
        <v>4.1001428E7</v>
      </c>
      <c r="D3445" s="1" t="s">
        <v>4415</v>
      </c>
    </row>
    <row r="3446">
      <c r="A3446" s="1">
        <v>673.0</v>
      </c>
      <c r="B3446" s="1">
        <v>9662853.0</v>
      </c>
      <c r="C3446" s="1">
        <v>4.1212314E7</v>
      </c>
      <c r="D3446" s="1" t="s">
        <v>340</v>
      </c>
    </row>
    <row r="3447">
      <c r="A3447" s="1">
        <v>673.0</v>
      </c>
      <c r="B3447" s="1">
        <v>9651324.0</v>
      </c>
      <c r="C3447" s="1">
        <v>4.0894938E7</v>
      </c>
      <c r="D3447" s="1" t="s">
        <v>4418</v>
      </c>
    </row>
    <row r="3448">
      <c r="A3448" s="1">
        <v>569.0</v>
      </c>
      <c r="B3448" s="1">
        <v>9647669.0</v>
      </c>
      <c r="C3448" s="1">
        <v>4.0893894E7</v>
      </c>
      <c r="D3448" s="1" t="s">
        <v>734</v>
      </c>
    </row>
    <row r="3449">
      <c r="A3449" s="1">
        <v>672.0</v>
      </c>
      <c r="B3449" s="1">
        <v>9647429.0</v>
      </c>
      <c r="C3449" s="1">
        <v>4.1099566E7</v>
      </c>
      <c r="D3449" s="1" t="s">
        <v>4419</v>
      </c>
    </row>
    <row r="3450">
      <c r="A3450" s="1">
        <v>609.0</v>
      </c>
      <c r="B3450" s="1">
        <v>9644185.0</v>
      </c>
      <c r="C3450" s="1">
        <v>4.0924981E7</v>
      </c>
      <c r="D3450" s="1" t="s">
        <v>1760</v>
      </c>
    </row>
    <row r="3451">
      <c r="A3451" s="1">
        <v>488.0</v>
      </c>
      <c r="B3451" s="1">
        <v>9644115.0</v>
      </c>
      <c r="C3451" s="1">
        <v>4.091339E7</v>
      </c>
      <c r="D3451" s="1" t="s">
        <v>4420</v>
      </c>
    </row>
    <row r="3452">
      <c r="A3452" s="1">
        <v>571.0</v>
      </c>
      <c r="B3452" s="1">
        <v>9640846.0</v>
      </c>
      <c r="C3452" s="1">
        <v>4.0976319E7</v>
      </c>
      <c r="D3452" s="1" t="s">
        <v>4421</v>
      </c>
    </row>
    <row r="3453">
      <c r="A3453" s="1">
        <v>578.0</v>
      </c>
      <c r="B3453" s="1">
        <v>9636875.0</v>
      </c>
      <c r="C3453" s="1">
        <v>4.0881458E7</v>
      </c>
      <c r="D3453" s="1" t="s">
        <v>4244</v>
      </c>
    </row>
    <row r="3454">
      <c r="A3454" s="1">
        <v>396.0</v>
      </c>
      <c r="B3454" s="1">
        <v>9621826.0</v>
      </c>
      <c r="C3454" s="1">
        <v>4.0787541E7</v>
      </c>
      <c r="D3454" s="1" t="s">
        <v>4422</v>
      </c>
    </row>
    <row r="3455">
      <c r="A3455" s="1">
        <v>671.0</v>
      </c>
      <c r="B3455" s="1">
        <v>9617862.0</v>
      </c>
      <c r="C3455" s="1">
        <v>4.0792995E7</v>
      </c>
      <c r="D3455" s="1" t="s">
        <v>4093</v>
      </c>
    </row>
    <row r="3456">
      <c r="A3456" s="1">
        <v>715.0</v>
      </c>
      <c r="B3456" s="1">
        <v>9617748.0</v>
      </c>
      <c r="C3456" s="1">
        <v>4.0759714E7</v>
      </c>
      <c r="D3456" s="1" t="s">
        <v>4424</v>
      </c>
    </row>
    <row r="3457">
      <c r="A3457" s="1">
        <v>410.0</v>
      </c>
      <c r="B3457" s="1">
        <v>9615289.0</v>
      </c>
      <c r="C3457" s="1">
        <v>4.0790608E7</v>
      </c>
      <c r="D3457" s="1" t="s">
        <v>4425</v>
      </c>
    </row>
    <row r="3458">
      <c r="A3458" s="1">
        <v>285.0</v>
      </c>
      <c r="B3458" s="1">
        <v>9596125.0</v>
      </c>
      <c r="C3458" s="1">
        <v>4.0670454E7</v>
      </c>
      <c r="D3458" s="1" t="s">
        <v>4426</v>
      </c>
    </row>
    <row r="3459">
      <c r="A3459" s="1">
        <v>172.0</v>
      </c>
      <c r="B3459" s="1">
        <v>9593672.0</v>
      </c>
      <c r="C3459" s="1">
        <v>4.068479E7</v>
      </c>
      <c r="D3459" s="1" t="s">
        <v>1977</v>
      </c>
    </row>
    <row r="3460">
      <c r="A3460" s="1">
        <v>671.0</v>
      </c>
      <c r="B3460" s="1">
        <v>9589188.0</v>
      </c>
      <c r="C3460" s="1">
        <v>4.0893163E7</v>
      </c>
      <c r="D3460" s="1" t="s">
        <v>1975</v>
      </c>
    </row>
    <row r="3461">
      <c r="A3461" s="1">
        <v>680.0</v>
      </c>
      <c r="B3461" s="1">
        <v>9567124.0</v>
      </c>
      <c r="C3461" s="1">
        <v>4.0538565E7</v>
      </c>
      <c r="D3461" s="1" t="s">
        <v>4428</v>
      </c>
    </row>
    <row r="3462">
      <c r="A3462" s="1">
        <v>244.0</v>
      </c>
      <c r="B3462" s="1">
        <v>9545533.0</v>
      </c>
      <c r="C3462" s="1">
        <v>4.0541819E7</v>
      </c>
      <c r="D3462" s="1" t="s">
        <v>4429</v>
      </c>
    </row>
    <row r="3463">
      <c r="A3463" s="1">
        <v>576.0</v>
      </c>
      <c r="B3463" s="1">
        <v>9537229.0</v>
      </c>
      <c r="C3463" s="1">
        <v>4.0426622E7</v>
      </c>
      <c r="D3463" s="1" t="s">
        <v>736</v>
      </c>
    </row>
    <row r="3464">
      <c r="A3464" s="1">
        <v>414.0</v>
      </c>
      <c r="B3464" s="1">
        <v>9532305.0</v>
      </c>
      <c r="C3464" s="1">
        <v>4.0419163E7</v>
      </c>
      <c r="D3464" s="1" t="s">
        <v>1790</v>
      </c>
    </row>
    <row r="3465">
      <c r="A3465" s="1">
        <v>601.0</v>
      </c>
      <c r="B3465" s="1">
        <v>9524883.0</v>
      </c>
      <c r="C3465" s="1">
        <v>4.0449279E7</v>
      </c>
      <c r="D3465" s="1" t="s">
        <v>4430</v>
      </c>
    </row>
    <row r="3466">
      <c r="A3466" s="1">
        <v>120.0</v>
      </c>
      <c r="B3466" s="1">
        <v>9504675.0</v>
      </c>
      <c r="C3466" s="1">
        <v>4.0320226E7</v>
      </c>
      <c r="D3466" s="1" t="s">
        <v>4431</v>
      </c>
    </row>
    <row r="3467">
      <c r="A3467" s="1">
        <v>609.0</v>
      </c>
      <c r="B3467" s="1">
        <v>9488164.0</v>
      </c>
      <c r="C3467" s="1">
        <v>4.0258272E7</v>
      </c>
      <c r="D3467" s="1" t="s">
        <v>1871</v>
      </c>
    </row>
    <row r="3468">
      <c r="A3468" s="1">
        <v>671.0</v>
      </c>
      <c r="B3468" s="1">
        <v>9480218.0</v>
      </c>
      <c r="C3468" s="1">
        <v>4.0229174E7</v>
      </c>
      <c r="D3468" s="1" t="s">
        <v>4432</v>
      </c>
    </row>
    <row r="3469">
      <c r="A3469" s="1">
        <v>602.0</v>
      </c>
      <c r="B3469" s="1">
        <v>9462920.0</v>
      </c>
      <c r="C3469" s="1">
        <v>4.0196797E7</v>
      </c>
      <c r="D3469" s="1" t="s">
        <v>4433</v>
      </c>
    </row>
    <row r="3470">
      <c r="A3470" s="1">
        <v>557.0</v>
      </c>
      <c r="B3470" s="1">
        <v>9453818.0</v>
      </c>
      <c r="C3470" s="1">
        <v>4.0111955E7</v>
      </c>
      <c r="D3470" s="1" t="s">
        <v>4434</v>
      </c>
    </row>
    <row r="3471">
      <c r="A3471" s="1">
        <v>602.0</v>
      </c>
      <c r="B3471" s="1">
        <v>9452717.0</v>
      </c>
      <c r="C3471" s="1">
        <v>2.4265878E8</v>
      </c>
      <c r="D3471" s="1" t="s">
        <v>4435</v>
      </c>
    </row>
    <row r="3472">
      <c r="A3472" s="1">
        <v>673.0</v>
      </c>
      <c r="B3472" s="1">
        <v>9429987.0</v>
      </c>
      <c r="C3472" s="1">
        <v>4.0014316E7</v>
      </c>
      <c r="D3472" s="1" t="s">
        <v>4436</v>
      </c>
    </row>
    <row r="3473">
      <c r="A3473" s="1">
        <v>395.0</v>
      </c>
      <c r="B3473" s="1">
        <v>9418020.0</v>
      </c>
      <c r="C3473" s="1">
        <v>3.9999819E7</v>
      </c>
      <c r="D3473" s="1" t="s">
        <v>1244</v>
      </c>
    </row>
    <row r="3474">
      <c r="A3474" s="1">
        <v>504.0</v>
      </c>
      <c r="B3474" s="1">
        <v>9417864.0</v>
      </c>
      <c r="C3474" s="1">
        <v>3.9987464E7</v>
      </c>
      <c r="D3474" s="1" t="s">
        <v>4437</v>
      </c>
    </row>
    <row r="3475">
      <c r="A3475" s="1">
        <v>394.0</v>
      </c>
      <c r="B3475" s="1">
        <v>9385167.0</v>
      </c>
      <c r="C3475" s="1">
        <v>3.9780584E7</v>
      </c>
      <c r="D3475" s="1" t="s">
        <v>632</v>
      </c>
    </row>
    <row r="3476">
      <c r="A3476" s="1">
        <v>458.0</v>
      </c>
      <c r="B3476" s="1">
        <v>9383221.0</v>
      </c>
      <c r="C3476" s="1">
        <v>3.9786241E7</v>
      </c>
      <c r="D3476" s="1" t="s">
        <v>1234</v>
      </c>
    </row>
    <row r="3477">
      <c r="A3477" s="1">
        <v>504.0</v>
      </c>
      <c r="B3477" s="1">
        <v>9383077.0</v>
      </c>
      <c r="C3477" s="1">
        <v>3.9760062E7</v>
      </c>
      <c r="D3477" s="1" t="s">
        <v>4438</v>
      </c>
    </row>
    <row r="3478">
      <c r="A3478" s="1">
        <v>546.0</v>
      </c>
      <c r="B3478" s="1">
        <v>9357469.0</v>
      </c>
      <c r="C3478" s="1">
        <v>3.9646182E7</v>
      </c>
      <c r="D3478" s="1" t="s">
        <v>4440</v>
      </c>
    </row>
    <row r="3479">
      <c r="A3479" s="1">
        <v>531.0</v>
      </c>
      <c r="B3479" s="1">
        <v>9352022.0</v>
      </c>
      <c r="C3479" s="1">
        <v>3.9654302E7</v>
      </c>
      <c r="D3479" s="1" t="s">
        <v>3363</v>
      </c>
    </row>
    <row r="3480">
      <c r="A3480" s="1">
        <v>597.0</v>
      </c>
      <c r="B3480" s="1">
        <v>9331041.0</v>
      </c>
      <c r="C3480" s="1">
        <v>3.954803E7</v>
      </c>
      <c r="D3480" s="1" t="s">
        <v>671</v>
      </c>
    </row>
    <row r="3481">
      <c r="A3481" s="1">
        <v>609.0</v>
      </c>
      <c r="B3481" s="1">
        <v>9328046.0</v>
      </c>
      <c r="C3481" s="1">
        <v>3.9563562E7</v>
      </c>
      <c r="D3481" s="1" t="s">
        <v>4442</v>
      </c>
    </row>
    <row r="3482">
      <c r="A3482" s="1">
        <v>713.0</v>
      </c>
      <c r="B3482" s="1">
        <v>9319692.0</v>
      </c>
      <c r="C3482" s="1">
        <v>3.9538212E7</v>
      </c>
      <c r="D3482" s="1" t="s">
        <v>4443</v>
      </c>
    </row>
    <row r="3483">
      <c r="A3483" s="1">
        <v>488.0</v>
      </c>
      <c r="B3483" s="1">
        <v>9316287.0</v>
      </c>
      <c r="C3483" s="1">
        <v>3.9546769E7</v>
      </c>
      <c r="D3483" s="1" t="s">
        <v>1868</v>
      </c>
    </row>
    <row r="3484">
      <c r="A3484" s="1">
        <v>571.0</v>
      </c>
      <c r="B3484" s="1">
        <v>9314361.0</v>
      </c>
      <c r="C3484" s="1">
        <v>8.8189829E7</v>
      </c>
      <c r="D3484" s="1" t="s">
        <v>4444</v>
      </c>
    </row>
    <row r="3485">
      <c r="A3485" s="1">
        <v>213.0</v>
      </c>
      <c r="B3485" s="1">
        <v>9311851.0</v>
      </c>
      <c r="C3485" s="1">
        <v>3.9522134E7</v>
      </c>
      <c r="D3485" s="1" t="s">
        <v>3722</v>
      </c>
    </row>
    <row r="3486">
      <c r="A3486" s="1">
        <v>407.0</v>
      </c>
      <c r="B3486" s="1">
        <v>9310271.0</v>
      </c>
      <c r="C3486" s="1">
        <v>3.9483128E7</v>
      </c>
      <c r="D3486" s="1" t="s">
        <v>4445</v>
      </c>
    </row>
    <row r="3487">
      <c r="A3487" s="1">
        <v>630.0</v>
      </c>
      <c r="B3487" s="1">
        <v>9300885.0</v>
      </c>
      <c r="C3487" s="1">
        <v>4.3809088E7</v>
      </c>
      <c r="D3487" s="1" t="s">
        <v>4446</v>
      </c>
    </row>
    <row r="3488">
      <c r="A3488" s="1">
        <v>353.0</v>
      </c>
      <c r="B3488" s="1">
        <v>9298605.0</v>
      </c>
      <c r="C3488" s="1">
        <v>3.9464144E7</v>
      </c>
      <c r="D3488" s="1" t="s">
        <v>4447</v>
      </c>
    </row>
    <row r="3489">
      <c r="A3489" s="1">
        <v>488.0</v>
      </c>
      <c r="B3489" s="1">
        <v>9258636.0</v>
      </c>
      <c r="C3489" s="1">
        <v>3.9344351E7</v>
      </c>
      <c r="D3489" s="1" t="s">
        <v>4448</v>
      </c>
    </row>
    <row r="3490">
      <c r="A3490" s="1">
        <v>215.0</v>
      </c>
      <c r="B3490" s="1">
        <v>9257378.0</v>
      </c>
      <c r="C3490" s="1">
        <v>1.34320826E8</v>
      </c>
      <c r="D3490" s="1" t="s">
        <v>4450</v>
      </c>
    </row>
    <row r="3491">
      <c r="A3491" s="1">
        <v>609.0</v>
      </c>
      <c r="B3491" s="1">
        <v>9240787.0</v>
      </c>
      <c r="C3491" s="1">
        <v>3.9250269E7</v>
      </c>
      <c r="D3491" s="1" t="s">
        <v>4452</v>
      </c>
    </row>
    <row r="3492">
      <c r="A3492" s="1">
        <v>573.0</v>
      </c>
      <c r="B3492" s="1">
        <v>9222480.0</v>
      </c>
      <c r="C3492" s="1">
        <v>3.9115744E7</v>
      </c>
      <c r="D3492" s="1" t="s">
        <v>4453</v>
      </c>
    </row>
    <row r="3493">
      <c r="A3493" s="1">
        <v>378.0</v>
      </c>
      <c r="B3493" s="1">
        <v>9216448.0</v>
      </c>
      <c r="C3493" s="1">
        <v>3.9125103E7</v>
      </c>
      <c r="D3493" s="1" t="s">
        <v>758</v>
      </c>
    </row>
    <row r="3494">
      <c r="A3494" s="1">
        <v>634.0</v>
      </c>
      <c r="B3494" s="1">
        <v>9203466.0</v>
      </c>
      <c r="C3494" s="1">
        <v>3.9012142E7</v>
      </c>
      <c r="D3494" s="1" t="s">
        <v>4454</v>
      </c>
    </row>
    <row r="3495">
      <c r="A3495" s="1">
        <v>564.0</v>
      </c>
      <c r="B3495" s="1">
        <v>9196523.0</v>
      </c>
      <c r="C3495" s="1">
        <v>3.9007265E7</v>
      </c>
      <c r="D3495" s="1" t="s">
        <v>4406</v>
      </c>
    </row>
    <row r="3496">
      <c r="A3496" s="1">
        <v>715.0</v>
      </c>
      <c r="B3496" s="1">
        <v>9186059.0</v>
      </c>
      <c r="C3496" s="1">
        <v>3.8996636E7</v>
      </c>
      <c r="D3496" s="1" t="s">
        <v>4455</v>
      </c>
    </row>
    <row r="3497">
      <c r="A3497" s="1">
        <v>215.0</v>
      </c>
      <c r="B3497" s="1">
        <v>9180969.0</v>
      </c>
      <c r="C3497" s="1">
        <v>3.8966577E7</v>
      </c>
      <c r="D3497" s="1" t="s">
        <v>2455</v>
      </c>
    </row>
    <row r="3498">
      <c r="A3498" s="1">
        <v>407.0</v>
      </c>
      <c r="B3498" s="1">
        <v>9179885.0</v>
      </c>
      <c r="C3498" s="1">
        <v>3.8925031E7</v>
      </c>
      <c r="D3498" s="1" t="s">
        <v>4456</v>
      </c>
    </row>
    <row r="3499">
      <c r="A3499" s="1">
        <v>716.0</v>
      </c>
      <c r="B3499" s="1">
        <v>9172976.0</v>
      </c>
      <c r="C3499" s="1">
        <v>3.8901797E7</v>
      </c>
      <c r="D3499" s="1" t="s">
        <v>4457</v>
      </c>
    </row>
    <row r="3500">
      <c r="A3500" s="1">
        <v>663.0</v>
      </c>
      <c r="B3500" s="1">
        <v>9162610.0</v>
      </c>
      <c r="C3500" s="1">
        <v>3.8896472E7</v>
      </c>
      <c r="D3500" s="1" t="s">
        <v>4458</v>
      </c>
    </row>
    <row r="3501">
      <c r="A3501" s="1">
        <v>395.0</v>
      </c>
      <c r="B3501" s="1">
        <v>9161053.0</v>
      </c>
      <c r="C3501" s="1">
        <v>3.8888788E7</v>
      </c>
      <c r="D3501" s="1" t="s">
        <v>4459</v>
      </c>
    </row>
    <row r="3502">
      <c r="A3502" s="1">
        <v>665.0</v>
      </c>
      <c r="B3502" s="1">
        <v>9154464.0</v>
      </c>
      <c r="C3502" s="1">
        <v>3.880836E7</v>
      </c>
      <c r="D3502" s="1" t="s">
        <v>3208</v>
      </c>
    </row>
    <row r="3503">
      <c r="A3503" s="1">
        <v>194.0</v>
      </c>
      <c r="B3503" s="1">
        <v>9150571.0</v>
      </c>
      <c r="C3503" s="1">
        <v>3.8806552E7</v>
      </c>
      <c r="D3503" s="1" t="s">
        <v>4461</v>
      </c>
    </row>
    <row r="3504">
      <c r="A3504" s="1">
        <v>410.0</v>
      </c>
      <c r="B3504" s="1">
        <v>9144529.0</v>
      </c>
      <c r="C3504" s="1">
        <v>1.5908204E8</v>
      </c>
      <c r="D3504" s="1" t="s">
        <v>4462</v>
      </c>
    </row>
    <row r="3505">
      <c r="A3505" s="1">
        <v>696.0</v>
      </c>
      <c r="B3505" s="1">
        <v>9130128.0</v>
      </c>
      <c r="C3505" s="1">
        <v>3.8797199E7</v>
      </c>
      <c r="D3505" s="1" t="s">
        <v>4463</v>
      </c>
    </row>
    <row r="3506">
      <c r="A3506" s="1">
        <v>484.0</v>
      </c>
      <c r="B3506" s="1">
        <v>9129769.0</v>
      </c>
      <c r="C3506" s="1">
        <v>3.8681295E7</v>
      </c>
      <c r="D3506" s="1" t="s">
        <v>4088</v>
      </c>
    </row>
    <row r="3507">
      <c r="A3507" s="1">
        <v>713.0</v>
      </c>
      <c r="B3507" s="1">
        <v>9121516.0</v>
      </c>
      <c r="C3507" s="1">
        <v>3.8689299E7</v>
      </c>
      <c r="D3507" s="1" t="s">
        <v>4464</v>
      </c>
    </row>
    <row r="3508">
      <c r="A3508" s="1">
        <v>380.0</v>
      </c>
      <c r="B3508" s="1">
        <v>9119601.0</v>
      </c>
      <c r="C3508" s="1">
        <v>3.8607576E7</v>
      </c>
      <c r="D3508" s="1" t="s">
        <v>4465</v>
      </c>
    </row>
    <row r="3509">
      <c r="A3509" s="1">
        <v>671.0</v>
      </c>
      <c r="B3509" s="1">
        <v>9116354.0</v>
      </c>
      <c r="C3509" s="1">
        <v>3.863121E7</v>
      </c>
      <c r="D3509" s="1" t="s">
        <v>4417</v>
      </c>
    </row>
    <row r="3510">
      <c r="A3510" s="1">
        <v>578.0</v>
      </c>
      <c r="B3510" s="1">
        <v>9108588.0</v>
      </c>
      <c r="C3510" s="1">
        <v>3.8605175E7</v>
      </c>
      <c r="D3510" s="1" t="s">
        <v>2089</v>
      </c>
    </row>
    <row r="3511">
      <c r="A3511" s="1">
        <v>671.0</v>
      </c>
      <c r="B3511" s="1">
        <v>9108339.0</v>
      </c>
      <c r="C3511" s="1">
        <v>3.8621904E7</v>
      </c>
      <c r="D3511" s="1" t="s">
        <v>4466</v>
      </c>
    </row>
    <row r="3512">
      <c r="A3512" s="1">
        <v>488.0</v>
      </c>
      <c r="B3512" s="1">
        <v>9097554.0</v>
      </c>
      <c r="C3512" s="1">
        <v>3.8516486E7</v>
      </c>
      <c r="D3512" s="1" t="s">
        <v>4467</v>
      </c>
    </row>
    <row r="3513">
      <c r="A3513" s="1">
        <v>672.0</v>
      </c>
      <c r="B3513" s="1">
        <v>9092862.0</v>
      </c>
      <c r="C3513" s="1">
        <v>3.860793E7</v>
      </c>
      <c r="D3513" s="1" t="s">
        <v>2925</v>
      </c>
    </row>
    <row r="3514">
      <c r="A3514" s="1">
        <v>654.0</v>
      </c>
      <c r="B3514" s="1">
        <v>9077665.0</v>
      </c>
      <c r="C3514" s="1">
        <v>3.8517538E7</v>
      </c>
      <c r="D3514" s="1" t="s">
        <v>4468</v>
      </c>
    </row>
    <row r="3515">
      <c r="A3515" s="1">
        <v>672.0</v>
      </c>
      <c r="B3515" s="1">
        <v>9075344.0</v>
      </c>
      <c r="C3515" s="1">
        <v>3.8600486E7</v>
      </c>
      <c r="D3515" s="1" t="s">
        <v>559</v>
      </c>
    </row>
    <row r="3516">
      <c r="A3516" s="1">
        <v>120.0</v>
      </c>
      <c r="B3516" s="1">
        <v>9053097.0</v>
      </c>
      <c r="C3516" s="1">
        <v>3.8393307E7</v>
      </c>
      <c r="D3516" s="1" t="s">
        <v>4469</v>
      </c>
    </row>
    <row r="3517">
      <c r="A3517" s="1">
        <v>407.0</v>
      </c>
      <c r="B3517" s="1">
        <v>9052480.0</v>
      </c>
      <c r="C3517" s="1">
        <v>3.8430525E7</v>
      </c>
      <c r="D3517" s="1" t="s">
        <v>4470</v>
      </c>
    </row>
    <row r="3518">
      <c r="A3518" s="1">
        <v>194.0</v>
      </c>
      <c r="B3518" s="1">
        <v>9032451.0</v>
      </c>
      <c r="C3518" s="1">
        <v>3.8290058E7</v>
      </c>
      <c r="D3518" s="1" t="s">
        <v>1314</v>
      </c>
    </row>
    <row r="3519">
      <c r="A3519" s="1">
        <v>120.0</v>
      </c>
      <c r="B3519" s="1">
        <v>9027660.0</v>
      </c>
      <c r="C3519" s="1">
        <v>3.8284678E7</v>
      </c>
      <c r="D3519" s="1" t="s">
        <v>4471</v>
      </c>
    </row>
    <row r="3520">
      <c r="A3520" s="1">
        <v>671.0</v>
      </c>
      <c r="B3520" s="1">
        <v>9020587.0</v>
      </c>
      <c r="C3520" s="1">
        <v>3.8294572E7</v>
      </c>
      <c r="D3520" s="1" t="s">
        <v>805</v>
      </c>
    </row>
    <row r="3521">
      <c r="A3521" s="1">
        <v>715.0</v>
      </c>
      <c r="B3521" s="1">
        <v>9019320.0</v>
      </c>
      <c r="C3521" s="1">
        <v>3.8268203E7</v>
      </c>
      <c r="D3521" s="1" t="s">
        <v>172</v>
      </c>
    </row>
    <row r="3522">
      <c r="A3522" s="1">
        <v>531.0</v>
      </c>
      <c r="B3522" s="1">
        <v>9010776.0</v>
      </c>
      <c r="C3522" s="1">
        <v>3.8170189E7</v>
      </c>
      <c r="D3522" s="1" t="s">
        <v>3944</v>
      </c>
    </row>
    <row r="3523">
      <c r="A3523" s="1">
        <v>671.0</v>
      </c>
      <c r="B3523" s="1">
        <v>8994627.0</v>
      </c>
      <c r="C3523" s="1">
        <v>3.8526943E7</v>
      </c>
      <c r="D3523" s="1" t="s">
        <v>4472</v>
      </c>
    </row>
    <row r="3524">
      <c r="A3524" s="1">
        <v>601.0</v>
      </c>
      <c r="B3524" s="1">
        <v>8993394.0</v>
      </c>
      <c r="C3524" s="1">
        <v>3.8150275E7</v>
      </c>
      <c r="D3524" s="1" t="s">
        <v>3497</v>
      </c>
    </row>
    <row r="3525">
      <c r="A3525" s="1">
        <v>492.0</v>
      </c>
      <c r="B3525" s="1">
        <v>8989270.0</v>
      </c>
      <c r="C3525" s="1">
        <v>9.4078517E7</v>
      </c>
      <c r="D3525" s="1" t="s">
        <v>4473</v>
      </c>
    </row>
    <row r="3526">
      <c r="A3526" s="1">
        <v>395.0</v>
      </c>
      <c r="B3526" s="1">
        <v>8973590.0</v>
      </c>
      <c r="C3526" s="1">
        <v>3.8088949E7</v>
      </c>
      <c r="D3526" s="1" t="s">
        <v>2855</v>
      </c>
    </row>
    <row r="3527">
      <c r="A3527" s="1">
        <v>484.0</v>
      </c>
      <c r="B3527" s="1">
        <v>8964082.0</v>
      </c>
      <c r="C3527" s="1">
        <v>3.8054661E7</v>
      </c>
      <c r="D3527" s="1" t="s">
        <v>4474</v>
      </c>
    </row>
    <row r="3528">
      <c r="A3528" s="1">
        <v>414.0</v>
      </c>
      <c r="B3528" s="1">
        <v>8943044.0</v>
      </c>
      <c r="C3528" s="1">
        <v>3.7847391E7</v>
      </c>
      <c r="D3528" s="1" t="s">
        <v>4475</v>
      </c>
    </row>
    <row r="3529">
      <c r="A3529" s="1">
        <v>601.0</v>
      </c>
      <c r="B3529" s="1">
        <v>8940065.0</v>
      </c>
      <c r="C3529" s="1">
        <v>3.7851216E7</v>
      </c>
      <c r="D3529" s="1" t="s">
        <v>4476</v>
      </c>
    </row>
    <row r="3530">
      <c r="A3530" s="1">
        <v>676.0</v>
      </c>
      <c r="B3530" s="1">
        <v>8937595.0</v>
      </c>
      <c r="C3530" s="1">
        <v>3.7878492E7</v>
      </c>
      <c r="D3530" s="1" t="s">
        <v>3633</v>
      </c>
    </row>
    <row r="3531">
      <c r="A3531" s="1">
        <v>414.0</v>
      </c>
      <c r="B3531" s="1">
        <v>8936207.0</v>
      </c>
      <c r="C3531" s="1">
        <v>3.7848706E7</v>
      </c>
      <c r="D3531" s="1" t="s">
        <v>2384</v>
      </c>
    </row>
    <row r="3532">
      <c r="A3532" s="1">
        <v>715.0</v>
      </c>
      <c r="B3532" s="1">
        <v>8915143.0</v>
      </c>
      <c r="C3532" s="1">
        <v>3.7730059E7</v>
      </c>
      <c r="D3532" s="1" t="s">
        <v>333</v>
      </c>
    </row>
    <row r="3533">
      <c r="A3533" s="1">
        <v>630.0</v>
      </c>
      <c r="B3533" s="1">
        <v>8909284.0</v>
      </c>
      <c r="C3533" s="1">
        <v>1.58108723E8</v>
      </c>
      <c r="D3533" s="1" t="s">
        <v>674</v>
      </c>
    </row>
    <row r="3534">
      <c r="A3534" s="1">
        <v>602.0</v>
      </c>
      <c r="B3534" s="1">
        <v>8908460.0</v>
      </c>
      <c r="C3534" s="1">
        <v>3.7725384E7</v>
      </c>
      <c r="D3534" s="1" t="s">
        <v>4478</v>
      </c>
    </row>
    <row r="3535">
      <c r="A3535" s="1">
        <v>671.0</v>
      </c>
      <c r="B3535" s="1">
        <v>8901067.0</v>
      </c>
      <c r="C3535" s="1">
        <v>3.7760869E7</v>
      </c>
      <c r="D3535" s="1" t="s">
        <v>4479</v>
      </c>
    </row>
    <row r="3536">
      <c r="A3536" s="1">
        <v>470.0</v>
      </c>
      <c r="B3536" s="1">
        <v>8896691.0</v>
      </c>
      <c r="C3536" s="1">
        <v>3.7748402E7</v>
      </c>
      <c r="D3536" s="1" t="s">
        <v>3421</v>
      </c>
    </row>
    <row r="3537">
      <c r="A3537" s="1">
        <v>587.0</v>
      </c>
      <c r="B3537" s="1">
        <v>8891310.0</v>
      </c>
      <c r="C3537" s="1">
        <v>3.7640443E7</v>
      </c>
      <c r="D3537" s="1" t="s">
        <v>1458</v>
      </c>
    </row>
    <row r="3538">
      <c r="A3538" s="1">
        <v>715.0</v>
      </c>
      <c r="B3538" s="1">
        <v>8888143.0</v>
      </c>
      <c r="C3538" s="1">
        <v>8.572115E7</v>
      </c>
      <c r="D3538" s="1" t="s">
        <v>4480</v>
      </c>
    </row>
    <row r="3539">
      <c r="A3539" s="1">
        <v>407.0</v>
      </c>
      <c r="B3539" s="1">
        <v>8879271.0</v>
      </c>
      <c r="C3539" s="1">
        <v>3.7647206E7</v>
      </c>
      <c r="D3539" s="1" t="s">
        <v>4481</v>
      </c>
    </row>
    <row r="3540">
      <c r="A3540" s="1">
        <v>630.0</v>
      </c>
      <c r="B3540" s="1">
        <v>8877494.0</v>
      </c>
      <c r="C3540" s="1">
        <v>3.8220275E7</v>
      </c>
      <c r="D3540" s="1" t="s">
        <v>4230</v>
      </c>
    </row>
    <row r="3541">
      <c r="A3541" s="1">
        <v>410.0</v>
      </c>
      <c r="B3541" s="1">
        <v>8876061.0</v>
      </c>
      <c r="C3541" s="1">
        <v>3.7768994E7</v>
      </c>
      <c r="D3541" s="1" t="s">
        <v>4482</v>
      </c>
    </row>
    <row r="3542">
      <c r="A3542" s="1">
        <v>609.0</v>
      </c>
      <c r="B3542" s="1">
        <v>8844608.0</v>
      </c>
      <c r="C3542" s="1">
        <v>3.7556411E7</v>
      </c>
      <c r="D3542" s="1" t="s">
        <v>4484</v>
      </c>
    </row>
    <row r="3543">
      <c r="A3543" s="1">
        <v>503.0</v>
      </c>
      <c r="B3543" s="1">
        <v>8836368.0</v>
      </c>
      <c r="C3543" s="1">
        <v>3.7877845E7</v>
      </c>
      <c r="D3543" s="1" t="s">
        <v>4485</v>
      </c>
    </row>
    <row r="3544">
      <c r="A3544" s="1">
        <v>545.0</v>
      </c>
      <c r="B3544" s="1">
        <v>8830997.0</v>
      </c>
      <c r="C3544" s="1">
        <v>3.739871E7</v>
      </c>
      <c r="D3544" s="1" t="s">
        <v>4389</v>
      </c>
    </row>
    <row r="3545">
      <c r="A3545" s="1">
        <v>406.0</v>
      </c>
      <c r="B3545" s="1">
        <v>8827519.0</v>
      </c>
      <c r="C3545" s="1">
        <v>3.7450854E7</v>
      </c>
      <c r="D3545" s="1" t="s">
        <v>3698</v>
      </c>
    </row>
    <row r="3546">
      <c r="A3546" s="1">
        <v>484.0</v>
      </c>
      <c r="B3546" s="1">
        <v>8824117.0</v>
      </c>
      <c r="C3546" s="1">
        <v>3.7523585E7</v>
      </c>
      <c r="D3546" s="1" t="s">
        <v>4487</v>
      </c>
    </row>
    <row r="3547">
      <c r="A3547" s="1">
        <v>392.0</v>
      </c>
      <c r="B3547" s="1">
        <v>8821766.0</v>
      </c>
      <c r="C3547" s="1">
        <v>3.7396193E7</v>
      </c>
      <c r="D3547" s="1" t="s">
        <v>3640</v>
      </c>
    </row>
    <row r="3548">
      <c r="A3548" s="1">
        <v>578.0</v>
      </c>
      <c r="B3548" s="1">
        <v>8821539.0</v>
      </c>
      <c r="C3548" s="1">
        <v>3.7398554E7</v>
      </c>
      <c r="D3548" s="1" t="s">
        <v>4489</v>
      </c>
    </row>
    <row r="3549">
      <c r="A3549" s="1">
        <v>601.0</v>
      </c>
      <c r="B3549" s="1">
        <v>8811484.0</v>
      </c>
      <c r="C3549" s="1">
        <v>3.7402341E7</v>
      </c>
      <c r="D3549" s="1" t="s">
        <v>4490</v>
      </c>
    </row>
    <row r="3550">
      <c r="A3550" s="1">
        <v>173.0</v>
      </c>
      <c r="B3550" s="1">
        <v>8805194.0</v>
      </c>
      <c r="C3550" s="1">
        <v>3.731252E7</v>
      </c>
      <c r="D3550" s="1" t="s">
        <v>2506</v>
      </c>
    </row>
    <row r="3551">
      <c r="A3551" s="1">
        <v>673.0</v>
      </c>
      <c r="B3551" s="1">
        <v>8804845.0</v>
      </c>
      <c r="C3551" s="1">
        <v>3.7285431E7</v>
      </c>
      <c r="D3551" s="1" t="s">
        <v>193</v>
      </c>
    </row>
    <row r="3552">
      <c r="A3552" s="1">
        <v>380.0</v>
      </c>
      <c r="B3552" s="1">
        <v>8793368.0</v>
      </c>
      <c r="C3552" s="1">
        <v>3.7290072E7</v>
      </c>
      <c r="D3552" s="1" t="s">
        <v>2785</v>
      </c>
    </row>
    <row r="3553">
      <c r="A3553" s="1">
        <v>353.0</v>
      </c>
      <c r="B3553" s="1">
        <v>8777224.0</v>
      </c>
      <c r="C3553" s="1">
        <v>3.7196986E7</v>
      </c>
      <c r="D3553" s="1" t="s">
        <v>3759</v>
      </c>
    </row>
    <row r="3554">
      <c r="A3554" s="1">
        <v>244.0</v>
      </c>
      <c r="B3554" s="1">
        <v>8769588.0</v>
      </c>
      <c r="C3554" s="1">
        <v>3.7168426E7</v>
      </c>
      <c r="D3554" s="1" t="s">
        <v>4491</v>
      </c>
    </row>
    <row r="3555">
      <c r="A3555" s="1">
        <v>602.0</v>
      </c>
      <c r="B3555" s="1">
        <v>8758001.0</v>
      </c>
      <c r="C3555" s="1">
        <v>3.715761E7</v>
      </c>
      <c r="D3555" s="1" t="s">
        <v>938</v>
      </c>
    </row>
    <row r="3556">
      <c r="A3556" s="1">
        <v>696.0</v>
      </c>
      <c r="B3556" s="1">
        <v>8752836.0</v>
      </c>
      <c r="C3556" s="1">
        <v>3.7086856E7</v>
      </c>
      <c r="D3556" s="1" t="s">
        <v>4493</v>
      </c>
    </row>
    <row r="3557">
      <c r="A3557" s="1">
        <v>531.0</v>
      </c>
      <c r="B3557" s="1">
        <v>8733207.0</v>
      </c>
      <c r="C3557" s="1">
        <v>3.7081582E7</v>
      </c>
      <c r="D3557" s="1" t="s">
        <v>4494</v>
      </c>
    </row>
    <row r="3558">
      <c r="A3558" s="1">
        <v>601.0</v>
      </c>
      <c r="B3558" s="1">
        <v>8732047.0</v>
      </c>
      <c r="C3558" s="1">
        <v>1.5703599E8</v>
      </c>
      <c r="D3558" s="1" t="s">
        <v>4495</v>
      </c>
    </row>
    <row r="3559">
      <c r="A3559" s="1">
        <v>669.0</v>
      </c>
      <c r="B3559" s="1">
        <v>8722576.0</v>
      </c>
      <c r="C3559" s="1">
        <v>3.6957776E7</v>
      </c>
      <c r="D3559" s="1" t="s">
        <v>3570</v>
      </c>
    </row>
    <row r="3560">
      <c r="A3560" s="1">
        <v>49.0</v>
      </c>
      <c r="B3560" s="1">
        <v>8722285.0</v>
      </c>
      <c r="C3560" s="1">
        <v>3.6972492E7</v>
      </c>
      <c r="D3560" s="1" t="s">
        <v>4496</v>
      </c>
    </row>
    <row r="3561">
      <c r="A3561" s="1">
        <v>587.0</v>
      </c>
      <c r="B3561" s="1">
        <v>8722105.0</v>
      </c>
      <c r="C3561" s="1">
        <v>3.6966462E7</v>
      </c>
      <c r="D3561" s="1" t="s">
        <v>2909</v>
      </c>
    </row>
    <row r="3562">
      <c r="A3562" s="1">
        <v>664.0</v>
      </c>
      <c r="B3562" s="1">
        <v>8720290.0</v>
      </c>
      <c r="C3562" s="1">
        <v>3.7068865E7</v>
      </c>
      <c r="D3562" s="1" t="s">
        <v>4285</v>
      </c>
    </row>
    <row r="3563">
      <c r="A3563" s="1">
        <v>380.0</v>
      </c>
      <c r="B3563" s="1">
        <v>8715633.0</v>
      </c>
      <c r="C3563" s="1">
        <v>3.6971381E7</v>
      </c>
      <c r="D3563" s="1" t="s">
        <v>4387</v>
      </c>
    </row>
    <row r="3564">
      <c r="A3564" s="1">
        <v>571.0</v>
      </c>
      <c r="B3564" s="1">
        <v>8711244.0</v>
      </c>
      <c r="C3564" s="1">
        <v>3.6845174E7</v>
      </c>
      <c r="D3564" s="1" t="s">
        <v>3742</v>
      </c>
    </row>
    <row r="3565">
      <c r="A3565" s="1">
        <v>225.0</v>
      </c>
      <c r="B3565" s="1">
        <v>8696816.0</v>
      </c>
      <c r="C3565" s="1">
        <v>3.6868374E7</v>
      </c>
      <c r="D3565" s="1" t="s">
        <v>4497</v>
      </c>
    </row>
    <row r="3566">
      <c r="A3566" s="1">
        <v>378.0</v>
      </c>
      <c r="B3566" s="1">
        <v>8686475.0</v>
      </c>
      <c r="C3566" s="1">
        <v>3.6858803E7</v>
      </c>
      <c r="D3566" s="1" t="s">
        <v>4498</v>
      </c>
    </row>
    <row r="3567">
      <c r="A3567" s="1">
        <v>380.0</v>
      </c>
      <c r="B3567" s="1">
        <v>8673024.0</v>
      </c>
      <c r="C3567" s="1">
        <v>3.6766272E7</v>
      </c>
      <c r="D3567" s="1" t="s">
        <v>512</v>
      </c>
    </row>
    <row r="3568">
      <c r="A3568" s="1">
        <v>406.0</v>
      </c>
      <c r="B3568" s="1">
        <v>8660824.0</v>
      </c>
      <c r="C3568" s="1">
        <v>3.6774932E7</v>
      </c>
      <c r="D3568" s="1" t="s">
        <v>4364</v>
      </c>
    </row>
    <row r="3569">
      <c r="A3569" s="1">
        <v>578.0</v>
      </c>
      <c r="B3569" s="1">
        <v>8656014.0</v>
      </c>
      <c r="C3569" s="1">
        <v>3.6631201E7</v>
      </c>
      <c r="D3569" s="1" t="s">
        <v>4500</v>
      </c>
    </row>
    <row r="3570">
      <c r="A3570" s="1">
        <v>337.0</v>
      </c>
      <c r="B3570" s="1">
        <v>8655604.0</v>
      </c>
      <c r="C3570" s="1">
        <v>3.6625085E7</v>
      </c>
      <c r="D3570" s="1" t="s">
        <v>1860</v>
      </c>
    </row>
    <row r="3571">
      <c r="A3571" s="1">
        <v>546.0</v>
      </c>
      <c r="B3571" s="1">
        <v>8655524.0</v>
      </c>
      <c r="C3571" s="1">
        <v>1.76958888E8</v>
      </c>
      <c r="D3571" s="1" t="s">
        <v>3860</v>
      </c>
    </row>
    <row r="3572">
      <c r="A3572" s="1">
        <v>715.0</v>
      </c>
      <c r="B3572" s="1">
        <v>8645343.0</v>
      </c>
      <c r="C3572" s="1">
        <v>3.6621929E7</v>
      </c>
      <c r="D3572" s="1" t="s">
        <v>1575</v>
      </c>
    </row>
    <row r="3573">
      <c r="A3573" s="1">
        <v>492.0</v>
      </c>
      <c r="B3573" s="1">
        <v>8633947.0</v>
      </c>
      <c r="C3573" s="1">
        <v>3.654915E7</v>
      </c>
      <c r="D3573" s="1" t="s">
        <v>1068</v>
      </c>
    </row>
    <row r="3574">
      <c r="A3574" s="1">
        <v>597.0</v>
      </c>
      <c r="B3574" s="1">
        <v>8621399.0</v>
      </c>
      <c r="C3574" s="1">
        <v>3.6550696E7</v>
      </c>
      <c r="D3574" s="1" t="s">
        <v>4501</v>
      </c>
    </row>
    <row r="3575">
      <c r="A3575" s="1">
        <v>410.0</v>
      </c>
      <c r="B3575" s="1">
        <v>8613244.0</v>
      </c>
      <c r="C3575" s="1">
        <v>3.6549764E7</v>
      </c>
      <c r="D3575" s="1" t="s">
        <v>4502</v>
      </c>
    </row>
    <row r="3576">
      <c r="A3576" s="1">
        <v>667.0</v>
      </c>
      <c r="B3576" s="1">
        <v>8569804.0</v>
      </c>
      <c r="C3576" s="1">
        <v>3.633556E7</v>
      </c>
      <c r="D3576" s="1" t="s">
        <v>4504</v>
      </c>
    </row>
    <row r="3577">
      <c r="A3577" s="1">
        <v>601.0</v>
      </c>
      <c r="B3577" s="1">
        <v>8563434.0</v>
      </c>
      <c r="C3577" s="1">
        <v>3.6328241E7</v>
      </c>
      <c r="D3577" s="1" t="s">
        <v>3775</v>
      </c>
    </row>
    <row r="3578">
      <c r="A3578" s="1">
        <v>597.0</v>
      </c>
      <c r="B3578" s="1">
        <v>8526181.0</v>
      </c>
      <c r="C3578" s="1">
        <v>3.6124836E7</v>
      </c>
      <c r="D3578" s="1" t="s">
        <v>2325</v>
      </c>
    </row>
    <row r="3579">
      <c r="A3579" s="1">
        <v>285.0</v>
      </c>
      <c r="B3579" s="1">
        <v>8498915.0</v>
      </c>
      <c r="C3579" s="1">
        <v>3.6004357E7</v>
      </c>
      <c r="D3579" s="1" t="s">
        <v>1436</v>
      </c>
    </row>
    <row r="3580">
      <c r="A3580" s="1">
        <v>380.0</v>
      </c>
      <c r="B3580" s="1">
        <v>8497404.0</v>
      </c>
      <c r="C3580" s="1">
        <v>3.6019519E7</v>
      </c>
      <c r="D3580" s="1" t="s">
        <v>327</v>
      </c>
    </row>
    <row r="3581">
      <c r="A3581" s="1">
        <v>116.0</v>
      </c>
      <c r="B3581" s="1">
        <v>8483843.0</v>
      </c>
      <c r="C3581" s="1">
        <v>3.5965266E7</v>
      </c>
      <c r="D3581" s="1" t="s">
        <v>3085</v>
      </c>
    </row>
    <row r="3582">
      <c r="A3582" s="1">
        <v>414.0</v>
      </c>
      <c r="B3582" s="1">
        <v>8476060.0</v>
      </c>
      <c r="C3582" s="1">
        <v>3.6007637E7</v>
      </c>
      <c r="D3582" s="1" t="s">
        <v>3341</v>
      </c>
    </row>
    <row r="3583">
      <c r="A3583" s="1">
        <v>676.0</v>
      </c>
      <c r="B3583" s="1">
        <v>8474295.0</v>
      </c>
      <c r="C3583" s="1">
        <v>6.6296435E7</v>
      </c>
      <c r="D3583" s="1" t="s">
        <v>4508</v>
      </c>
    </row>
    <row r="3584">
      <c r="A3584" s="1">
        <v>671.0</v>
      </c>
      <c r="B3584" s="1">
        <v>8468671.0</v>
      </c>
      <c r="C3584" s="1">
        <v>3.5925309E7</v>
      </c>
      <c r="D3584" s="1" t="s">
        <v>4207</v>
      </c>
    </row>
    <row r="3585">
      <c r="A3585" s="1">
        <v>587.0</v>
      </c>
      <c r="B3585" s="1">
        <v>8448852.0</v>
      </c>
      <c r="C3585" s="1">
        <v>1.52522717E8</v>
      </c>
      <c r="D3585" s="1" t="s">
        <v>3206</v>
      </c>
    </row>
    <row r="3586">
      <c r="A3586" s="1">
        <v>571.0</v>
      </c>
      <c r="B3586" s="1">
        <v>8436713.0</v>
      </c>
      <c r="C3586" s="1">
        <v>3.5704716E7</v>
      </c>
      <c r="D3586" s="1" t="s">
        <v>4511</v>
      </c>
    </row>
    <row r="3587">
      <c r="A3587" s="1">
        <v>173.0</v>
      </c>
      <c r="B3587" s="1">
        <v>8436421.0</v>
      </c>
      <c r="C3587" s="1">
        <v>3.5745169E7</v>
      </c>
      <c r="D3587" s="1" t="s">
        <v>1779</v>
      </c>
    </row>
    <row r="3588">
      <c r="A3588" s="1">
        <v>531.0</v>
      </c>
      <c r="B3588" s="1">
        <v>8436332.0</v>
      </c>
      <c r="C3588" s="1">
        <v>3.5727041E7</v>
      </c>
      <c r="D3588" s="1" t="s">
        <v>4512</v>
      </c>
    </row>
    <row r="3589">
      <c r="A3589" s="1">
        <v>378.0</v>
      </c>
      <c r="B3589" s="1">
        <v>8433166.0</v>
      </c>
      <c r="C3589" s="1">
        <v>3.5719525E7</v>
      </c>
      <c r="D3589" s="1" t="s">
        <v>2782</v>
      </c>
    </row>
    <row r="3590">
      <c r="A3590" s="1">
        <v>609.0</v>
      </c>
      <c r="B3590" s="1">
        <v>8427978.0</v>
      </c>
      <c r="C3590" s="1">
        <v>3.5736341E7</v>
      </c>
      <c r="D3590" s="1" t="s">
        <v>3656</v>
      </c>
    </row>
    <row r="3591">
      <c r="A3591" s="1">
        <v>120.0</v>
      </c>
      <c r="B3591" s="1">
        <v>8423064.0</v>
      </c>
      <c r="C3591" s="1">
        <v>3.5711975E7</v>
      </c>
      <c r="D3591" s="1" t="s">
        <v>4514</v>
      </c>
    </row>
    <row r="3592">
      <c r="A3592" s="1">
        <v>524.0</v>
      </c>
      <c r="B3592" s="1">
        <v>8418647.0</v>
      </c>
      <c r="C3592" s="1">
        <v>4.3203471E7</v>
      </c>
      <c r="D3592" s="1">
        <v>-9.99999999999999E31</v>
      </c>
    </row>
    <row r="3593">
      <c r="A3593" s="1">
        <v>427.0</v>
      </c>
      <c r="B3593" s="1">
        <v>8408142.0</v>
      </c>
      <c r="C3593" s="1">
        <v>3.5596653E7</v>
      </c>
      <c r="D3593" s="1" t="s">
        <v>4516</v>
      </c>
    </row>
    <row r="3594">
      <c r="A3594" s="1">
        <v>671.0</v>
      </c>
      <c r="B3594" s="1">
        <v>8400059.0</v>
      </c>
      <c r="C3594" s="1">
        <v>3.5649176E7</v>
      </c>
      <c r="D3594" s="1" t="s">
        <v>4517</v>
      </c>
    </row>
    <row r="3595">
      <c r="A3595" s="1">
        <v>410.0</v>
      </c>
      <c r="B3595" s="1">
        <v>8370647.0</v>
      </c>
      <c r="C3595" s="1">
        <v>3.5524492E7</v>
      </c>
      <c r="D3595" s="1" t="s">
        <v>3995</v>
      </c>
    </row>
    <row r="3596">
      <c r="A3596" s="1">
        <v>571.0</v>
      </c>
      <c r="B3596" s="1">
        <v>8369765.0</v>
      </c>
      <c r="C3596" s="1">
        <v>3.5504437E7</v>
      </c>
      <c r="D3596" s="1" t="s">
        <v>3495</v>
      </c>
    </row>
    <row r="3597">
      <c r="A3597" s="1">
        <v>609.0</v>
      </c>
      <c r="B3597" s="1">
        <v>8366404.0</v>
      </c>
      <c r="C3597" s="1">
        <v>3.5441346E7</v>
      </c>
      <c r="D3597" s="1" t="s">
        <v>4170</v>
      </c>
    </row>
    <row r="3598">
      <c r="A3598" s="1">
        <v>410.0</v>
      </c>
      <c r="B3598" s="1">
        <v>8365304.0</v>
      </c>
      <c r="C3598" s="1">
        <v>3.5449507E7</v>
      </c>
      <c r="D3598" s="1" t="s">
        <v>1929</v>
      </c>
    </row>
    <row r="3599">
      <c r="A3599" s="1">
        <v>403.0</v>
      </c>
      <c r="B3599" s="1">
        <v>8358905.0</v>
      </c>
      <c r="C3599" s="1">
        <v>3.5414087E7</v>
      </c>
      <c r="D3599" s="1" t="s">
        <v>698</v>
      </c>
    </row>
    <row r="3600">
      <c r="A3600" s="1">
        <v>601.0</v>
      </c>
      <c r="B3600" s="1">
        <v>8340982.0</v>
      </c>
      <c r="C3600" s="1">
        <v>3.5309406E7</v>
      </c>
      <c r="D3600" s="1" t="s">
        <v>4262</v>
      </c>
    </row>
    <row r="3601">
      <c r="A3601" s="1">
        <v>564.0</v>
      </c>
      <c r="B3601" s="1">
        <v>8336640.0</v>
      </c>
      <c r="C3601" s="1">
        <v>3.5321358E7</v>
      </c>
      <c r="D3601" s="1" t="s">
        <v>4520</v>
      </c>
    </row>
    <row r="3602">
      <c r="A3602" s="1">
        <v>716.0</v>
      </c>
      <c r="B3602" s="1">
        <v>8318659.0</v>
      </c>
      <c r="C3602" s="1">
        <v>3.5315646E7</v>
      </c>
      <c r="D3602" s="1" t="s">
        <v>2127</v>
      </c>
    </row>
    <row r="3603">
      <c r="A3603" s="1">
        <v>663.0</v>
      </c>
      <c r="B3603" s="1">
        <v>8311311.0</v>
      </c>
      <c r="C3603" s="1">
        <v>3.5218083E7</v>
      </c>
      <c r="D3603" s="1" t="s">
        <v>4168</v>
      </c>
    </row>
    <row r="3604">
      <c r="A3604" s="1">
        <v>570.0</v>
      </c>
      <c r="B3604" s="1">
        <v>8301512.0</v>
      </c>
      <c r="C3604" s="1">
        <v>3.5198615E7</v>
      </c>
      <c r="D3604" s="1" t="s">
        <v>4522</v>
      </c>
    </row>
    <row r="3605">
      <c r="A3605" s="1">
        <v>609.0</v>
      </c>
      <c r="B3605" s="1">
        <v>8287077.0</v>
      </c>
      <c r="C3605" s="1">
        <v>3.6360908E7</v>
      </c>
      <c r="D3605" s="1" t="s">
        <v>1409</v>
      </c>
    </row>
    <row r="3606">
      <c r="A3606" s="1">
        <v>644.0</v>
      </c>
      <c r="B3606" s="1">
        <v>8257559.0</v>
      </c>
      <c r="C3606" s="1">
        <v>3.5019438E7</v>
      </c>
      <c r="D3606" s="1" t="s">
        <v>4523</v>
      </c>
    </row>
    <row r="3607">
      <c r="A3607" s="1">
        <v>476.0</v>
      </c>
      <c r="B3607" s="1">
        <v>8248974.0</v>
      </c>
      <c r="C3607" s="1">
        <v>3.5050674E7</v>
      </c>
      <c r="D3607" s="1" t="s">
        <v>2622</v>
      </c>
    </row>
    <row r="3608">
      <c r="A3608" s="1">
        <v>609.0</v>
      </c>
      <c r="B3608" s="1">
        <v>8239862.0</v>
      </c>
      <c r="C3608" s="1">
        <v>3.498459E7</v>
      </c>
      <c r="D3608" s="1" t="s">
        <v>2114</v>
      </c>
    </row>
    <row r="3609">
      <c r="A3609" s="1">
        <v>6.0</v>
      </c>
      <c r="B3609" s="1">
        <v>8228147.0</v>
      </c>
      <c r="C3609" s="1">
        <v>3.4885828E7</v>
      </c>
      <c r="D3609" s="1" t="s">
        <v>4524</v>
      </c>
    </row>
    <row r="3610">
      <c r="A3610" s="1">
        <v>6.0</v>
      </c>
      <c r="B3610" s="1">
        <v>8228147.0</v>
      </c>
      <c r="C3610" s="1">
        <v>3.8636868E7</v>
      </c>
      <c r="D3610" s="1" t="s">
        <v>4524</v>
      </c>
    </row>
    <row r="3611">
      <c r="A3611" s="1">
        <v>721.0</v>
      </c>
      <c r="B3611" s="1">
        <v>8227795.0</v>
      </c>
      <c r="C3611" s="1">
        <v>3.4873984E7</v>
      </c>
      <c r="D3611" s="1" t="s">
        <v>3133</v>
      </c>
    </row>
    <row r="3612">
      <c r="A3612" s="1">
        <v>715.0</v>
      </c>
      <c r="B3612" s="1">
        <v>8219419.0</v>
      </c>
      <c r="C3612" s="1">
        <v>3.4842333E7</v>
      </c>
      <c r="D3612" s="1" t="s">
        <v>1642</v>
      </c>
    </row>
    <row r="3613">
      <c r="A3613" s="1">
        <v>715.0</v>
      </c>
      <c r="B3613" s="1">
        <v>8216534.0</v>
      </c>
      <c r="C3613" s="1">
        <v>3.4843916E7</v>
      </c>
      <c r="D3613" s="1" t="s">
        <v>244</v>
      </c>
    </row>
    <row r="3614">
      <c r="A3614" s="1">
        <v>458.0</v>
      </c>
      <c r="B3614" s="1">
        <v>8213641.0</v>
      </c>
      <c r="C3614" s="1">
        <v>3.4774569E7</v>
      </c>
      <c r="D3614" s="1" t="s">
        <v>4526</v>
      </c>
    </row>
    <row r="3615">
      <c r="A3615" s="1">
        <v>609.0</v>
      </c>
      <c r="B3615" s="1">
        <v>8200114.0</v>
      </c>
      <c r="C3615" s="1">
        <v>3.4956184E7</v>
      </c>
      <c r="D3615" s="1" t="s">
        <v>1635</v>
      </c>
    </row>
    <row r="3616">
      <c r="A3616" s="1">
        <v>337.0</v>
      </c>
      <c r="B3616" s="1">
        <v>8197438.0</v>
      </c>
      <c r="C3616" s="1">
        <v>3.4791058E7</v>
      </c>
      <c r="D3616" s="1" t="s">
        <v>2505</v>
      </c>
    </row>
    <row r="3617">
      <c r="A3617" s="1">
        <v>462.0</v>
      </c>
      <c r="B3617" s="1">
        <v>8196865.0</v>
      </c>
      <c r="C3617" s="1">
        <v>3.4782677E7</v>
      </c>
      <c r="D3617" s="1" t="s">
        <v>4527</v>
      </c>
    </row>
    <row r="3618">
      <c r="A3618" s="1">
        <v>610.0</v>
      </c>
      <c r="B3618" s="1">
        <v>8196462.0</v>
      </c>
      <c r="C3618" s="1">
        <v>3.4930327E7</v>
      </c>
      <c r="D3618" s="1" t="s">
        <v>2548</v>
      </c>
    </row>
    <row r="3619">
      <c r="A3619" s="1">
        <v>571.0</v>
      </c>
      <c r="B3619" s="1">
        <v>8186580.0</v>
      </c>
      <c r="C3619" s="1">
        <v>3.4645937E7</v>
      </c>
      <c r="D3619" s="1" t="s">
        <v>4528</v>
      </c>
    </row>
    <row r="3620">
      <c r="A3620" s="1">
        <v>194.0</v>
      </c>
      <c r="B3620" s="1">
        <v>8162228.0</v>
      </c>
      <c r="C3620" s="1">
        <v>3.4678449E7</v>
      </c>
      <c r="D3620" s="1" t="s">
        <v>4063</v>
      </c>
    </row>
    <row r="3621">
      <c r="A3621" s="1">
        <v>531.0</v>
      </c>
      <c r="B3621" s="1">
        <v>8151482.0</v>
      </c>
      <c r="C3621" s="1">
        <v>3.4671505E7</v>
      </c>
      <c r="D3621" s="1" t="s">
        <v>4530</v>
      </c>
    </row>
    <row r="3622">
      <c r="A3622" s="1">
        <v>573.0</v>
      </c>
      <c r="B3622" s="1">
        <v>8119189.0</v>
      </c>
      <c r="C3622" s="1">
        <v>3.4438454E7</v>
      </c>
      <c r="D3622" s="1" t="s">
        <v>4531</v>
      </c>
    </row>
    <row r="3623">
      <c r="A3623" s="1">
        <v>395.0</v>
      </c>
      <c r="B3623" s="1">
        <v>8118929.0</v>
      </c>
      <c r="C3623" s="1">
        <v>3.4438905E7</v>
      </c>
      <c r="D3623" s="1" t="s">
        <v>4533</v>
      </c>
    </row>
    <row r="3624">
      <c r="A3624" s="1">
        <v>406.0</v>
      </c>
      <c r="B3624" s="1">
        <v>8112336.0</v>
      </c>
      <c r="C3624" s="1">
        <v>3.4387458E7</v>
      </c>
      <c r="D3624" s="1" t="s">
        <v>4534</v>
      </c>
    </row>
    <row r="3625">
      <c r="A3625" s="1">
        <v>380.0</v>
      </c>
      <c r="B3625" s="1">
        <v>8111116.0</v>
      </c>
      <c r="C3625" s="1">
        <v>3.4352941E7</v>
      </c>
      <c r="D3625" s="1" t="s">
        <v>4535</v>
      </c>
    </row>
    <row r="3626">
      <c r="A3626" s="1">
        <v>601.0</v>
      </c>
      <c r="B3626" s="1">
        <v>8101624.0</v>
      </c>
      <c r="C3626" s="1">
        <v>3.4358621E7</v>
      </c>
      <c r="D3626" s="1" t="s">
        <v>4536</v>
      </c>
    </row>
    <row r="3627">
      <c r="A3627" s="1">
        <v>407.0</v>
      </c>
      <c r="B3627" s="1">
        <v>8071517.0</v>
      </c>
      <c r="C3627" s="1">
        <v>3.4182654E7</v>
      </c>
      <c r="D3627" s="1" t="s">
        <v>4537</v>
      </c>
    </row>
    <row r="3628">
      <c r="A3628" s="1">
        <v>337.0</v>
      </c>
      <c r="B3628" s="1">
        <v>8055826.0</v>
      </c>
      <c r="C3628" s="1">
        <v>3.4171115E7</v>
      </c>
      <c r="D3628" s="1" t="s">
        <v>3740</v>
      </c>
    </row>
    <row r="3629">
      <c r="A3629" s="1">
        <v>365.0</v>
      </c>
      <c r="B3629" s="1">
        <v>8053620.0</v>
      </c>
      <c r="C3629" s="1">
        <v>1.67532744E8</v>
      </c>
      <c r="D3629" s="1" t="s">
        <v>4538</v>
      </c>
    </row>
    <row r="3630">
      <c r="A3630" s="1">
        <v>421.0</v>
      </c>
      <c r="B3630" s="1">
        <v>8051790.0</v>
      </c>
      <c r="C3630" s="1">
        <v>3.4173576E7</v>
      </c>
      <c r="D3630" s="1" t="s">
        <v>4539</v>
      </c>
    </row>
    <row r="3631">
      <c r="A3631" s="1">
        <v>500.0</v>
      </c>
      <c r="B3631" s="1">
        <v>8042368.0</v>
      </c>
      <c r="C3631" s="1">
        <v>3.4081148E7</v>
      </c>
      <c r="D3631" s="1" t="s">
        <v>4540</v>
      </c>
    </row>
    <row r="3632">
      <c r="A3632" s="1">
        <v>140.0</v>
      </c>
      <c r="B3632" s="1">
        <v>8039957.0</v>
      </c>
      <c r="C3632" s="1">
        <v>3.4079563E7</v>
      </c>
      <c r="D3632" s="1" t="s">
        <v>4541</v>
      </c>
    </row>
    <row r="3633">
      <c r="A3633" s="1">
        <v>355.0</v>
      </c>
      <c r="B3633" s="1">
        <v>8036409.0</v>
      </c>
      <c r="C3633" s="1">
        <v>1.58424203E8</v>
      </c>
      <c r="D3633" s="1" t="s">
        <v>2109</v>
      </c>
    </row>
    <row r="3634">
      <c r="A3634" s="1">
        <v>455.0</v>
      </c>
      <c r="B3634" s="1">
        <v>8033148.0</v>
      </c>
      <c r="C3634" s="1">
        <v>3.4069873E7</v>
      </c>
      <c r="D3634" s="1" t="s">
        <v>3194</v>
      </c>
    </row>
    <row r="3635">
      <c r="A3635" s="1">
        <v>665.0</v>
      </c>
      <c r="B3635" s="1">
        <v>8032135.0</v>
      </c>
      <c r="C3635" s="1">
        <v>3.408907E7</v>
      </c>
      <c r="D3635" s="1" t="s">
        <v>4542</v>
      </c>
    </row>
    <row r="3636">
      <c r="A3636" s="1">
        <v>603.0</v>
      </c>
      <c r="B3636" s="1">
        <v>8024837.0</v>
      </c>
      <c r="C3636" s="1">
        <v>3.4075375E7</v>
      </c>
      <c r="D3636" s="1" t="s">
        <v>4543</v>
      </c>
    </row>
    <row r="3637">
      <c r="A3637" s="1">
        <v>671.0</v>
      </c>
      <c r="B3637" s="1">
        <v>8022684.0</v>
      </c>
      <c r="C3637" s="1">
        <v>3.3985284E7</v>
      </c>
      <c r="D3637" s="1" t="s">
        <v>322</v>
      </c>
    </row>
    <row r="3638">
      <c r="A3638" s="1">
        <v>414.0</v>
      </c>
      <c r="B3638" s="1">
        <v>8000638.0</v>
      </c>
      <c r="C3638" s="1">
        <v>3.3964598E7</v>
      </c>
      <c r="D3638" s="1" t="s">
        <v>2830</v>
      </c>
    </row>
    <row r="3639">
      <c r="A3639" s="1">
        <v>472.0</v>
      </c>
      <c r="B3639" s="1">
        <v>7998681.0</v>
      </c>
      <c r="C3639" s="1">
        <v>3.3972824E7</v>
      </c>
      <c r="D3639" s="1" t="s">
        <v>4544</v>
      </c>
    </row>
    <row r="3640">
      <c r="A3640" s="1">
        <v>609.0</v>
      </c>
      <c r="B3640" s="1">
        <v>7994897.0</v>
      </c>
      <c r="C3640" s="1">
        <v>3.4311725E7</v>
      </c>
      <c r="D3640" s="1" t="s">
        <v>4545</v>
      </c>
    </row>
    <row r="3641">
      <c r="A3641" s="1">
        <v>671.0</v>
      </c>
      <c r="B3641" s="1">
        <v>7994884.0</v>
      </c>
      <c r="C3641" s="1">
        <v>3.3872233E7</v>
      </c>
      <c r="D3641" s="1" t="s">
        <v>807</v>
      </c>
    </row>
    <row r="3642">
      <c r="A3642" s="1">
        <v>500.0</v>
      </c>
      <c r="B3642" s="1">
        <v>7990496.0</v>
      </c>
      <c r="C3642" s="1">
        <v>3.3860582E7</v>
      </c>
      <c r="D3642" s="1" t="s">
        <v>4547</v>
      </c>
    </row>
    <row r="3643">
      <c r="A3643" s="1">
        <v>489.0</v>
      </c>
      <c r="B3643" s="1">
        <v>7973493.0</v>
      </c>
      <c r="C3643" s="1">
        <v>3.3780695E7</v>
      </c>
      <c r="D3643" s="1" t="s">
        <v>4548</v>
      </c>
    </row>
    <row r="3644">
      <c r="A3644" s="1">
        <v>661.0</v>
      </c>
      <c r="B3644" s="1">
        <v>7959129.0</v>
      </c>
      <c r="C3644" s="1">
        <v>1.87124904E8</v>
      </c>
      <c r="D3644" s="1" t="s">
        <v>4549</v>
      </c>
    </row>
    <row r="3645">
      <c r="A3645" s="1">
        <v>676.0</v>
      </c>
      <c r="B3645" s="1">
        <v>7945546.0</v>
      </c>
      <c r="C3645" s="1">
        <v>3.3684894E7</v>
      </c>
      <c r="D3645" s="1" t="s">
        <v>720</v>
      </c>
    </row>
    <row r="3646">
      <c r="A3646" s="1">
        <v>392.0</v>
      </c>
      <c r="B3646" s="1">
        <v>7940982.0</v>
      </c>
      <c r="C3646" s="1">
        <v>3.4069663E7</v>
      </c>
      <c r="D3646" s="1" t="s">
        <v>3082</v>
      </c>
    </row>
    <row r="3647">
      <c r="A3647" s="1">
        <v>526.0</v>
      </c>
      <c r="B3647" s="1">
        <v>7929813.0</v>
      </c>
      <c r="C3647" s="1">
        <v>3.359925E7</v>
      </c>
      <c r="D3647" s="1" t="s">
        <v>4193</v>
      </c>
    </row>
    <row r="3648">
      <c r="A3648" s="1">
        <v>679.0</v>
      </c>
      <c r="B3648" s="1">
        <v>7907298.0</v>
      </c>
      <c r="C3648" s="1">
        <v>3.3592053E7</v>
      </c>
      <c r="D3648" s="1" t="s">
        <v>4550</v>
      </c>
    </row>
    <row r="3649">
      <c r="A3649" s="1">
        <v>475.0</v>
      </c>
      <c r="B3649" s="1">
        <v>7897883.0</v>
      </c>
      <c r="C3649" s="1">
        <v>3.3485148E7</v>
      </c>
      <c r="D3649" s="1" t="s">
        <v>4551</v>
      </c>
    </row>
    <row r="3650">
      <c r="A3650" s="1">
        <v>380.0</v>
      </c>
      <c r="B3650" s="1">
        <v>7889432.0</v>
      </c>
      <c r="C3650" s="1">
        <v>3.3498037E7</v>
      </c>
      <c r="D3650" s="1" t="s">
        <v>1407</v>
      </c>
    </row>
    <row r="3651">
      <c r="A3651" s="1">
        <v>116.0</v>
      </c>
      <c r="B3651" s="1">
        <v>7887556.0</v>
      </c>
      <c r="C3651" s="1">
        <v>3.3451191E7</v>
      </c>
      <c r="D3651" s="1" t="s">
        <v>4553</v>
      </c>
    </row>
    <row r="3652">
      <c r="A3652" s="1">
        <v>587.0</v>
      </c>
      <c r="B3652" s="1">
        <v>7877431.0</v>
      </c>
      <c r="C3652" s="1">
        <v>1.70882799E8</v>
      </c>
      <c r="D3652" s="1" t="s">
        <v>4555</v>
      </c>
    </row>
    <row r="3653">
      <c r="A3653" s="1">
        <v>458.0</v>
      </c>
      <c r="B3653" s="1">
        <v>7859209.0</v>
      </c>
      <c r="C3653" s="1">
        <v>3.3317154E7</v>
      </c>
      <c r="D3653" s="1" t="s">
        <v>4557</v>
      </c>
    </row>
    <row r="3654">
      <c r="A3654" s="1">
        <v>602.0</v>
      </c>
      <c r="B3654" s="1">
        <v>7858894.0</v>
      </c>
      <c r="C3654" s="1">
        <v>3.3310875E7</v>
      </c>
      <c r="D3654" s="1" t="s">
        <v>4559</v>
      </c>
    </row>
    <row r="3655">
      <c r="A3655" s="1">
        <v>225.0</v>
      </c>
      <c r="B3655" s="1">
        <v>7858246.0</v>
      </c>
      <c r="C3655" s="1">
        <v>3.3423729E7</v>
      </c>
      <c r="D3655" s="1" t="s">
        <v>836</v>
      </c>
    </row>
    <row r="3656">
      <c r="A3656" s="1">
        <v>641.0</v>
      </c>
      <c r="B3656" s="1">
        <v>7839517.0</v>
      </c>
      <c r="C3656" s="1">
        <v>3.3321648E7</v>
      </c>
      <c r="D3656" s="1" t="s">
        <v>1710</v>
      </c>
    </row>
    <row r="3657">
      <c r="A3657" s="1">
        <v>671.0</v>
      </c>
      <c r="B3657" s="1">
        <v>7830616.0</v>
      </c>
      <c r="C3657" s="1">
        <v>3.3248909E7</v>
      </c>
      <c r="D3657" s="1" t="s">
        <v>4006</v>
      </c>
    </row>
    <row r="3658">
      <c r="A3658" s="1">
        <v>673.0</v>
      </c>
      <c r="B3658" s="1">
        <v>7822113.0</v>
      </c>
      <c r="C3658" s="1">
        <v>3.3223591E7</v>
      </c>
      <c r="D3658" s="1" t="s">
        <v>319</v>
      </c>
    </row>
    <row r="3659">
      <c r="A3659" s="1">
        <v>609.0</v>
      </c>
      <c r="B3659" s="1">
        <v>7788244.0</v>
      </c>
      <c r="C3659" s="1">
        <v>3.3072466E7</v>
      </c>
      <c r="D3659" s="1" t="s">
        <v>2568</v>
      </c>
    </row>
    <row r="3660">
      <c r="A3660" s="1">
        <v>403.0</v>
      </c>
      <c r="B3660" s="1">
        <v>7770583.0</v>
      </c>
      <c r="C3660" s="1">
        <v>3.3037283E7</v>
      </c>
      <c r="D3660" s="1" t="s">
        <v>1777</v>
      </c>
    </row>
    <row r="3661">
      <c r="A3661" s="1">
        <v>120.0</v>
      </c>
      <c r="B3661" s="1">
        <v>7763595.0</v>
      </c>
      <c r="C3661" s="1">
        <v>3.2941825E7</v>
      </c>
      <c r="D3661" s="1" t="s">
        <v>1824</v>
      </c>
    </row>
    <row r="3662">
      <c r="A3662" s="1">
        <v>715.0</v>
      </c>
      <c r="B3662" s="1">
        <v>7754796.0</v>
      </c>
      <c r="C3662" s="1">
        <v>3.293916E7</v>
      </c>
      <c r="D3662" s="1" t="s">
        <v>4560</v>
      </c>
    </row>
    <row r="3663">
      <c r="A3663" s="1">
        <v>504.0</v>
      </c>
      <c r="B3663" s="1">
        <v>7730601.0</v>
      </c>
      <c r="C3663" s="1">
        <v>3.02403632E8</v>
      </c>
      <c r="D3663" s="1" t="s">
        <v>4561</v>
      </c>
    </row>
    <row r="3664">
      <c r="A3664" s="1">
        <v>414.0</v>
      </c>
      <c r="B3664" s="1">
        <v>7702516.0</v>
      </c>
      <c r="C3664" s="1">
        <v>3.2689773E7</v>
      </c>
      <c r="D3664" s="1" t="s">
        <v>4106</v>
      </c>
    </row>
    <row r="3665">
      <c r="A3665" s="1">
        <v>571.0</v>
      </c>
      <c r="B3665" s="1">
        <v>7689294.0</v>
      </c>
      <c r="C3665" s="1">
        <v>3.284898E7</v>
      </c>
      <c r="D3665" s="1" t="s">
        <v>269</v>
      </c>
    </row>
    <row r="3666">
      <c r="A3666" s="1">
        <v>244.0</v>
      </c>
      <c r="B3666" s="1">
        <v>7683240.0</v>
      </c>
      <c r="C3666" s="1">
        <v>3.266616E7</v>
      </c>
      <c r="D3666" s="1" t="s">
        <v>2844</v>
      </c>
    </row>
    <row r="3667">
      <c r="A3667" s="1">
        <v>670.0</v>
      </c>
      <c r="B3667" s="1">
        <v>7659326.0</v>
      </c>
      <c r="C3667" s="1">
        <v>3.2563561E7</v>
      </c>
      <c r="D3667" s="1" t="s">
        <v>4562</v>
      </c>
    </row>
    <row r="3668">
      <c r="A3668" s="1">
        <v>571.0</v>
      </c>
      <c r="B3668" s="1">
        <v>7656617.0</v>
      </c>
      <c r="C3668" s="1">
        <v>3.256215E7</v>
      </c>
      <c r="D3668" s="1" t="s">
        <v>2087</v>
      </c>
    </row>
    <row r="3669">
      <c r="A3669" s="1">
        <v>531.0</v>
      </c>
      <c r="B3669" s="1">
        <v>7653497.0</v>
      </c>
      <c r="C3669" s="1">
        <v>3.2496769E7</v>
      </c>
      <c r="D3669" s="1" t="s">
        <v>1966</v>
      </c>
    </row>
    <row r="3670">
      <c r="A3670" s="1">
        <v>410.0</v>
      </c>
      <c r="B3670" s="1">
        <v>7646382.0</v>
      </c>
      <c r="C3670" s="1">
        <v>3.2493003E7</v>
      </c>
      <c r="D3670" s="1" t="s">
        <v>4563</v>
      </c>
    </row>
    <row r="3671">
      <c r="A3671" s="1">
        <v>578.0</v>
      </c>
      <c r="B3671" s="1">
        <v>7639735.0</v>
      </c>
      <c r="C3671" s="1">
        <v>3.2477878E7</v>
      </c>
      <c r="D3671" s="1" t="s">
        <v>3560</v>
      </c>
    </row>
    <row r="3672">
      <c r="A3672" s="1">
        <v>665.0</v>
      </c>
      <c r="B3672" s="1">
        <v>7636002.0</v>
      </c>
      <c r="C3672" s="1">
        <v>4.27960332E8</v>
      </c>
      <c r="D3672" s="1" t="s">
        <v>4564</v>
      </c>
    </row>
    <row r="3673">
      <c r="A3673" s="1">
        <v>713.0</v>
      </c>
      <c r="B3673" s="1">
        <v>7612980.0</v>
      </c>
      <c r="C3673" s="1">
        <v>3.231427E7</v>
      </c>
      <c r="D3673" s="1" t="s">
        <v>639</v>
      </c>
    </row>
    <row r="3674">
      <c r="A3674" s="1">
        <v>609.0</v>
      </c>
      <c r="B3674" s="1">
        <v>7610100.0</v>
      </c>
      <c r="C3674" s="1">
        <v>3.2335826E7</v>
      </c>
      <c r="D3674" s="1" t="s">
        <v>610</v>
      </c>
    </row>
    <row r="3675">
      <c r="A3675" s="1">
        <v>601.0</v>
      </c>
      <c r="B3675" s="1">
        <v>7588640.0</v>
      </c>
      <c r="C3675" s="1">
        <v>3.2224354E7</v>
      </c>
      <c r="D3675" s="1" t="s">
        <v>4565</v>
      </c>
    </row>
    <row r="3676">
      <c r="A3676" s="1">
        <v>503.0</v>
      </c>
      <c r="B3676" s="1">
        <v>7588174.0</v>
      </c>
      <c r="C3676" s="1">
        <v>3.2246701E7</v>
      </c>
      <c r="D3676" s="1" t="s">
        <v>4566</v>
      </c>
    </row>
    <row r="3677">
      <c r="A3677" s="1">
        <v>409.0</v>
      </c>
      <c r="B3677" s="1">
        <v>7584223.0</v>
      </c>
      <c r="C3677" s="1">
        <v>3.2227125E7</v>
      </c>
      <c r="D3677" s="1" t="s">
        <v>4567</v>
      </c>
    </row>
    <row r="3678">
      <c r="A3678" s="1">
        <v>504.0</v>
      </c>
      <c r="B3678" s="1">
        <v>7576557.0</v>
      </c>
      <c r="C3678" s="1">
        <v>3.2213749E7</v>
      </c>
      <c r="D3678" s="1" t="s">
        <v>4568</v>
      </c>
    </row>
    <row r="3679">
      <c r="A3679" s="1">
        <v>414.0</v>
      </c>
      <c r="B3679" s="1">
        <v>7564711.0</v>
      </c>
      <c r="C3679" s="1">
        <v>3.2136236E7</v>
      </c>
      <c r="D3679" s="1" t="s">
        <v>4569</v>
      </c>
    </row>
    <row r="3680">
      <c r="A3680" s="1">
        <v>676.0</v>
      </c>
      <c r="B3680" s="1">
        <v>7556863.0</v>
      </c>
      <c r="C3680" s="1">
        <v>3.2137649E7</v>
      </c>
      <c r="D3680" s="1" t="s">
        <v>2866</v>
      </c>
    </row>
    <row r="3681">
      <c r="A3681" s="1">
        <v>609.0</v>
      </c>
      <c r="B3681" s="1">
        <v>7553938.0</v>
      </c>
      <c r="C3681" s="1">
        <v>3.2088766E7</v>
      </c>
      <c r="D3681" s="1" t="s">
        <v>4337</v>
      </c>
    </row>
    <row r="3682">
      <c r="A3682" s="1">
        <v>609.0</v>
      </c>
      <c r="B3682" s="1">
        <v>7553182.0</v>
      </c>
      <c r="C3682" s="1">
        <v>3.2087357E7</v>
      </c>
      <c r="D3682" s="1" t="s">
        <v>2471</v>
      </c>
    </row>
    <row r="3683">
      <c r="A3683" s="1">
        <v>504.0</v>
      </c>
      <c r="B3683" s="1">
        <v>7529600.0</v>
      </c>
      <c r="C3683" s="1">
        <v>3.2043769E7</v>
      </c>
      <c r="D3683" s="1" t="s">
        <v>3058</v>
      </c>
    </row>
    <row r="3684">
      <c r="A3684" s="1">
        <v>609.0</v>
      </c>
      <c r="B3684" s="1">
        <v>7518760.0</v>
      </c>
      <c r="C3684" s="1">
        <v>3.2081216E7</v>
      </c>
      <c r="D3684" s="1" t="s">
        <v>3954</v>
      </c>
    </row>
    <row r="3685">
      <c r="A3685" s="1">
        <v>492.0</v>
      </c>
      <c r="B3685" s="1">
        <v>7515624.0</v>
      </c>
      <c r="C3685" s="1">
        <v>3.1962943E7</v>
      </c>
      <c r="D3685" s="1" t="s">
        <v>4570</v>
      </c>
    </row>
    <row r="3686">
      <c r="A3686" s="1">
        <v>573.0</v>
      </c>
      <c r="B3686" s="1">
        <v>7507410.0</v>
      </c>
      <c r="C3686" s="1">
        <v>3.1956825E7</v>
      </c>
      <c r="D3686" s="1" t="s">
        <v>2142</v>
      </c>
    </row>
    <row r="3687">
      <c r="A3687" s="1">
        <v>578.0</v>
      </c>
      <c r="B3687" s="1">
        <v>7496601.0</v>
      </c>
      <c r="C3687" s="1">
        <v>3.1858223E7</v>
      </c>
      <c r="D3687" s="1" t="s">
        <v>4573</v>
      </c>
    </row>
    <row r="3688">
      <c r="A3688" s="1">
        <v>601.0</v>
      </c>
      <c r="B3688" s="1">
        <v>7494492.0</v>
      </c>
      <c r="C3688" s="1">
        <v>3.1855599E7</v>
      </c>
      <c r="D3688" s="1" t="s">
        <v>2937</v>
      </c>
    </row>
    <row r="3689">
      <c r="A3689" s="1">
        <v>476.0</v>
      </c>
      <c r="B3689" s="1">
        <v>7483092.0</v>
      </c>
      <c r="C3689" s="1">
        <v>3.1895496E7</v>
      </c>
      <c r="D3689" s="1" t="s">
        <v>4576</v>
      </c>
    </row>
    <row r="3690">
      <c r="A3690" s="1">
        <v>571.0</v>
      </c>
      <c r="B3690" s="1">
        <v>7479482.0</v>
      </c>
      <c r="C3690" s="1">
        <v>7.5613699E7</v>
      </c>
      <c r="D3690" s="1" t="s">
        <v>4577</v>
      </c>
    </row>
    <row r="3691">
      <c r="A3691" s="1">
        <v>395.0</v>
      </c>
      <c r="B3691" s="1">
        <v>7466366.0</v>
      </c>
      <c r="C3691" s="1">
        <v>3.1772925E7</v>
      </c>
      <c r="D3691" s="1" t="s">
        <v>4579</v>
      </c>
    </row>
    <row r="3692">
      <c r="A3692" s="1">
        <v>353.0</v>
      </c>
      <c r="B3692" s="1">
        <v>7465100.0</v>
      </c>
      <c r="C3692" s="1">
        <v>3.1721038E7</v>
      </c>
      <c r="D3692" s="1" t="s">
        <v>2220</v>
      </c>
    </row>
    <row r="3693">
      <c r="A3693" s="1">
        <v>715.0</v>
      </c>
      <c r="B3693" s="1">
        <v>7438920.0</v>
      </c>
      <c r="C3693" s="1">
        <v>3.1578822E7</v>
      </c>
      <c r="D3693" s="1" t="s">
        <v>4005</v>
      </c>
    </row>
    <row r="3694">
      <c r="A3694" s="1">
        <v>244.0</v>
      </c>
      <c r="B3694" s="1">
        <v>7434906.0</v>
      </c>
      <c r="C3694" s="1">
        <v>3.15827E7</v>
      </c>
      <c r="D3694" s="1" t="s">
        <v>4582</v>
      </c>
    </row>
    <row r="3695">
      <c r="A3695" s="1">
        <v>671.0</v>
      </c>
      <c r="B3695" s="1">
        <v>7416901.0</v>
      </c>
      <c r="C3695" s="1">
        <v>3.1694369E7</v>
      </c>
      <c r="D3695" s="1" t="s">
        <v>1892</v>
      </c>
    </row>
    <row r="3696">
      <c r="A3696" s="1">
        <v>610.0</v>
      </c>
      <c r="B3696" s="1">
        <v>7405978.0</v>
      </c>
      <c r="C3696" s="1">
        <v>2.59114824E8</v>
      </c>
      <c r="D3696" s="1" t="s">
        <v>2504</v>
      </c>
    </row>
    <row r="3697">
      <c r="A3697" s="1">
        <v>395.0</v>
      </c>
      <c r="B3697" s="1">
        <v>7399346.0</v>
      </c>
      <c r="C3697" s="1">
        <v>3.1497232E7</v>
      </c>
      <c r="D3697" s="1" t="s">
        <v>4583</v>
      </c>
    </row>
    <row r="3698">
      <c r="A3698" s="1">
        <v>571.0</v>
      </c>
      <c r="B3698" s="1">
        <v>7383713.0</v>
      </c>
      <c r="C3698" s="1">
        <v>3.15089E7</v>
      </c>
      <c r="D3698" s="1" t="s">
        <v>311</v>
      </c>
    </row>
    <row r="3699">
      <c r="A3699" s="1">
        <v>142.0</v>
      </c>
      <c r="B3699" s="1">
        <v>7382925.0</v>
      </c>
      <c r="C3699" s="1">
        <v>3.1432519E7</v>
      </c>
      <c r="D3699" s="1" t="s">
        <v>1445</v>
      </c>
    </row>
    <row r="3700">
      <c r="A3700" s="1">
        <v>395.0</v>
      </c>
      <c r="B3700" s="1">
        <v>7372694.0</v>
      </c>
      <c r="C3700" s="1">
        <v>3.1427053E7</v>
      </c>
      <c r="D3700" s="1" t="s">
        <v>4385</v>
      </c>
    </row>
    <row r="3701">
      <c r="A3701" s="1">
        <v>597.0</v>
      </c>
      <c r="B3701" s="1">
        <v>7368637.0</v>
      </c>
      <c r="C3701" s="1">
        <v>3.1326408E7</v>
      </c>
      <c r="D3701" s="1" t="s">
        <v>4584</v>
      </c>
    </row>
    <row r="3702">
      <c r="A3702" s="1">
        <v>665.0</v>
      </c>
      <c r="B3702" s="1">
        <v>7361894.0</v>
      </c>
      <c r="C3702" s="1">
        <v>3.1324038E7</v>
      </c>
      <c r="D3702" s="1" t="s">
        <v>4585</v>
      </c>
    </row>
    <row r="3703">
      <c r="A3703" s="1">
        <v>120.0</v>
      </c>
      <c r="B3703" s="1">
        <v>7349913.0</v>
      </c>
      <c r="C3703" s="1">
        <v>3.1404791E7</v>
      </c>
      <c r="D3703" s="1" t="s">
        <v>4586</v>
      </c>
    </row>
    <row r="3704">
      <c r="A3704" s="1">
        <v>142.0</v>
      </c>
      <c r="B3704" s="1">
        <v>7348462.0</v>
      </c>
      <c r="C3704" s="1">
        <v>4.5898266E7</v>
      </c>
      <c r="D3704" s="1" t="s">
        <v>4587</v>
      </c>
    </row>
    <row r="3705">
      <c r="A3705" s="1">
        <v>173.0</v>
      </c>
      <c r="B3705" s="1">
        <v>7347790.0</v>
      </c>
      <c r="C3705" s="1">
        <v>3.1256842E7</v>
      </c>
      <c r="D3705" s="1" t="s">
        <v>1378</v>
      </c>
    </row>
    <row r="3706">
      <c r="A3706" s="1">
        <v>142.0</v>
      </c>
      <c r="B3706" s="1">
        <v>7344152.0</v>
      </c>
      <c r="C3706" s="1">
        <v>7.469495E7</v>
      </c>
      <c r="D3706" s="1" t="s">
        <v>4588</v>
      </c>
    </row>
    <row r="3707">
      <c r="A3707" s="1">
        <v>609.0</v>
      </c>
      <c r="B3707" s="1">
        <v>7303598.0</v>
      </c>
      <c r="C3707" s="1">
        <v>3.1052277E7</v>
      </c>
      <c r="D3707" s="1" t="s">
        <v>3081</v>
      </c>
    </row>
    <row r="3708">
      <c r="A3708" s="1">
        <v>403.0</v>
      </c>
      <c r="B3708" s="1">
        <v>7294446.0</v>
      </c>
      <c r="C3708" s="1">
        <v>3.39350055E8</v>
      </c>
      <c r="D3708" s="1" t="s">
        <v>3173</v>
      </c>
    </row>
    <row r="3709">
      <c r="A3709" s="1">
        <v>569.0</v>
      </c>
      <c r="B3709" s="1">
        <v>7287085.0</v>
      </c>
      <c r="C3709" s="1">
        <v>3.1041931E7</v>
      </c>
      <c r="D3709" s="1" t="s">
        <v>775</v>
      </c>
    </row>
    <row r="3710">
      <c r="A3710" s="1">
        <v>630.0</v>
      </c>
      <c r="B3710" s="1">
        <v>7262254.0</v>
      </c>
      <c r="C3710" s="1">
        <v>4.01737687E8</v>
      </c>
      <c r="D3710" s="1" t="s">
        <v>4581</v>
      </c>
    </row>
    <row r="3711">
      <c r="A3711" s="1">
        <v>609.0</v>
      </c>
      <c r="B3711" s="1">
        <v>7261740.0</v>
      </c>
      <c r="C3711" s="1">
        <v>3.0887626E7</v>
      </c>
      <c r="D3711" s="1" t="s">
        <v>2008</v>
      </c>
    </row>
    <row r="3712">
      <c r="A3712" s="1">
        <v>355.0</v>
      </c>
      <c r="B3712" s="1">
        <v>7259790.0</v>
      </c>
      <c r="C3712" s="1">
        <v>3.0880917E7</v>
      </c>
      <c r="D3712" s="1" t="s">
        <v>4580</v>
      </c>
    </row>
    <row r="3713">
      <c r="A3713" s="1">
        <v>392.0</v>
      </c>
      <c r="B3713" s="1">
        <v>7252516.0</v>
      </c>
      <c r="C3713" s="1">
        <v>3.0871828E7</v>
      </c>
      <c r="D3713" s="1" t="s">
        <v>622</v>
      </c>
    </row>
    <row r="3714">
      <c r="A3714" s="1">
        <v>671.0</v>
      </c>
      <c r="B3714" s="1">
        <v>7248456.0</v>
      </c>
      <c r="C3714" s="1">
        <v>3.0804168E7</v>
      </c>
      <c r="D3714" s="1" t="s">
        <v>3943</v>
      </c>
    </row>
    <row r="3715">
      <c r="A3715" s="1">
        <v>609.0</v>
      </c>
      <c r="B3715" s="1">
        <v>7216914.0</v>
      </c>
      <c r="C3715" s="1">
        <v>3.072952E7</v>
      </c>
      <c r="D3715" s="1" t="s">
        <v>4589</v>
      </c>
    </row>
    <row r="3716">
      <c r="A3716" s="1">
        <v>671.0</v>
      </c>
      <c r="B3716" s="1">
        <v>7215665.0</v>
      </c>
      <c r="C3716" s="1">
        <v>1.34704926E8</v>
      </c>
      <c r="D3716" s="1" t="s">
        <v>2559</v>
      </c>
    </row>
    <row r="3717">
      <c r="A3717" s="1">
        <v>602.0</v>
      </c>
      <c r="B3717" s="1">
        <v>7214206.0</v>
      </c>
      <c r="C3717" s="1">
        <v>3.0694579E7</v>
      </c>
      <c r="D3717" s="1" t="s">
        <v>3335</v>
      </c>
    </row>
    <row r="3718">
      <c r="A3718" s="1">
        <v>120.0</v>
      </c>
      <c r="B3718" s="1">
        <v>7192486.0</v>
      </c>
      <c r="C3718" s="1">
        <v>3.0814485E7</v>
      </c>
      <c r="D3718" s="1" t="s">
        <v>4590</v>
      </c>
    </row>
    <row r="3719">
      <c r="A3719" s="1">
        <v>380.0</v>
      </c>
      <c r="B3719" s="1">
        <v>7185839.0</v>
      </c>
      <c r="C3719" s="1">
        <v>3.0536378E7</v>
      </c>
      <c r="D3719" s="1" t="s">
        <v>4591</v>
      </c>
    </row>
    <row r="3720">
      <c r="A3720" s="1">
        <v>379.0</v>
      </c>
      <c r="B3720" s="1">
        <v>7185730.0</v>
      </c>
      <c r="C3720" s="1">
        <v>3.26458819E8</v>
      </c>
      <c r="D3720" s="1" t="s">
        <v>4314</v>
      </c>
    </row>
    <row r="3721">
      <c r="A3721" s="1">
        <v>713.0</v>
      </c>
      <c r="B3721" s="1">
        <v>7171410.0</v>
      </c>
      <c r="C3721" s="1">
        <v>3.0513943E7</v>
      </c>
      <c r="D3721" s="1" t="s">
        <v>535</v>
      </c>
    </row>
    <row r="3722">
      <c r="A3722" s="1">
        <v>643.0</v>
      </c>
      <c r="B3722" s="1">
        <v>7167838.0</v>
      </c>
      <c r="C3722" s="1">
        <v>3.0451017E7</v>
      </c>
      <c r="D3722" s="1" t="s">
        <v>4592</v>
      </c>
    </row>
    <row r="3723">
      <c r="A3723" s="1">
        <v>172.0</v>
      </c>
      <c r="B3723" s="1">
        <v>7155991.0</v>
      </c>
      <c r="C3723" s="1">
        <v>3.0551163E7</v>
      </c>
      <c r="D3723" s="1" t="s">
        <v>4148</v>
      </c>
    </row>
    <row r="3724">
      <c r="A3724" s="1">
        <v>492.0</v>
      </c>
      <c r="B3724" s="1">
        <v>7144551.0</v>
      </c>
      <c r="C3724" s="1">
        <v>3.0348561E7</v>
      </c>
      <c r="D3724" s="1" t="s">
        <v>4593</v>
      </c>
    </row>
    <row r="3725">
      <c r="A3725" s="1">
        <v>601.0</v>
      </c>
      <c r="B3725" s="1">
        <v>7138098.0</v>
      </c>
      <c r="C3725" s="1">
        <v>3.0525024E7</v>
      </c>
      <c r="D3725" s="1" t="s">
        <v>4594</v>
      </c>
    </row>
    <row r="3726">
      <c r="A3726" s="1">
        <v>565.0</v>
      </c>
      <c r="B3726" s="1">
        <v>7135514.0</v>
      </c>
      <c r="C3726" s="1">
        <v>3.0346529E7</v>
      </c>
      <c r="D3726" s="1" t="s">
        <v>3317</v>
      </c>
    </row>
    <row r="3727">
      <c r="A3727" s="1">
        <v>664.0</v>
      </c>
      <c r="B3727" s="1">
        <v>7134015.0</v>
      </c>
      <c r="C3727" s="1">
        <v>3.0345436E7</v>
      </c>
      <c r="D3727" s="1" t="s">
        <v>4595</v>
      </c>
    </row>
    <row r="3728">
      <c r="A3728" s="1">
        <v>573.0</v>
      </c>
      <c r="B3728" s="1">
        <v>7127418.0</v>
      </c>
      <c r="C3728" s="1">
        <v>3.0338794E7</v>
      </c>
      <c r="D3728" s="1" t="s">
        <v>4596</v>
      </c>
    </row>
    <row r="3729">
      <c r="A3729" s="1">
        <v>410.0</v>
      </c>
      <c r="B3729" s="1">
        <v>7126593.0</v>
      </c>
      <c r="C3729" s="1">
        <v>3.0286828E7</v>
      </c>
      <c r="D3729" s="1" t="s">
        <v>4597</v>
      </c>
    </row>
    <row r="3730">
      <c r="A3730" s="1">
        <v>569.0</v>
      </c>
      <c r="B3730" s="1">
        <v>7122053.0</v>
      </c>
      <c r="C3730" s="1">
        <v>3.0261598E7</v>
      </c>
      <c r="D3730" s="1" t="s">
        <v>1176</v>
      </c>
    </row>
    <row r="3731">
      <c r="A3731" s="1">
        <v>672.0</v>
      </c>
      <c r="B3731" s="1">
        <v>7118142.0</v>
      </c>
      <c r="C3731" s="1">
        <v>3.0432333E7</v>
      </c>
      <c r="D3731" s="1" t="s">
        <v>2296</v>
      </c>
    </row>
    <row r="3732">
      <c r="A3732" s="1">
        <v>503.0</v>
      </c>
      <c r="B3732" s="1">
        <v>7104457.0</v>
      </c>
      <c r="C3732" s="1">
        <v>3.0367383E7</v>
      </c>
      <c r="D3732" s="1" t="s">
        <v>4546</v>
      </c>
    </row>
    <row r="3733">
      <c r="A3733" s="1">
        <v>678.0</v>
      </c>
      <c r="B3733" s="1">
        <v>7103730.0</v>
      </c>
      <c r="C3733" s="1">
        <v>3.0159945E7</v>
      </c>
      <c r="D3733" s="1" t="s">
        <v>1425</v>
      </c>
    </row>
    <row r="3734">
      <c r="A3734" s="1">
        <v>664.0</v>
      </c>
      <c r="B3734" s="1">
        <v>7094653.0</v>
      </c>
      <c r="C3734" s="1">
        <v>3.0179406E7</v>
      </c>
      <c r="D3734" s="1" t="s">
        <v>4598</v>
      </c>
    </row>
    <row r="3735">
      <c r="A3735" s="1">
        <v>380.0</v>
      </c>
      <c r="B3735" s="1">
        <v>7092327.0</v>
      </c>
      <c r="C3735" s="1">
        <v>3.0257417E7</v>
      </c>
      <c r="D3735" s="1" t="s">
        <v>982</v>
      </c>
    </row>
    <row r="3736">
      <c r="A3736" s="1">
        <v>339.0</v>
      </c>
      <c r="B3736" s="1">
        <v>7089694.0</v>
      </c>
      <c r="C3736" s="1">
        <v>3.0171559E7</v>
      </c>
      <c r="D3736" s="1" t="s">
        <v>2045</v>
      </c>
    </row>
    <row r="3737">
      <c r="A3737" s="1">
        <v>392.0</v>
      </c>
      <c r="B3737" s="1">
        <v>7086533.0</v>
      </c>
      <c r="C3737" s="1">
        <v>3.0168461E7</v>
      </c>
      <c r="D3737" s="1" t="s">
        <v>4599</v>
      </c>
    </row>
    <row r="3738">
      <c r="A3738" s="1">
        <v>603.0</v>
      </c>
      <c r="B3738" s="1">
        <v>7079510.0</v>
      </c>
      <c r="C3738" s="1">
        <v>3.0050995E7</v>
      </c>
      <c r="D3738" s="1" t="s">
        <v>4601</v>
      </c>
    </row>
    <row r="3739">
      <c r="A3739" s="1">
        <v>643.0</v>
      </c>
      <c r="B3739" s="1">
        <v>7056726.0</v>
      </c>
      <c r="C3739" s="1">
        <v>2.9991702E7</v>
      </c>
      <c r="D3739" s="1" t="s">
        <v>2199</v>
      </c>
    </row>
    <row r="3740">
      <c r="A3740" s="1">
        <v>525.0</v>
      </c>
      <c r="B3740" s="1">
        <v>7055437.0</v>
      </c>
      <c r="C3740" s="1">
        <v>2.9998159E7</v>
      </c>
      <c r="D3740" s="1" t="s">
        <v>4603</v>
      </c>
    </row>
    <row r="3741">
      <c r="A3741" s="1">
        <v>578.0</v>
      </c>
      <c r="B3741" s="1">
        <v>7050988.0</v>
      </c>
      <c r="C3741" s="1">
        <v>2.9996543E7</v>
      </c>
      <c r="D3741" s="1" t="s">
        <v>4605</v>
      </c>
    </row>
    <row r="3742">
      <c r="A3742" s="1">
        <v>571.0</v>
      </c>
      <c r="B3742" s="1">
        <v>7040064.0</v>
      </c>
      <c r="C3742" s="1">
        <v>4.37913716E8</v>
      </c>
      <c r="D3742" s="1" t="s">
        <v>4606</v>
      </c>
    </row>
    <row r="3743">
      <c r="A3743" s="1">
        <v>484.0</v>
      </c>
      <c r="B3743" s="1">
        <v>7035359.0</v>
      </c>
      <c r="C3743" s="1">
        <v>2.9877038E7</v>
      </c>
      <c r="D3743" s="1" t="s">
        <v>4608</v>
      </c>
    </row>
    <row r="3744">
      <c r="A3744" s="1">
        <v>667.0</v>
      </c>
      <c r="B3744" s="1">
        <v>7019146.0</v>
      </c>
      <c r="C3744" s="1">
        <v>2.9799529E7</v>
      </c>
      <c r="D3744" s="1" t="s">
        <v>4610</v>
      </c>
    </row>
    <row r="3745">
      <c r="A3745" s="1">
        <v>473.0</v>
      </c>
      <c r="B3745" s="1">
        <v>7010858.0</v>
      </c>
      <c r="C3745" s="1">
        <v>2.9800437E7</v>
      </c>
      <c r="D3745" s="1" t="s">
        <v>4061</v>
      </c>
    </row>
    <row r="3746">
      <c r="A3746" s="1">
        <v>407.0</v>
      </c>
      <c r="B3746" s="1">
        <v>6991749.0</v>
      </c>
      <c r="C3746" s="1">
        <v>2.972225E7</v>
      </c>
      <c r="D3746" s="1" t="s">
        <v>4612</v>
      </c>
    </row>
    <row r="3747">
      <c r="A3747" s="1">
        <v>671.0</v>
      </c>
      <c r="B3747" s="1">
        <v>6990030.0</v>
      </c>
      <c r="C3747" s="1">
        <v>2.9713908E7</v>
      </c>
      <c r="D3747" s="1" t="s">
        <v>1496</v>
      </c>
    </row>
    <row r="3748">
      <c r="A3748" s="1">
        <v>403.0</v>
      </c>
      <c r="B3748" s="1">
        <v>6965965.0</v>
      </c>
      <c r="C3748" s="1">
        <v>2.9619324E7</v>
      </c>
      <c r="D3748" s="1" t="s">
        <v>4614</v>
      </c>
    </row>
    <row r="3749">
      <c r="A3749" s="1">
        <v>488.0</v>
      </c>
      <c r="B3749" s="1">
        <v>6961135.0</v>
      </c>
      <c r="C3749" s="1">
        <v>2.9618342E7</v>
      </c>
      <c r="D3749" s="1" t="s">
        <v>4155</v>
      </c>
    </row>
    <row r="3750">
      <c r="A3750" s="1">
        <v>716.0</v>
      </c>
      <c r="B3750" s="1">
        <v>6959735.0</v>
      </c>
      <c r="C3750" s="1">
        <v>2.9629272E7</v>
      </c>
      <c r="D3750" s="1" t="s">
        <v>4299</v>
      </c>
    </row>
    <row r="3751">
      <c r="A3751" s="1">
        <v>531.0</v>
      </c>
      <c r="B3751" s="1">
        <v>6940696.0</v>
      </c>
      <c r="C3751" s="1">
        <v>2.9539383E7</v>
      </c>
      <c r="D3751" s="1" t="s">
        <v>4152</v>
      </c>
    </row>
    <row r="3752">
      <c r="A3752" s="1">
        <v>597.0</v>
      </c>
      <c r="B3752" s="1">
        <v>6931923.0</v>
      </c>
      <c r="C3752" s="1">
        <v>2.9533671E7</v>
      </c>
      <c r="D3752" s="1" t="s">
        <v>4618</v>
      </c>
    </row>
    <row r="3753">
      <c r="A3753" s="1">
        <v>488.0</v>
      </c>
      <c r="B3753" s="1">
        <v>6917338.0</v>
      </c>
      <c r="C3753" s="1">
        <v>2.9434728E7</v>
      </c>
      <c r="D3753" s="1" t="s">
        <v>4619</v>
      </c>
    </row>
    <row r="3754">
      <c r="A3754" s="1">
        <v>715.0</v>
      </c>
      <c r="B3754" s="1">
        <v>6915275.0</v>
      </c>
      <c r="C3754" s="1">
        <v>2.9429976E7</v>
      </c>
      <c r="D3754" s="1" t="s">
        <v>4620</v>
      </c>
    </row>
    <row r="3755">
      <c r="A3755" s="1">
        <v>414.0</v>
      </c>
      <c r="B3755" s="1">
        <v>6915067.0</v>
      </c>
      <c r="C3755" s="1">
        <v>2.9421729E7</v>
      </c>
      <c r="D3755" s="1" t="s">
        <v>4621</v>
      </c>
    </row>
    <row r="3756">
      <c r="A3756" s="1">
        <v>207.0</v>
      </c>
      <c r="B3756" s="1">
        <v>6914118.0</v>
      </c>
      <c r="C3756" s="1">
        <v>2.9550422E7</v>
      </c>
      <c r="D3756" s="1" t="s">
        <v>4441</v>
      </c>
    </row>
    <row r="3757">
      <c r="A3757" s="1">
        <v>504.0</v>
      </c>
      <c r="B3757" s="1">
        <v>6913479.0</v>
      </c>
      <c r="C3757" s="1">
        <v>2.9422012E7</v>
      </c>
      <c r="D3757" s="1" t="s">
        <v>4622</v>
      </c>
    </row>
    <row r="3758">
      <c r="A3758" s="1">
        <v>578.0</v>
      </c>
      <c r="B3758" s="1">
        <v>6910716.0</v>
      </c>
      <c r="C3758" s="1">
        <v>2.9432051E7</v>
      </c>
      <c r="D3758" s="1" t="s">
        <v>4623</v>
      </c>
    </row>
    <row r="3759">
      <c r="A3759" s="1">
        <v>663.0</v>
      </c>
      <c r="B3759" s="1">
        <v>6907123.0</v>
      </c>
      <c r="C3759" s="1">
        <v>2.9438722E7</v>
      </c>
      <c r="D3759" s="1" t="s">
        <v>4624</v>
      </c>
    </row>
    <row r="3760">
      <c r="A3760" s="1">
        <v>378.0</v>
      </c>
      <c r="B3760" s="1">
        <v>6902538.0</v>
      </c>
      <c r="C3760" s="1">
        <v>2.9359274E7</v>
      </c>
      <c r="D3760" s="1" t="s">
        <v>4625</v>
      </c>
    </row>
    <row r="3761">
      <c r="A3761" s="1">
        <v>715.0</v>
      </c>
      <c r="B3761" s="1">
        <v>6895211.0</v>
      </c>
      <c r="C3761" s="1">
        <v>2.9342272E7</v>
      </c>
      <c r="D3761" s="1" t="s">
        <v>308</v>
      </c>
    </row>
    <row r="3762">
      <c r="A3762" s="1">
        <v>460.0</v>
      </c>
      <c r="B3762" s="1">
        <v>6888713.0</v>
      </c>
      <c r="C3762" s="1">
        <v>2.9275408E7</v>
      </c>
      <c r="D3762" s="1" t="s">
        <v>731</v>
      </c>
    </row>
    <row r="3763">
      <c r="A3763" s="1">
        <v>406.0</v>
      </c>
      <c r="B3763" s="1">
        <v>6878140.0</v>
      </c>
      <c r="C3763" s="1">
        <v>2.9366067E7</v>
      </c>
      <c r="D3763" s="1" t="s">
        <v>4626</v>
      </c>
    </row>
    <row r="3764">
      <c r="A3764" s="1">
        <v>379.0</v>
      </c>
      <c r="B3764" s="1">
        <v>6843600.0</v>
      </c>
      <c r="C3764" s="1">
        <v>2.9073335E7</v>
      </c>
      <c r="D3764" s="1" t="s">
        <v>894</v>
      </c>
    </row>
    <row r="3765">
      <c r="A3765" s="1">
        <v>671.0</v>
      </c>
      <c r="B3765" s="1">
        <v>6842955.0</v>
      </c>
      <c r="C3765" s="1">
        <v>2.9086626E7</v>
      </c>
      <c r="D3765" s="1" t="s">
        <v>4627</v>
      </c>
    </row>
    <row r="3766">
      <c r="A3766" s="1">
        <v>571.0</v>
      </c>
      <c r="B3766" s="1">
        <v>6832500.0</v>
      </c>
      <c r="C3766" s="1">
        <v>2.52621463E8</v>
      </c>
      <c r="D3766" s="1" t="s">
        <v>3429</v>
      </c>
    </row>
    <row r="3767">
      <c r="A3767" s="1">
        <v>664.0</v>
      </c>
      <c r="B3767" s="1">
        <v>6829705.0</v>
      </c>
      <c r="C3767" s="1">
        <v>2.908805E7</v>
      </c>
      <c r="D3767" s="1" t="s">
        <v>4628</v>
      </c>
    </row>
    <row r="3768">
      <c r="A3768" s="1">
        <v>395.0</v>
      </c>
      <c r="B3768" s="1">
        <v>6829122.0</v>
      </c>
      <c r="C3768" s="1">
        <v>2.9073582E7</v>
      </c>
      <c r="D3768" s="1" t="s">
        <v>4629</v>
      </c>
    </row>
    <row r="3769">
      <c r="A3769" s="1">
        <v>378.0</v>
      </c>
      <c r="B3769" s="1">
        <v>6825195.0</v>
      </c>
      <c r="C3769" s="1">
        <v>2.910767E7</v>
      </c>
      <c r="D3769" s="1" t="s">
        <v>4630</v>
      </c>
    </row>
    <row r="3770">
      <c r="A3770" s="1">
        <v>671.0</v>
      </c>
      <c r="B3770" s="1">
        <v>6824532.0</v>
      </c>
      <c r="C3770" s="1">
        <v>2.9178176E7</v>
      </c>
      <c r="D3770" s="1" t="s">
        <v>4631</v>
      </c>
    </row>
    <row r="3771">
      <c r="A3771" s="1">
        <v>194.0</v>
      </c>
      <c r="B3771" s="1">
        <v>6816190.0</v>
      </c>
      <c r="C3771" s="1">
        <v>2.8986538E7</v>
      </c>
      <c r="D3771" s="1" t="s">
        <v>4632</v>
      </c>
    </row>
    <row r="3772">
      <c r="A3772" s="1">
        <v>157.0</v>
      </c>
      <c r="B3772" s="1">
        <v>6807989.0</v>
      </c>
      <c r="C3772" s="1">
        <v>2.8983112E7</v>
      </c>
      <c r="D3772" s="1" t="s">
        <v>4633</v>
      </c>
    </row>
    <row r="3773">
      <c r="A3773" s="1">
        <v>489.0</v>
      </c>
      <c r="B3773" s="1">
        <v>6797268.0</v>
      </c>
      <c r="C3773" s="1">
        <v>2.8910998E7</v>
      </c>
      <c r="D3773" s="1" t="s">
        <v>4634</v>
      </c>
    </row>
    <row r="3774">
      <c r="A3774" s="1">
        <v>247.0</v>
      </c>
      <c r="B3774" s="1">
        <v>6796170.0</v>
      </c>
      <c r="C3774" s="1">
        <v>2.8987986E7</v>
      </c>
      <c r="D3774" s="1" t="s">
        <v>1249</v>
      </c>
    </row>
    <row r="3775">
      <c r="A3775" s="1">
        <v>395.0</v>
      </c>
      <c r="B3775" s="1">
        <v>6792864.0</v>
      </c>
      <c r="C3775" s="1">
        <v>2.8911042E7</v>
      </c>
      <c r="D3775" s="1" t="s">
        <v>4635</v>
      </c>
    </row>
    <row r="3776">
      <c r="A3776" s="1">
        <v>410.0</v>
      </c>
      <c r="B3776" s="1">
        <v>6788221.0</v>
      </c>
      <c r="C3776" s="1">
        <v>2.8906434E7</v>
      </c>
      <c r="D3776" s="1" t="s">
        <v>3172</v>
      </c>
    </row>
    <row r="3777">
      <c r="A3777" s="1">
        <v>571.0</v>
      </c>
      <c r="B3777" s="1">
        <v>6784698.0</v>
      </c>
      <c r="C3777" s="1">
        <v>2.8898045E7</v>
      </c>
      <c r="D3777" s="1" t="s">
        <v>3253</v>
      </c>
    </row>
    <row r="3778">
      <c r="A3778" s="1">
        <v>470.0</v>
      </c>
      <c r="B3778" s="1">
        <v>6780574.0</v>
      </c>
      <c r="C3778" s="1">
        <v>2.8883693E7</v>
      </c>
      <c r="D3778" s="1" t="s">
        <v>4636</v>
      </c>
    </row>
    <row r="3779">
      <c r="A3779" s="1">
        <v>608.0</v>
      </c>
      <c r="B3779" s="1">
        <v>6776741.0</v>
      </c>
      <c r="C3779" s="1">
        <v>2.8804349E7</v>
      </c>
      <c r="D3779" s="1" t="s">
        <v>3027</v>
      </c>
    </row>
    <row r="3780">
      <c r="A3780" s="1">
        <v>609.0</v>
      </c>
      <c r="B3780" s="1">
        <v>6771118.0</v>
      </c>
      <c r="C3780" s="1">
        <v>2.8814392E7</v>
      </c>
      <c r="D3780" s="1" t="s">
        <v>3654</v>
      </c>
    </row>
    <row r="3781">
      <c r="A3781" s="1">
        <v>406.0</v>
      </c>
      <c r="B3781" s="1">
        <v>6765682.0</v>
      </c>
      <c r="C3781" s="1">
        <v>2.9003745E7</v>
      </c>
      <c r="D3781" s="1" t="s">
        <v>3586</v>
      </c>
    </row>
    <row r="3782">
      <c r="A3782" s="1">
        <v>244.0</v>
      </c>
      <c r="B3782" s="1">
        <v>6763508.0</v>
      </c>
      <c r="C3782" s="1">
        <v>2.8902079E7</v>
      </c>
      <c r="D3782" s="1" t="s">
        <v>4638</v>
      </c>
    </row>
    <row r="3783">
      <c r="A3783" s="1">
        <v>531.0</v>
      </c>
      <c r="B3783" s="1">
        <v>6763430.0</v>
      </c>
      <c r="C3783" s="1">
        <v>2.8804278E7</v>
      </c>
      <c r="D3783" s="1" t="s">
        <v>868</v>
      </c>
    </row>
    <row r="3784">
      <c r="A3784" s="1">
        <v>609.0</v>
      </c>
      <c r="B3784" s="1">
        <v>6763185.0</v>
      </c>
      <c r="C3784" s="1">
        <v>2.8814864E7</v>
      </c>
      <c r="D3784" s="1" t="s">
        <v>325</v>
      </c>
    </row>
    <row r="3785">
      <c r="A3785" s="1">
        <v>671.0</v>
      </c>
      <c r="B3785" s="1">
        <v>6729840.0</v>
      </c>
      <c r="C3785" s="1">
        <v>2.8613292E7</v>
      </c>
      <c r="D3785" s="1" t="s">
        <v>2230</v>
      </c>
    </row>
    <row r="3786">
      <c r="A3786" s="1">
        <v>713.0</v>
      </c>
      <c r="B3786" s="1">
        <v>6724401.0</v>
      </c>
      <c r="C3786" s="1">
        <v>2.860628E7</v>
      </c>
      <c r="D3786" s="1" t="s">
        <v>2757</v>
      </c>
    </row>
    <row r="3787">
      <c r="A3787" s="1">
        <v>578.0</v>
      </c>
      <c r="B3787" s="1">
        <v>6710341.0</v>
      </c>
      <c r="C3787" s="1">
        <v>2.8512198E7</v>
      </c>
      <c r="D3787" s="1" t="s">
        <v>4642</v>
      </c>
    </row>
    <row r="3788">
      <c r="A3788" s="1">
        <v>462.0</v>
      </c>
      <c r="B3788" s="1">
        <v>6698512.0</v>
      </c>
      <c r="C3788" s="1">
        <v>2.8534509E7</v>
      </c>
      <c r="D3788" s="1" t="s">
        <v>4643</v>
      </c>
    </row>
    <row r="3789">
      <c r="A3789" s="1">
        <v>671.0</v>
      </c>
      <c r="B3789" s="1">
        <v>6690955.0</v>
      </c>
      <c r="C3789" s="1">
        <v>2.8428802E7</v>
      </c>
      <c r="D3789" s="1" t="s">
        <v>4644</v>
      </c>
    </row>
    <row r="3790">
      <c r="A3790" s="1">
        <v>667.0</v>
      </c>
      <c r="B3790" s="1">
        <v>6683532.0</v>
      </c>
      <c r="C3790" s="1">
        <v>2.8432582E7</v>
      </c>
      <c r="D3790" s="1" t="s">
        <v>4645</v>
      </c>
    </row>
    <row r="3791">
      <c r="A3791" s="1">
        <v>602.0</v>
      </c>
      <c r="B3791" s="1">
        <v>6678241.0</v>
      </c>
      <c r="C3791" s="1">
        <v>2.933086E7</v>
      </c>
      <c r="D3791" s="1" t="s">
        <v>2214</v>
      </c>
    </row>
    <row r="3792">
      <c r="A3792" s="1">
        <v>573.0</v>
      </c>
      <c r="B3792" s="1">
        <v>6671133.0</v>
      </c>
      <c r="C3792" s="1">
        <v>2.8422571E7</v>
      </c>
      <c r="D3792" s="1" t="s">
        <v>4646</v>
      </c>
    </row>
    <row r="3793">
      <c r="A3793" s="1">
        <v>713.0</v>
      </c>
      <c r="B3793" s="1">
        <v>6670744.0</v>
      </c>
      <c r="C3793" s="1">
        <v>1.57255475E8</v>
      </c>
      <c r="D3793" s="1" t="s">
        <v>4648</v>
      </c>
    </row>
    <row r="3794">
      <c r="A3794" s="1">
        <v>601.0</v>
      </c>
      <c r="B3794" s="1">
        <v>6659864.0</v>
      </c>
      <c r="C3794" s="1">
        <v>2.88190896E8</v>
      </c>
      <c r="D3794" s="1" t="s">
        <v>3131</v>
      </c>
    </row>
    <row r="3795">
      <c r="A3795" s="1">
        <v>601.0</v>
      </c>
      <c r="B3795" s="1">
        <v>6659486.0</v>
      </c>
      <c r="C3795" s="1">
        <v>7.0368002E7</v>
      </c>
      <c r="D3795" s="1" t="s">
        <v>4649</v>
      </c>
    </row>
    <row r="3796">
      <c r="A3796" s="1">
        <v>194.0</v>
      </c>
      <c r="B3796" s="1">
        <v>6653737.0</v>
      </c>
      <c r="C3796" s="1">
        <v>1.42309505E8</v>
      </c>
      <c r="D3796" s="1" t="s">
        <v>4650</v>
      </c>
    </row>
    <row r="3797">
      <c r="A3797" s="1">
        <v>339.0</v>
      </c>
      <c r="B3797" s="1">
        <v>6631461.0</v>
      </c>
      <c r="C3797" s="1">
        <v>6.9122553E7</v>
      </c>
      <c r="D3797" s="1" t="s">
        <v>4492</v>
      </c>
    </row>
    <row r="3798">
      <c r="A3798" s="1">
        <v>597.0</v>
      </c>
      <c r="B3798" s="1">
        <v>6618032.0</v>
      </c>
      <c r="C3798" s="1">
        <v>2.8155487E7</v>
      </c>
      <c r="D3798" s="1" t="s">
        <v>4651</v>
      </c>
    </row>
    <row r="3799">
      <c r="A3799" s="1">
        <v>713.0</v>
      </c>
      <c r="B3799" s="1">
        <v>6604844.0</v>
      </c>
      <c r="C3799" s="1">
        <v>2.8130561E7</v>
      </c>
      <c r="D3799" s="1" t="s">
        <v>4652</v>
      </c>
    </row>
    <row r="3800">
      <c r="A3800" s="1">
        <v>609.0</v>
      </c>
      <c r="B3800" s="1">
        <v>6604154.0</v>
      </c>
      <c r="C3800" s="1">
        <v>2.8162889E7</v>
      </c>
      <c r="D3800" s="25" t="str">
        <f>+8 of course today is room cleaning day. If I receive the service I've experienced in the past, 10 will be my rating. Thanx for the continued inquiries.</f>
        <v>#ERROR!</v>
      </c>
    </row>
    <row r="3801">
      <c r="A3801" s="1">
        <v>671.0</v>
      </c>
      <c r="B3801" s="1">
        <v>6589344.0</v>
      </c>
      <c r="C3801" s="1">
        <v>2.8063668E7</v>
      </c>
      <c r="D3801" s="1" t="s">
        <v>4657</v>
      </c>
    </row>
    <row r="3802">
      <c r="A3802" s="1">
        <v>667.0</v>
      </c>
      <c r="B3802" s="1">
        <v>6575853.0</v>
      </c>
      <c r="C3802" s="1">
        <v>2.7959261E7</v>
      </c>
      <c r="D3802" s="1" t="s">
        <v>4658</v>
      </c>
    </row>
    <row r="3803">
      <c r="A3803" s="1">
        <v>414.0</v>
      </c>
      <c r="B3803" s="1">
        <v>6573225.0</v>
      </c>
      <c r="C3803" s="1">
        <v>2.797386E7</v>
      </c>
      <c r="D3803" s="1" t="s">
        <v>292</v>
      </c>
    </row>
    <row r="3804">
      <c r="A3804" s="1">
        <v>609.0</v>
      </c>
      <c r="B3804" s="1">
        <v>6555220.0</v>
      </c>
      <c r="C3804" s="1">
        <v>2.7908808E7</v>
      </c>
      <c r="D3804" s="1" t="s">
        <v>4659</v>
      </c>
    </row>
    <row r="3805">
      <c r="A3805" s="1">
        <v>713.0</v>
      </c>
      <c r="B3805" s="1">
        <v>6545715.0</v>
      </c>
      <c r="C3805" s="1">
        <v>2.7985896E7</v>
      </c>
      <c r="D3805" s="1" t="s">
        <v>306</v>
      </c>
    </row>
    <row r="3806">
      <c r="A3806" s="1">
        <v>142.0</v>
      </c>
      <c r="B3806" s="1">
        <v>6542143.0</v>
      </c>
      <c r="C3806" s="1">
        <v>2.7992048E7</v>
      </c>
      <c r="D3806" s="1" t="s">
        <v>576</v>
      </c>
    </row>
    <row r="3807">
      <c r="A3807" s="1">
        <v>142.0</v>
      </c>
      <c r="B3807" s="1">
        <v>6541995.0</v>
      </c>
      <c r="C3807" s="1">
        <v>2.7909054E7</v>
      </c>
      <c r="D3807" s="1" t="s">
        <v>1305</v>
      </c>
    </row>
    <row r="3808">
      <c r="A3808" s="1">
        <v>414.0</v>
      </c>
      <c r="B3808" s="1">
        <v>6540194.0</v>
      </c>
      <c r="C3808" s="1">
        <v>2.7781973E7</v>
      </c>
      <c r="D3808" s="1" t="s">
        <v>1427</v>
      </c>
    </row>
    <row r="3809">
      <c r="A3809" s="1">
        <v>173.0</v>
      </c>
      <c r="B3809" s="1">
        <v>6537636.0</v>
      </c>
      <c r="C3809" s="1">
        <v>2.7809863E7</v>
      </c>
      <c r="D3809" s="1" t="s">
        <v>4382</v>
      </c>
    </row>
    <row r="3810">
      <c r="A3810" s="1">
        <v>476.0</v>
      </c>
      <c r="B3810" s="1">
        <v>6537433.0</v>
      </c>
      <c r="C3810" s="1">
        <v>2.7924577E7</v>
      </c>
      <c r="D3810" s="1" t="s">
        <v>201</v>
      </c>
    </row>
    <row r="3811">
      <c r="A3811" s="1">
        <v>173.0</v>
      </c>
      <c r="B3811" s="1">
        <v>6535673.0</v>
      </c>
      <c r="C3811" s="1">
        <v>2.7810305E7</v>
      </c>
      <c r="D3811" s="1" t="s">
        <v>4660</v>
      </c>
    </row>
    <row r="3812">
      <c r="A3812" s="1">
        <v>120.0</v>
      </c>
      <c r="B3812" s="1">
        <v>6533368.0</v>
      </c>
      <c r="C3812" s="1">
        <v>2.7819878E7</v>
      </c>
      <c r="D3812" s="1" t="s">
        <v>3216</v>
      </c>
    </row>
    <row r="3813">
      <c r="A3813" s="1">
        <v>484.0</v>
      </c>
      <c r="B3813" s="1">
        <v>6525898.0</v>
      </c>
      <c r="C3813" s="1">
        <v>2.7783843E7</v>
      </c>
      <c r="D3813" s="1" t="s">
        <v>4661</v>
      </c>
    </row>
    <row r="3814">
      <c r="A3814" s="1">
        <v>571.0</v>
      </c>
      <c r="B3814" s="1">
        <v>6522092.0</v>
      </c>
      <c r="C3814" s="1">
        <v>2.7702488E7</v>
      </c>
      <c r="D3814" s="1" t="s">
        <v>2316</v>
      </c>
    </row>
    <row r="3815">
      <c r="A3815" s="1">
        <v>597.0</v>
      </c>
      <c r="B3815" s="1">
        <v>6513781.0</v>
      </c>
      <c r="C3815" s="1">
        <v>2.7709449E7</v>
      </c>
      <c r="D3815" s="1" t="s">
        <v>1748</v>
      </c>
    </row>
    <row r="3816">
      <c r="A3816" s="1">
        <v>571.0</v>
      </c>
      <c r="B3816" s="1">
        <v>6505335.0</v>
      </c>
      <c r="C3816" s="1">
        <v>2.7697497E7</v>
      </c>
      <c r="D3816" s="1" t="s">
        <v>4662</v>
      </c>
    </row>
    <row r="3817">
      <c r="A3817" s="1">
        <v>673.0</v>
      </c>
      <c r="B3817" s="1">
        <v>6501214.0</v>
      </c>
      <c r="C3817" s="1">
        <v>2.7613693E7</v>
      </c>
      <c r="D3817" s="1" t="s">
        <v>4639</v>
      </c>
    </row>
    <row r="3818">
      <c r="A3818" s="1">
        <v>120.0</v>
      </c>
      <c r="B3818" s="1">
        <v>6499424.0</v>
      </c>
      <c r="C3818" s="1">
        <v>2.7615735E7</v>
      </c>
      <c r="D3818" s="1" t="s">
        <v>2558</v>
      </c>
    </row>
    <row r="3819">
      <c r="A3819" s="1">
        <v>492.0</v>
      </c>
      <c r="B3819" s="1">
        <v>6477141.0</v>
      </c>
      <c r="C3819" s="1">
        <v>7.9461386E7</v>
      </c>
      <c r="D3819" s="1" t="s">
        <v>2227</v>
      </c>
    </row>
    <row r="3820">
      <c r="A3820" s="1">
        <v>721.0</v>
      </c>
      <c r="B3820" s="1">
        <v>6470537.0</v>
      </c>
      <c r="C3820" s="1">
        <v>2.7516326E7</v>
      </c>
      <c r="D3820" s="1" t="s">
        <v>4665</v>
      </c>
    </row>
    <row r="3821">
      <c r="A3821" s="1">
        <v>531.0</v>
      </c>
      <c r="B3821" s="1">
        <v>6470089.0</v>
      </c>
      <c r="C3821" s="1">
        <v>2.7509002E7</v>
      </c>
      <c r="D3821" s="1" t="s">
        <v>4558</v>
      </c>
    </row>
    <row r="3822">
      <c r="A3822" s="1">
        <v>406.0</v>
      </c>
      <c r="B3822" s="1">
        <v>6467283.0</v>
      </c>
      <c r="C3822" s="1">
        <v>2.7549039E7</v>
      </c>
      <c r="D3822" s="1" t="s">
        <v>2120</v>
      </c>
    </row>
    <row r="3823">
      <c r="A3823" s="1">
        <v>671.0</v>
      </c>
      <c r="B3823" s="1">
        <v>6459654.0</v>
      </c>
      <c r="C3823" s="1">
        <v>2.7622593E7</v>
      </c>
      <c r="D3823" s="1" t="s">
        <v>999</v>
      </c>
    </row>
    <row r="3824">
      <c r="A3824" s="1">
        <v>456.0</v>
      </c>
      <c r="B3824" s="1">
        <v>6456700.0</v>
      </c>
      <c r="C3824" s="1">
        <v>2.7427803E7</v>
      </c>
      <c r="D3824" s="1" t="s">
        <v>4667</v>
      </c>
    </row>
    <row r="3825">
      <c r="A3825" s="1">
        <v>410.0</v>
      </c>
      <c r="B3825" s="1">
        <v>6452238.0</v>
      </c>
      <c r="C3825" s="1">
        <v>2.7438362E7</v>
      </c>
      <c r="D3825" s="1" t="s">
        <v>4668</v>
      </c>
    </row>
    <row r="3826">
      <c r="A3826" s="1">
        <v>571.0</v>
      </c>
      <c r="B3826" s="1">
        <v>6440685.0</v>
      </c>
      <c r="C3826" s="1">
        <v>2.7428426E7</v>
      </c>
      <c r="D3826" s="1" t="s">
        <v>3080</v>
      </c>
    </row>
    <row r="3827">
      <c r="A3827" s="1">
        <v>608.0</v>
      </c>
      <c r="B3827" s="1">
        <v>6433632.0</v>
      </c>
      <c r="C3827" s="1">
        <v>4.9397768E7</v>
      </c>
      <c r="D3827" s="1" t="s">
        <v>4669</v>
      </c>
    </row>
    <row r="3828">
      <c r="A3828" s="1">
        <v>671.0</v>
      </c>
      <c r="B3828" s="1">
        <v>6431869.0</v>
      </c>
      <c r="C3828" s="1">
        <v>2.7436825E7</v>
      </c>
      <c r="D3828" s="1" t="s">
        <v>4556</v>
      </c>
    </row>
    <row r="3829">
      <c r="A3829" s="1">
        <v>597.0</v>
      </c>
      <c r="B3829" s="1">
        <v>6428515.0</v>
      </c>
      <c r="C3829" s="1">
        <v>2.733731E7</v>
      </c>
      <c r="D3829" s="1" t="s">
        <v>4670</v>
      </c>
    </row>
    <row r="3830">
      <c r="A3830" s="1">
        <v>617.0</v>
      </c>
      <c r="B3830" s="1">
        <v>6424224.0</v>
      </c>
      <c r="C3830" s="1">
        <v>2.7342301E7</v>
      </c>
      <c r="D3830" s="1" t="s">
        <v>1950</v>
      </c>
    </row>
    <row r="3831">
      <c r="A3831" s="1">
        <v>225.0</v>
      </c>
      <c r="B3831" s="1">
        <v>6394435.0</v>
      </c>
      <c r="C3831" s="1">
        <v>2.7197751E7</v>
      </c>
      <c r="D3831" s="1" t="s">
        <v>4671</v>
      </c>
    </row>
    <row r="3832">
      <c r="A3832" s="1">
        <v>207.0</v>
      </c>
      <c r="B3832" s="1">
        <v>6390299.0</v>
      </c>
      <c r="C3832" s="1">
        <v>2.7184386E7</v>
      </c>
      <c r="D3832" s="1" t="s">
        <v>4672</v>
      </c>
    </row>
    <row r="3833">
      <c r="A3833" s="1">
        <v>573.0</v>
      </c>
      <c r="B3833" s="1">
        <v>6386633.0</v>
      </c>
      <c r="C3833" s="1">
        <v>2.7179142E7</v>
      </c>
      <c r="D3833" s="1" t="s">
        <v>4673</v>
      </c>
    </row>
    <row r="3834">
      <c r="A3834" s="1">
        <v>503.0</v>
      </c>
      <c r="B3834" s="1">
        <v>6379086.0</v>
      </c>
      <c r="C3834" s="1">
        <v>2.7282288E7</v>
      </c>
      <c r="D3834" s="1" t="s">
        <v>3518</v>
      </c>
    </row>
    <row r="3835">
      <c r="A3835" s="1">
        <v>672.0</v>
      </c>
      <c r="B3835" s="1">
        <v>6378472.0</v>
      </c>
      <c r="C3835" s="1">
        <v>6.68449E7</v>
      </c>
      <c r="D3835" s="1" t="s">
        <v>4674</v>
      </c>
    </row>
    <row r="3836">
      <c r="A3836" s="1">
        <v>610.0</v>
      </c>
      <c r="B3836" s="1">
        <v>6373327.0</v>
      </c>
      <c r="C3836" s="1">
        <v>3.1960666E8</v>
      </c>
      <c r="D3836" s="1" t="s">
        <v>4675</v>
      </c>
    </row>
    <row r="3837">
      <c r="A3837" s="1">
        <v>407.0</v>
      </c>
      <c r="B3837" s="1">
        <v>6369059.0</v>
      </c>
      <c r="C3837" s="1">
        <v>2.7117899E7</v>
      </c>
      <c r="D3837" s="1" t="s">
        <v>2892</v>
      </c>
    </row>
    <row r="3838">
      <c r="A3838" s="1">
        <v>630.0</v>
      </c>
      <c r="B3838" s="1">
        <v>6366578.0</v>
      </c>
      <c r="C3838" s="1">
        <v>2.7126056E7</v>
      </c>
      <c r="D3838" s="1" t="s">
        <v>4676</v>
      </c>
    </row>
    <row r="3839">
      <c r="A3839" s="1">
        <v>504.0</v>
      </c>
      <c r="B3839" s="1">
        <v>6361882.0</v>
      </c>
      <c r="C3839" s="1">
        <v>4.14288756E8</v>
      </c>
      <c r="D3839" s="1" t="s">
        <v>4677</v>
      </c>
    </row>
    <row r="3840">
      <c r="A3840" s="1">
        <v>395.0</v>
      </c>
      <c r="B3840" s="1">
        <v>6360308.0</v>
      </c>
      <c r="C3840" s="1">
        <v>2.7101388E7</v>
      </c>
      <c r="D3840" s="1" t="s">
        <v>4678</v>
      </c>
    </row>
    <row r="3841">
      <c r="A3841" s="1">
        <v>379.0</v>
      </c>
      <c r="B3841" s="1">
        <v>6357212.0</v>
      </c>
      <c r="C3841" s="1">
        <v>2.10331979E8</v>
      </c>
      <c r="D3841" s="1" t="s">
        <v>3858</v>
      </c>
    </row>
    <row r="3842">
      <c r="A3842" s="1">
        <v>676.0</v>
      </c>
      <c r="B3842" s="1">
        <v>6355833.0</v>
      </c>
      <c r="C3842" s="1">
        <v>2.699649E7</v>
      </c>
      <c r="D3842" s="1" t="s">
        <v>3918</v>
      </c>
    </row>
    <row r="3843">
      <c r="A3843" s="1">
        <v>550.0</v>
      </c>
      <c r="B3843" s="1">
        <v>6353616.0</v>
      </c>
      <c r="C3843" s="1">
        <v>2.701558E7</v>
      </c>
      <c r="D3843" s="1" t="s">
        <v>1626</v>
      </c>
    </row>
    <row r="3844">
      <c r="A3844" s="1">
        <v>656.0</v>
      </c>
      <c r="B3844" s="1">
        <v>6343055.0</v>
      </c>
      <c r="C3844" s="1">
        <v>2.6997266E7</v>
      </c>
      <c r="D3844" s="1" t="s">
        <v>2705</v>
      </c>
    </row>
    <row r="3845">
      <c r="A3845" s="1">
        <v>609.0</v>
      </c>
      <c r="B3845" s="1">
        <v>6337258.0</v>
      </c>
      <c r="C3845" s="1">
        <v>2.6919845E7</v>
      </c>
      <c r="D3845" s="1" t="s">
        <v>4680</v>
      </c>
    </row>
    <row r="3846">
      <c r="A3846" s="1">
        <v>380.0</v>
      </c>
      <c r="B3846" s="1">
        <v>6323385.0</v>
      </c>
      <c r="C3846" s="1">
        <v>2.6905527E7</v>
      </c>
      <c r="D3846" s="1" t="s">
        <v>4682</v>
      </c>
    </row>
    <row r="3847">
      <c r="A3847" s="1">
        <v>571.0</v>
      </c>
      <c r="B3847" s="1">
        <v>6320484.0</v>
      </c>
      <c r="C3847" s="1">
        <v>1.12553213E8</v>
      </c>
      <c r="D3847" s="1" t="s">
        <v>4683</v>
      </c>
    </row>
    <row r="3848">
      <c r="A3848" s="1">
        <v>532.0</v>
      </c>
      <c r="B3848" s="1">
        <v>6319482.0</v>
      </c>
      <c r="C3848" s="1">
        <v>2.6929672E7</v>
      </c>
      <c r="D3848" s="1" t="s">
        <v>940</v>
      </c>
    </row>
    <row r="3849">
      <c r="A3849" s="1">
        <v>578.0</v>
      </c>
      <c r="B3849" s="1">
        <v>6319103.0</v>
      </c>
      <c r="C3849" s="1">
        <v>2.6912791E7</v>
      </c>
      <c r="D3849" s="1" t="s">
        <v>177</v>
      </c>
    </row>
    <row r="3850">
      <c r="A3850" s="1">
        <v>649.0</v>
      </c>
      <c r="B3850" s="1">
        <v>6302774.0</v>
      </c>
      <c r="C3850" s="1">
        <v>2.6823529E7</v>
      </c>
      <c r="D3850" s="1" t="s">
        <v>4686</v>
      </c>
    </row>
    <row r="3851">
      <c r="A3851" s="1">
        <v>215.0</v>
      </c>
      <c r="B3851" s="1">
        <v>6299911.0</v>
      </c>
      <c r="C3851" s="1">
        <v>2.6776074E7</v>
      </c>
      <c r="D3851" s="1" t="s">
        <v>1842</v>
      </c>
    </row>
    <row r="3852">
      <c r="A3852" s="1">
        <v>320.0</v>
      </c>
      <c r="B3852" s="1">
        <v>6294750.0</v>
      </c>
      <c r="C3852" s="1">
        <v>2.682613E7</v>
      </c>
      <c r="D3852" s="1" t="s">
        <v>4687</v>
      </c>
    </row>
    <row r="3853">
      <c r="A3853" s="1">
        <v>608.0</v>
      </c>
      <c r="B3853" s="1">
        <v>6294369.0</v>
      </c>
      <c r="C3853" s="1">
        <v>2.6759958E7</v>
      </c>
      <c r="D3853" s="1" t="s">
        <v>4688</v>
      </c>
    </row>
    <row r="3854">
      <c r="A3854" s="1">
        <v>609.0</v>
      </c>
      <c r="B3854" s="1">
        <v>6289952.0</v>
      </c>
      <c r="C3854" s="1">
        <v>2.6749831E7</v>
      </c>
      <c r="D3854" s="1" t="s">
        <v>1948</v>
      </c>
    </row>
    <row r="3855">
      <c r="A3855" s="1">
        <v>476.0</v>
      </c>
      <c r="B3855" s="1">
        <v>6274923.0</v>
      </c>
      <c r="C3855" s="1">
        <v>2.6698479E7</v>
      </c>
      <c r="D3855" s="1" t="s">
        <v>1920</v>
      </c>
    </row>
    <row r="3856">
      <c r="A3856" s="1">
        <v>671.0</v>
      </c>
      <c r="B3856" s="1">
        <v>6257873.0</v>
      </c>
      <c r="C3856" s="1">
        <v>2.6605979E7</v>
      </c>
      <c r="D3856" s="1" t="s">
        <v>996</v>
      </c>
    </row>
    <row r="3857">
      <c r="A3857" s="1">
        <v>664.0</v>
      </c>
      <c r="B3857" s="1">
        <v>6253527.0</v>
      </c>
      <c r="C3857" s="1">
        <v>2.6673186E7</v>
      </c>
      <c r="D3857" s="1" t="s">
        <v>4510</v>
      </c>
    </row>
    <row r="3858">
      <c r="A3858" s="1">
        <v>557.0</v>
      </c>
      <c r="B3858" s="1">
        <v>6246580.0</v>
      </c>
      <c r="C3858" s="1">
        <v>2.6578474E7</v>
      </c>
      <c r="D3858" s="1" t="s">
        <v>332</v>
      </c>
    </row>
    <row r="3859">
      <c r="A3859" s="1">
        <v>673.0</v>
      </c>
      <c r="B3859" s="1">
        <v>6233377.0</v>
      </c>
      <c r="C3859" s="1">
        <v>2.6667565E7</v>
      </c>
      <c r="D3859" s="1" t="s">
        <v>951</v>
      </c>
    </row>
    <row r="3860">
      <c r="A3860" s="1">
        <v>571.0</v>
      </c>
      <c r="B3860" s="1">
        <v>6232697.0</v>
      </c>
      <c r="C3860" s="1">
        <v>2.6662204E7</v>
      </c>
      <c r="D3860" s="1" t="s">
        <v>4691</v>
      </c>
    </row>
    <row r="3861">
      <c r="A3861" s="1">
        <v>504.0</v>
      </c>
      <c r="B3861" s="1">
        <v>6232490.0</v>
      </c>
      <c r="C3861" s="1">
        <v>2.6493015E7</v>
      </c>
      <c r="D3861" s="1" t="s">
        <v>4692</v>
      </c>
    </row>
    <row r="3862">
      <c r="A3862" s="1">
        <v>665.0</v>
      </c>
      <c r="B3862" s="1">
        <v>6230999.0</v>
      </c>
      <c r="C3862" s="1">
        <v>2.6527532E7</v>
      </c>
      <c r="D3862" s="1" t="s">
        <v>606</v>
      </c>
    </row>
    <row r="3863">
      <c r="A3863" s="1">
        <v>406.0</v>
      </c>
      <c r="B3863" s="1">
        <v>6229069.0</v>
      </c>
      <c r="C3863" s="1">
        <v>2.653701E7</v>
      </c>
      <c r="D3863" s="1" t="s">
        <v>4693</v>
      </c>
    </row>
    <row r="3864">
      <c r="A3864" s="1">
        <v>458.0</v>
      </c>
      <c r="B3864" s="1">
        <v>6225441.0</v>
      </c>
      <c r="C3864" s="1">
        <v>2.6524354E7</v>
      </c>
      <c r="D3864" s="1" t="s">
        <v>4694</v>
      </c>
    </row>
    <row r="3865">
      <c r="A3865" s="1">
        <v>671.0</v>
      </c>
      <c r="B3865" s="1">
        <v>6223196.0</v>
      </c>
      <c r="C3865" s="1">
        <v>2.6509226E7</v>
      </c>
      <c r="D3865" s="1" t="s">
        <v>4486</v>
      </c>
    </row>
    <row r="3866">
      <c r="A3866" s="1">
        <v>414.0</v>
      </c>
      <c r="B3866" s="1">
        <v>6220048.0</v>
      </c>
      <c r="C3866" s="1">
        <v>2.6405886E7</v>
      </c>
      <c r="D3866" s="1" t="s">
        <v>886</v>
      </c>
    </row>
    <row r="3867">
      <c r="A3867" s="1">
        <v>244.0</v>
      </c>
      <c r="B3867" s="1">
        <v>6213060.0</v>
      </c>
      <c r="C3867" s="1">
        <v>2.6418792E7</v>
      </c>
      <c r="D3867" s="1" t="s">
        <v>3589</v>
      </c>
    </row>
    <row r="3868">
      <c r="A3868" s="1">
        <v>504.0</v>
      </c>
      <c r="B3868" s="1">
        <v>6212601.0</v>
      </c>
      <c r="C3868" s="1">
        <v>2.6404567E7</v>
      </c>
      <c r="D3868" s="1" t="s">
        <v>4695</v>
      </c>
    </row>
    <row r="3869">
      <c r="A3869" s="1">
        <v>578.0</v>
      </c>
      <c r="B3869" s="1">
        <v>6210700.0</v>
      </c>
      <c r="C3869" s="1">
        <v>2.6415673E7</v>
      </c>
      <c r="D3869" s="1" t="s">
        <v>4696</v>
      </c>
    </row>
    <row r="3870">
      <c r="A3870" s="1">
        <v>571.0</v>
      </c>
      <c r="B3870" s="1">
        <v>6193536.0</v>
      </c>
      <c r="C3870" s="1">
        <v>2.6414034E7</v>
      </c>
      <c r="D3870" s="1" t="s">
        <v>4697</v>
      </c>
    </row>
    <row r="3871">
      <c r="A3871" s="1">
        <v>458.0</v>
      </c>
      <c r="B3871" s="1">
        <v>6183699.0</v>
      </c>
      <c r="C3871" s="1">
        <v>2.6345424E7</v>
      </c>
      <c r="D3871" s="1" t="s">
        <v>4698</v>
      </c>
    </row>
    <row r="3872">
      <c r="A3872" s="1">
        <v>596.0</v>
      </c>
      <c r="B3872" s="1">
        <v>6182097.0</v>
      </c>
      <c r="C3872" s="1">
        <v>2.6324456E7</v>
      </c>
      <c r="D3872" s="1" t="s">
        <v>4699</v>
      </c>
    </row>
    <row r="3873">
      <c r="A3873" s="1">
        <v>569.0</v>
      </c>
      <c r="B3873" s="1">
        <v>6176991.0</v>
      </c>
      <c r="C3873" s="1">
        <v>2.6246641E7</v>
      </c>
      <c r="D3873" s="1" t="s">
        <v>4700</v>
      </c>
    </row>
    <row r="3874">
      <c r="A3874" s="1">
        <v>380.0</v>
      </c>
      <c r="B3874" s="1">
        <v>6166574.0</v>
      </c>
      <c r="C3874" s="1">
        <v>2.6248307E7</v>
      </c>
      <c r="D3874" s="1" t="s">
        <v>4449</v>
      </c>
    </row>
    <row r="3875">
      <c r="A3875" s="1">
        <v>380.0</v>
      </c>
      <c r="B3875" s="1">
        <v>6161443.0</v>
      </c>
      <c r="C3875" s="1">
        <v>2.6152108E7</v>
      </c>
      <c r="D3875" s="1" t="s">
        <v>4701</v>
      </c>
    </row>
    <row r="3876">
      <c r="A3876" s="1">
        <v>215.0</v>
      </c>
      <c r="B3876" s="1">
        <v>6128905.0</v>
      </c>
      <c r="C3876" s="1">
        <v>2.611075E7</v>
      </c>
      <c r="D3876" s="1" t="s">
        <v>4702</v>
      </c>
    </row>
    <row r="3877">
      <c r="A3877" s="1">
        <v>378.0</v>
      </c>
      <c r="B3877" s="1">
        <v>6124353.0</v>
      </c>
      <c r="C3877" s="1">
        <v>2.6093811E7</v>
      </c>
      <c r="D3877" s="1" t="s">
        <v>4703</v>
      </c>
    </row>
    <row r="3878">
      <c r="A3878" s="1">
        <v>215.0</v>
      </c>
      <c r="B3878" s="1">
        <v>6120187.0</v>
      </c>
      <c r="C3878" s="1">
        <v>2.6019189E7</v>
      </c>
      <c r="D3878" s="1" t="s">
        <v>2587</v>
      </c>
    </row>
    <row r="3879">
      <c r="A3879" s="1">
        <v>380.0</v>
      </c>
      <c r="B3879" s="1">
        <v>6107836.0</v>
      </c>
      <c r="C3879" s="1">
        <v>2.5991552E7</v>
      </c>
      <c r="D3879" s="1" t="s">
        <v>2040</v>
      </c>
    </row>
    <row r="3880">
      <c r="A3880" s="1">
        <v>587.0</v>
      </c>
      <c r="B3880" s="1">
        <v>6096456.0</v>
      </c>
      <c r="C3880" s="1">
        <v>2.06975293E8</v>
      </c>
      <c r="D3880" s="1" t="s">
        <v>3857</v>
      </c>
    </row>
    <row r="3881">
      <c r="A3881" s="1">
        <v>401.0</v>
      </c>
      <c r="B3881" s="1">
        <v>6076116.0</v>
      </c>
      <c r="C3881" s="1">
        <v>3.9790067E7</v>
      </c>
      <c r="D3881" s="1" t="s">
        <v>3239</v>
      </c>
    </row>
    <row r="3882">
      <c r="A3882" s="1">
        <v>462.0</v>
      </c>
      <c r="B3882" s="1">
        <v>6069195.0</v>
      </c>
      <c r="C3882" s="1">
        <v>2.5867387E7</v>
      </c>
      <c r="D3882" s="1" t="s">
        <v>3916</v>
      </c>
    </row>
    <row r="3883">
      <c r="A3883" s="1">
        <v>602.0</v>
      </c>
      <c r="B3883" s="1">
        <v>6067356.0</v>
      </c>
      <c r="C3883" s="1">
        <v>2.5840976E7</v>
      </c>
      <c r="D3883" s="1" t="s">
        <v>3685</v>
      </c>
    </row>
    <row r="3884">
      <c r="A3884" s="1">
        <v>602.0</v>
      </c>
      <c r="B3884" s="1">
        <v>6065009.0</v>
      </c>
      <c r="C3884" s="1">
        <v>2.5824948E7</v>
      </c>
      <c r="D3884" s="1" t="s">
        <v>4705</v>
      </c>
    </row>
    <row r="3885">
      <c r="A3885" s="1">
        <v>578.0</v>
      </c>
      <c r="B3885" s="1">
        <v>6049401.0</v>
      </c>
      <c r="C3885" s="1">
        <v>2.5908818E7</v>
      </c>
      <c r="D3885" s="1" t="s">
        <v>4707</v>
      </c>
    </row>
    <row r="3886">
      <c r="A3886" s="1">
        <v>609.0</v>
      </c>
      <c r="B3886" s="1">
        <v>6043466.0</v>
      </c>
      <c r="C3886" s="1">
        <v>2.5751596E7</v>
      </c>
      <c r="D3886" s="1" t="s">
        <v>662</v>
      </c>
    </row>
    <row r="3887">
      <c r="A3887" s="1">
        <v>672.0</v>
      </c>
      <c r="B3887" s="1">
        <v>6012778.0</v>
      </c>
      <c r="C3887" s="1">
        <v>3.18415976E8</v>
      </c>
      <c r="D3887" s="1" t="s">
        <v>1838</v>
      </c>
    </row>
    <row r="3888">
      <c r="A3888" s="1">
        <v>406.0</v>
      </c>
      <c r="B3888" s="1">
        <v>6004412.0</v>
      </c>
      <c r="C3888" s="1">
        <v>2.5700742E7</v>
      </c>
      <c r="D3888" s="1" t="s">
        <v>4710</v>
      </c>
    </row>
    <row r="3889">
      <c r="A3889" s="1">
        <v>602.0</v>
      </c>
      <c r="B3889" s="1">
        <v>6002880.0</v>
      </c>
      <c r="C3889" s="1">
        <v>2.554399E7</v>
      </c>
      <c r="D3889" s="1" t="s">
        <v>4711</v>
      </c>
    </row>
    <row r="3890">
      <c r="A3890" s="1">
        <v>602.0</v>
      </c>
      <c r="B3890" s="1">
        <v>6002111.0</v>
      </c>
      <c r="C3890" s="1">
        <v>2.5550494E7</v>
      </c>
      <c r="D3890" s="1" t="s">
        <v>2574</v>
      </c>
    </row>
    <row r="3891">
      <c r="A3891" s="1">
        <v>610.0</v>
      </c>
      <c r="B3891" s="1">
        <v>5995903.0</v>
      </c>
      <c r="C3891" s="1">
        <v>2.5547274E7</v>
      </c>
      <c r="D3891" s="1" t="s">
        <v>2503</v>
      </c>
    </row>
    <row r="3892">
      <c r="A3892" s="1">
        <v>665.0</v>
      </c>
      <c r="B3892" s="1">
        <v>5966545.0</v>
      </c>
      <c r="C3892" s="1">
        <v>2.5440453E7</v>
      </c>
      <c r="D3892" s="1" t="s">
        <v>582</v>
      </c>
    </row>
    <row r="3893">
      <c r="A3893" s="1">
        <v>627.0</v>
      </c>
      <c r="B3893" s="1">
        <v>5956125.0</v>
      </c>
      <c r="C3893" s="1">
        <v>2.5427872E7</v>
      </c>
      <c r="D3893" s="1" t="s">
        <v>4712</v>
      </c>
    </row>
    <row r="3894">
      <c r="A3894" s="1">
        <v>380.0</v>
      </c>
      <c r="B3894" s="1">
        <v>5881974.0</v>
      </c>
      <c r="C3894" s="1">
        <v>2.5093142E7</v>
      </c>
      <c r="D3894" s="1" t="s">
        <v>3481</v>
      </c>
    </row>
    <row r="3895">
      <c r="A3895" s="1">
        <v>522.0</v>
      </c>
      <c r="B3895" s="1">
        <v>5871886.0</v>
      </c>
      <c r="C3895" s="1">
        <v>7.6682478E7</v>
      </c>
      <c r="D3895" s="1" t="s">
        <v>2586</v>
      </c>
    </row>
    <row r="3896">
      <c r="A3896" s="1">
        <v>504.0</v>
      </c>
      <c r="B3896" s="1">
        <v>5851315.0</v>
      </c>
      <c r="C3896" s="1">
        <v>4.9023964E7</v>
      </c>
      <c r="D3896" s="1" t="s">
        <v>4713</v>
      </c>
    </row>
    <row r="3897">
      <c r="A3897" s="1">
        <v>609.0</v>
      </c>
      <c r="B3897" s="1">
        <v>5815645.0</v>
      </c>
      <c r="C3897" s="1">
        <v>2.496562E7</v>
      </c>
      <c r="D3897" s="1" t="s">
        <v>4714</v>
      </c>
    </row>
    <row r="3898">
      <c r="A3898" s="1">
        <v>578.0</v>
      </c>
      <c r="B3898" s="1">
        <v>5796980.0</v>
      </c>
      <c r="C3898" s="1">
        <v>2.4905926E7</v>
      </c>
      <c r="D3898" s="1" t="s">
        <v>3078</v>
      </c>
    </row>
    <row r="3899">
      <c r="A3899" s="1">
        <v>601.0</v>
      </c>
      <c r="B3899" s="1">
        <v>5793830.0</v>
      </c>
      <c r="C3899" s="1">
        <v>9.4722302E7</v>
      </c>
      <c r="D3899" s="1" t="s">
        <v>3169</v>
      </c>
    </row>
    <row r="3900">
      <c r="A3900" s="1">
        <v>504.0</v>
      </c>
      <c r="B3900" s="1">
        <v>5789152.0</v>
      </c>
      <c r="C3900" s="1">
        <v>2.4765973E7</v>
      </c>
      <c r="D3900" s="1" t="s">
        <v>4716</v>
      </c>
    </row>
    <row r="3901">
      <c r="A3901" s="1">
        <v>601.0</v>
      </c>
      <c r="B3901" s="1">
        <v>5784879.0</v>
      </c>
      <c r="C3901" s="1">
        <v>2.4770168E7</v>
      </c>
      <c r="D3901" s="1" t="s">
        <v>4719</v>
      </c>
    </row>
    <row r="3902">
      <c r="A3902" s="1">
        <v>120.0</v>
      </c>
      <c r="B3902" s="1">
        <v>5770687.0</v>
      </c>
      <c r="C3902" s="1">
        <v>2.4705976E7</v>
      </c>
      <c r="D3902" s="1" t="s">
        <v>4721</v>
      </c>
    </row>
    <row r="3903">
      <c r="A3903" s="1">
        <v>419.0</v>
      </c>
      <c r="B3903" s="1">
        <v>5764023.0</v>
      </c>
      <c r="C3903" s="1">
        <v>2.4633883E7</v>
      </c>
      <c r="D3903" s="1" t="s">
        <v>4617</v>
      </c>
    </row>
    <row r="3904">
      <c r="A3904" s="1">
        <v>696.0</v>
      </c>
      <c r="B3904" s="1">
        <v>5748774.0</v>
      </c>
      <c r="C3904" s="1">
        <v>2.4637973E7</v>
      </c>
      <c r="D3904" s="1" t="s">
        <v>4525</v>
      </c>
    </row>
    <row r="3905">
      <c r="A3905" s="1">
        <v>154.0</v>
      </c>
      <c r="B3905" s="1">
        <v>5735023.0</v>
      </c>
      <c r="C3905" s="1">
        <v>2.4571691E7</v>
      </c>
      <c r="D3905" s="1" t="s">
        <v>4722</v>
      </c>
    </row>
    <row r="3906">
      <c r="A3906" s="1">
        <v>401.0</v>
      </c>
      <c r="B3906" s="1">
        <v>5734460.0</v>
      </c>
      <c r="C3906" s="1">
        <v>2.4557412E7</v>
      </c>
      <c r="D3906" s="1" t="s">
        <v>2700</v>
      </c>
    </row>
    <row r="3907">
      <c r="A3907" s="1">
        <v>492.0</v>
      </c>
      <c r="B3907" s="1">
        <v>5727958.0</v>
      </c>
      <c r="C3907" s="1">
        <v>2.4505644E7</v>
      </c>
      <c r="D3907" s="1" t="s">
        <v>4723</v>
      </c>
    </row>
    <row r="3908">
      <c r="A3908" s="1">
        <v>257.0</v>
      </c>
      <c r="B3908" s="1">
        <v>5727594.0</v>
      </c>
      <c r="C3908" s="1">
        <v>2.4490803E7</v>
      </c>
      <c r="D3908" s="1" t="s">
        <v>342</v>
      </c>
    </row>
    <row r="3909">
      <c r="A3909" s="1">
        <v>564.0</v>
      </c>
      <c r="B3909" s="1">
        <v>5721052.0</v>
      </c>
      <c r="C3909" s="1">
        <v>2.4567067E7</v>
      </c>
      <c r="D3909" s="1" t="s">
        <v>1700</v>
      </c>
    </row>
    <row r="3910">
      <c r="A3910" s="1">
        <v>671.0</v>
      </c>
      <c r="B3910" s="1">
        <v>5703619.0</v>
      </c>
      <c r="C3910" s="1">
        <v>2.4423075E7</v>
      </c>
      <c r="D3910" s="1" t="s">
        <v>2781</v>
      </c>
    </row>
    <row r="3911">
      <c r="A3911" s="1">
        <v>395.0</v>
      </c>
      <c r="B3911" s="1">
        <v>5694654.0</v>
      </c>
      <c r="C3911" s="1">
        <v>2.4414909E7</v>
      </c>
      <c r="D3911" s="1" t="s">
        <v>4725</v>
      </c>
    </row>
    <row r="3912">
      <c r="A3912" s="1">
        <v>609.0</v>
      </c>
      <c r="B3912" s="1">
        <v>5691332.0</v>
      </c>
      <c r="C3912" s="1">
        <v>2.4335538E7</v>
      </c>
      <c r="D3912" s="1" t="s">
        <v>1940</v>
      </c>
    </row>
    <row r="3913">
      <c r="A3913" s="1">
        <v>671.0</v>
      </c>
      <c r="B3913" s="1">
        <v>5673674.0</v>
      </c>
      <c r="C3913" s="1">
        <v>2.4264128E7</v>
      </c>
      <c r="D3913" s="1" t="s">
        <v>4727</v>
      </c>
    </row>
    <row r="3914">
      <c r="A3914" s="1">
        <v>401.0</v>
      </c>
      <c r="B3914" s="1">
        <v>5670869.0</v>
      </c>
      <c r="C3914" s="1">
        <v>2.8687582E7</v>
      </c>
      <c r="D3914" s="1" t="s">
        <v>4728</v>
      </c>
    </row>
    <row r="3915">
      <c r="A3915" s="1">
        <v>676.0</v>
      </c>
      <c r="B3915" s="1">
        <v>5657457.0</v>
      </c>
      <c r="C3915" s="1">
        <v>2.4188729E7</v>
      </c>
      <c r="D3915" s="1" t="s">
        <v>492</v>
      </c>
    </row>
    <row r="3916">
      <c r="A3916" s="1">
        <v>392.0</v>
      </c>
      <c r="B3916" s="1">
        <v>5640549.0</v>
      </c>
      <c r="C3916" s="1">
        <v>1.17019019E8</v>
      </c>
      <c r="D3916" s="1" t="s">
        <v>4729</v>
      </c>
    </row>
    <row r="3917">
      <c r="A3917" s="1">
        <v>571.0</v>
      </c>
      <c r="B3917" s="1">
        <v>5634465.0</v>
      </c>
      <c r="C3917" s="1">
        <v>2.418914E7</v>
      </c>
      <c r="D3917" s="1" t="s">
        <v>1228</v>
      </c>
    </row>
    <row r="3918">
      <c r="A3918" s="1">
        <v>713.0</v>
      </c>
      <c r="B3918" s="1">
        <v>5627229.0</v>
      </c>
      <c r="C3918" s="1">
        <v>2.4118413E7</v>
      </c>
      <c r="D3918" s="1" t="s">
        <v>4730</v>
      </c>
    </row>
    <row r="3919">
      <c r="A3919" s="1">
        <v>504.0</v>
      </c>
      <c r="B3919" s="1">
        <v>5613552.0</v>
      </c>
      <c r="C3919" s="1">
        <v>2.4033776E7</v>
      </c>
      <c r="D3919" s="1" t="s">
        <v>4731</v>
      </c>
    </row>
    <row r="3920">
      <c r="A3920" s="1">
        <v>715.0</v>
      </c>
      <c r="B3920" s="1">
        <v>5613448.0</v>
      </c>
      <c r="C3920" s="1">
        <v>5.6657434E7</v>
      </c>
      <c r="D3920" s="1" t="s">
        <v>1894</v>
      </c>
    </row>
    <row r="3921">
      <c r="A3921" s="1">
        <v>337.0</v>
      </c>
      <c r="B3921" s="1">
        <v>5599262.0</v>
      </c>
      <c r="C3921" s="1">
        <v>2.3970644E7</v>
      </c>
      <c r="D3921" s="1" t="s">
        <v>4732</v>
      </c>
    </row>
    <row r="3922">
      <c r="A3922" s="1">
        <v>405.0</v>
      </c>
      <c r="B3922" s="1">
        <v>5595295.0</v>
      </c>
      <c r="C3922" s="1">
        <v>2.3974251E7</v>
      </c>
      <c r="D3922" s="1" t="s">
        <v>4733</v>
      </c>
    </row>
    <row r="3923">
      <c r="A3923" s="1">
        <v>609.0</v>
      </c>
      <c r="B3923" s="1">
        <v>5585266.0</v>
      </c>
      <c r="C3923" s="1">
        <v>2.3897944E7</v>
      </c>
      <c r="D3923" s="1" t="s">
        <v>3387</v>
      </c>
    </row>
    <row r="3924">
      <c r="A3924" s="1">
        <v>488.0</v>
      </c>
      <c r="B3924" s="1">
        <v>5576786.0</v>
      </c>
      <c r="C3924" s="1">
        <v>2.3908925E7</v>
      </c>
      <c r="D3924" s="1" t="s">
        <v>4734</v>
      </c>
    </row>
    <row r="3925">
      <c r="A3925" s="1">
        <v>609.0</v>
      </c>
      <c r="B3925" s="1">
        <v>5561646.0</v>
      </c>
      <c r="C3925" s="1">
        <v>2.3821174E7</v>
      </c>
      <c r="D3925" s="1" t="s">
        <v>2368</v>
      </c>
    </row>
    <row r="3926">
      <c r="A3926" s="1">
        <v>663.0</v>
      </c>
      <c r="B3926" s="1">
        <v>5556381.0</v>
      </c>
      <c r="C3926" s="1">
        <v>2.3758824E7</v>
      </c>
      <c r="D3926" s="1" t="s">
        <v>1522</v>
      </c>
    </row>
    <row r="3927">
      <c r="A3927" s="1">
        <v>609.0</v>
      </c>
      <c r="B3927" s="1">
        <v>5553888.0</v>
      </c>
      <c r="C3927" s="1">
        <v>2.3746114E7</v>
      </c>
      <c r="D3927" s="1" t="s">
        <v>4735</v>
      </c>
    </row>
    <row r="3928">
      <c r="A3928" s="1">
        <v>414.0</v>
      </c>
      <c r="B3928" s="1">
        <v>5544991.0</v>
      </c>
      <c r="C3928" s="1">
        <v>4.15593176E8</v>
      </c>
      <c r="D3928" s="1" t="s">
        <v>3855</v>
      </c>
    </row>
    <row r="3929">
      <c r="A3929" s="1">
        <v>394.0</v>
      </c>
      <c r="B3929" s="1">
        <v>5541008.0</v>
      </c>
      <c r="C3929" s="1">
        <v>2.3675919E7</v>
      </c>
      <c r="D3929" s="1" t="s">
        <v>1393</v>
      </c>
    </row>
    <row r="3930">
      <c r="A3930" s="1">
        <v>609.0</v>
      </c>
      <c r="B3930" s="1">
        <v>5529525.0</v>
      </c>
      <c r="C3930" s="1">
        <v>2.3683963E7</v>
      </c>
      <c r="D3930" s="1" t="s">
        <v>1307</v>
      </c>
    </row>
    <row r="3931">
      <c r="A3931" s="1">
        <v>676.0</v>
      </c>
      <c r="B3931" s="1">
        <v>5520296.0</v>
      </c>
      <c r="C3931" s="1">
        <v>2.3601658E7</v>
      </c>
      <c r="D3931" s="1" t="s">
        <v>1569</v>
      </c>
    </row>
    <row r="3932">
      <c r="A3932" s="1">
        <v>644.0</v>
      </c>
      <c r="B3932" s="1">
        <v>5517831.0</v>
      </c>
      <c r="C3932" s="1">
        <v>1.96310318E8</v>
      </c>
      <c r="D3932" s="17" t="s">
        <v>1365</v>
      </c>
    </row>
    <row r="3933">
      <c r="A3933" s="1">
        <v>120.0</v>
      </c>
      <c r="B3933" s="1">
        <v>5512213.0</v>
      </c>
      <c r="C3933" s="1">
        <v>2.3611498E7</v>
      </c>
      <c r="D3933" s="1" t="s">
        <v>4578</v>
      </c>
    </row>
    <row r="3934">
      <c r="A3934" s="1">
        <v>503.0</v>
      </c>
      <c r="B3934" s="1">
        <v>5507348.0</v>
      </c>
      <c r="C3934" s="1">
        <v>2.3625516E7</v>
      </c>
      <c r="D3934" s="1" t="s">
        <v>3003</v>
      </c>
    </row>
    <row r="3935">
      <c r="A3935" s="1">
        <v>571.0</v>
      </c>
      <c r="B3935" s="1">
        <v>5504420.0</v>
      </c>
      <c r="C3935" s="1">
        <v>3.14556274E8</v>
      </c>
      <c r="D3935" s="1" t="s">
        <v>1762</v>
      </c>
    </row>
    <row r="3936">
      <c r="A3936" s="1">
        <v>564.0</v>
      </c>
      <c r="B3936" s="1">
        <v>5500553.0</v>
      </c>
      <c r="C3936" s="1">
        <v>3.4544217E7</v>
      </c>
      <c r="D3936" s="1" t="s">
        <v>4737</v>
      </c>
    </row>
    <row r="3937">
      <c r="A3937" s="1">
        <v>571.0</v>
      </c>
      <c r="B3937" s="1">
        <v>5499732.0</v>
      </c>
      <c r="C3937" s="1">
        <v>2.07212788E8</v>
      </c>
      <c r="D3937" s="1" t="s">
        <v>4273</v>
      </c>
    </row>
    <row r="3938">
      <c r="A3938" s="1">
        <v>475.0</v>
      </c>
      <c r="B3938" s="1">
        <v>5493574.0</v>
      </c>
      <c r="C3938" s="1">
        <v>2.3531535E7</v>
      </c>
      <c r="D3938" s="1" t="s">
        <v>4739</v>
      </c>
    </row>
    <row r="3939">
      <c r="A3939" s="1">
        <v>571.0</v>
      </c>
      <c r="B3939" s="1">
        <v>5485134.0</v>
      </c>
      <c r="C3939" s="1">
        <v>3.12575947E8</v>
      </c>
      <c r="D3939" s="1" t="s">
        <v>2376</v>
      </c>
    </row>
    <row r="3940">
      <c r="A3940" s="1">
        <v>380.0</v>
      </c>
      <c r="B3940" s="1">
        <v>5473814.0</v>
      </c>
      <c r="C3940" s="1">
        <v>2.3409173E7</v>
      </c>
      <c r="D3940" s="1" t="s">
        <v>4740</v>
      </c>
    </row>
    <row r="3941">
      <c r="A3941" s="1">
        <v>380.0</v>
      </c>
      <c r="B3941" s="1">
        <v>5471496.0</v>
      </c>
      <c r="C3941" s="1">
        <v>2.3393742E7</v>
      </c>
      <c r="D3941" s="1" t="s">
        <v>2255</v>
      </c>
    </row>
    <row r="3942">
      <c r="A3942" s="1">
        <v>481.0</v>
      </c>
      <c r="B3942" s="1">
        <v>5463011.0</v>
      </c>
      <c r="C3942" s="1">
        <v>2.3389026E7</v>
      </c>
      <c r="D3942" s="1" t="s">
        <v>223</v>
      </c>
    </row>
    <row r="3943">
      <c r="A3943" s="1">
        <v>641.0</v>
      </c>
      <c r="B3943" s="1">
        <v>5462209.0</v>
      </c>
      <c r="C3943" s="1">
        <v>2.3396604E7</v>
      </c>
      <c r="D3943" s="1" t="s">
        <v>4742</v>
      </c>
    </row>
    <row r="3944">
      <c r="A3944" s="1">
        <v>353.0</v>
      </c>
      <c r="B3944" s="1">
        <v>5455811.0</v>
      </c>
      <c r="C3944" s="1">
        <v>5.374151E7</v>
      </c>
      <c r="D3944" s="1" t="s">
        <v>4743</v>
      </c>
    </row>
    <row r="3945">
      <c r="A3945" s="1">
        <v>531.0</v>
      </c>
      <c r="B3945" s="1">
        <v>5451444.0</v>
      </c>
      <c r="C3945" s="1">
        <v>2.3324079E7</v>
      </c>
      <c r="D3945" s="1" t="s">
        <v>4744</v>
      </c>
    </row>
    <row r="3946">
      <c r="A3946" s="1">
        <v>667.0</v>
      </c>
      <c r="B3946" s="1">
        <v>5448108.0</v>
      </c>
      <c r="C3946" s="1">
        <v>2.3312847E7</v>
      </c>
      <c r="D3946" s="1" t="s">
        <v>4044</v>
      </c>
    </row>
    <row r="3947">
      <c r="A3947" s="1">
        <v>379.0</v>
      </c>
      <c r="B3947" s="1">
        <v>5444627.0</v>
      </c>
      <c r="C3947" s="1">
        <v>2.3242244E7</v>
      </c>
      <c r="D3947" s="1" t="s">
        <v>4745</v>
      </c>
    </row>
    <row r="3948">
      <c r="A3948" s="1">
        <v>228.0</v>
      </c>
      <c r="B3948" s="1">
        <v>5441958.0</v>
      </c>
      <c r="C3948" s="1">
        <v>2.3263545E7</v>
      </c>
      <c r="D3948" s="1" t="s">
        <v>4746</v>
      </c>
    </row>
    <row r="3949">
      <c r="A3949" s="1">
        <v>609.0</v>
      </c>
      <c r="B3949" s="1">
        <v>5426839.0</v>
      </c>
      <c r="C3949" s="1">
        <v>2.3186393E7</v>
      </c>
      <c r="D3949" s="1" t="s">
        <v>2912</v>
      </c>
    </row>
    <row r="3950">
      <c r="A3950" s="1">
        <v>414.0</v>
      </c>
      <c r="B3950" s="1">
        <v>5411800.0</v>
      </c>
      <c r="C3950" s="1">
        <v>2.313171E7</v>
      </c>
      <c r="D3950" s="1" t="s">
        <v>2545</v>
      </c>
    </row>
    <row r="3951">
      <c r="A3951" s="1">
        <v>677.0</v>
      </c>
      <c r="B3951" s="1">
        <v>5408442.0</v>
      </c>
      <c r="C3951" s="1">
        <v>2.3121944E7</v>
      </c>
      <c r="D3951" s="1" t="s">
        <v>4460</v>
      </c>
    </row>
    <row r="3952">
      <c r="A3952" s="1">
        <v>492.0</v>
      </c>
      <c r="B3952" s="1">
        <v>5399052.0</v>
      </c>
      <c r="C3952" s="1">
        <v>2.3062375E7</v>
      </c>
      <c r="D3952" s="1" t="s">
        <v>2656</v>
      </c>
    </row>
    <row r="3953">
      <c r="A3953" s="1">
        <v>380.0</v>
      </c>
      <c r="B3953" s="1">
        <v>5390344.0</v>
      </c>
      <c r="C3953" s="1">
        <v>2.3060099E7</v>
      </c>
      <c r="D3953" s="1" t="s">
        <v>3129</v>
      </c>
    </row>
    <row r="3954">
      <c r="A3954" s="1">
        <v>569.0</v>
      </c>
      <c r="B3954" s="1">
        <v>5381943.0</v>
      </c>
      <c r="C3954" s="1">
        <v>2.2991322E7</v>
      </c>
      <c r="D3954" s="1" t="s">
        <v>4747</v>
      </c>
    </row>
    <row r="3955">
      <c r="A3955" s="1">
        <v>526.0</v>
      </c>
      <c r="B3955" s="1">
        <v>5378972.0</v>
      </c>
      <c r="C3955" s="1">
        <v>5.414086E7</v>
      </c>
      <c r="D3955" s="1" t="s">
        <v>4748</v>
      </c>
    </row>
    <row r="3956">
      <c r="A3956" s="1">
        <v>492.0</v>
      </c>
      <c r="B3956" s="1">
        <v>5378915.0</v>
      </c>
      <c r="C3956" s="1">
        <v>2.2994871E7</v>
      </c>
      <c r="D3956" s="1" t="s">
        <v>3189</v>
      </c>
    </row>
    <row r="3957">
      <c r="A3957" s="1">
        <v>610.0</v>
      </c>
      <c r="B3957" s="1">
        <v>5373531.0</v>
      </c>
      <c r="C3957" s="1">
        <v>2.2985115E7</v>
      </c>
      <c r="D3957" s="1" t="s">
        <v>4749</v>
      </c>
    </row>
    <row r="3958">
      <c r="A3958" s="1">
        <v>481.0</v>
      </c>
      <c r="B3958" s="1">
        <v>5366892.0</v>
      </c>
      <c r="C3958" s="1">
        <v>2.2922815E7</v>
      </c>
      <c r="D3958" s="1" t="s">
        <v>754</v>
      </c>
    </row>
    <row r="3959">
      <c r="A3959" s="1">
        <v>244.0</v>
      </c>
      <c r="B3959" s="1">
        <v>5363431.0</v>
      </c>
      <c r="C3959" s="1">
        <v>2.2924657E7</v>
      </c>
      <c r="D3959" s="1" t="s">
        <v>477</v>
      </c>
    </row>
    <row r="3960">
      <c r="A3960" s="1">
        <v>609.0</v>
      </c>
      <c r="B3960" s="1">
        <v>5361342.0</v>
      </c>
      <c r="C3960" s="1">
        <v>2.2930995E7</v>
      </c>
      <c r="D3960" s="1" t="s">
        <v>4752</v>
      </c>
    </row>
    <row r="3961">
      <c r="A3961" s="1">
        <v>285.0</v>
      </c>
      <c r="B3961" s="1">
        <v>5360376.0</v>
      </c>
      <c r="C3961" s="1">
        <v>2.2916291E7</v>
      </c>
      <c r="D3961" s="1" t="s">
        <v>3400</v>
      </c>
    </row>
    <row r="3962">
      <c r="A3962" s="1">
        <v>609.0</v>
      </c>
      <c r="B3962" s="1">
        <v>5346780.0</v>
      </c>
      <c r="C3962" s="1">
        <v>2.2927039E7</v>
      </c>
      <c r="D3962" s="1" t="s">
        <v>592</v>
      </c>
    </row>
    <row r="3963">
      <c r="A3963" s="1">
        <v>365.0</v>
      </c>
      <c r="B3963" s="1">
        <v>5345839.0</v>
      </c>
      <c r="C3963" s="1">
        <v>2.2859309E7</v>
      </c>
      <c r="D3963" s="1" t="s">
        <v>4357</v>
      </c>
    </row>
    <row r="3964">
      <c r="A3964" s="1">
        <v>392.0</v>
      </c>
      <c r="B3964" s="1">
        <v>5314263.0</v>
      </c>
      <c r="C3964" s="1">
        <v>2.2686844E7</v>
      </c>
      <c r="D3964" s="1" t="s">
        <v>4753</v>
      </c>
    </row>
    <row r="3965">
      <c r="A3965" s="1">
        <v>602.0</v>
      </c>
      <c r="B3965" s="1">
        <v>5309810.0</v>
      </c>
      <c r="C3965" s="1">
        <v>2.274084E7</v>
      </c>
      <c r="D3965" s="1" t="s">
        <v>4754</v>
      </c>
    </row>
    <row r="3966">
      <c r="A3966" s="1">
        <v>578.0</v>
      </c>
      <c r="B3966" s="1">
        <v>5307857.0</v>
      </c>
      <c r="C3966" s="1">
        <v>2.268213E7</v>
      </c>
      <c r="D3966" s="1" t="s">
        <v>4756</v>
      </c>
    </row>
    <row r="3967">
      <c r="A3967" s="1">
        <v>673.0</v>
      </c>
      <c r="B3967" s="1">
        <v>5304751.0</v>
      </c>
      <c r="C3967" s="1">
        <v>2.2634736E7</v>
      </c>
      <c r="D3967" s="1" t="s">
        <v>4757</v>
      </c>
    </row>
    <row r="3968">
      <c r="A3968" s="1">
        <v>403.0</v>
      </c>
      <c r="B3968" s="1">
        <v>5302378.0</v>
      </c>
      <c r="C3968" s="1">
        <v>2.2626053E7</v>
      </c>
      <c r="D3968" s="1" t="s">
        <v>4758</v>
      </c>
    </row>
    <row r="3969">
      <c r="A3969" s="1">
        <v>395.0</v>
      </c>
      <c r="B3969" s="1">
        <v>5294987.0</v>
      </c>
      <c r="C3969" s="1">
        <v>2.2630837E7</v>
      </c>
      <c r="D3969" s="1" t="s">
        <v>4759</v>
      </c>
    </row>
    <row r="3970">
      <c r="A3970" s="1">
        <v>676.0</v>
      </c>
      <c r="B3970" s="1">
        <v>5292110.0</v>
      </c>
      <c r="C3970" s="1">
        <v>2.2588596E7</v>
      </c>
      <c r="D3970" s="1" t="s">
        <v>4760</v>
      </c>
    </row>
    <row r="3971">
      <c r="A3971" s="1">
        <v>571.0</v>
      </c>
      <c r="B3971" s="1">
        <v>5291388.0</v>
      </c>
      <c r="C3971" s="1">
        <v>2.2575979E7</v>
      </c>
      <c r="D3971" s="1" t="s">
        <v>4554</v>
      </c>
    </row>
    <row r="3972">
      <c r="A3972" s="1">
        <v>602.0</v>
      </c>
      <c r="B3972" s="1">
        <v>5288241.0</v>
      </c>
      <c r="C3972" s="1">
        <v>2.2572974E7</v>
      </c>
      <c r="D3972" s="1" t="s">
        <v>127</v>
      </c>
    </row>
    <row r="3973">
      <c r="A3973" s="1">
        <v>671.0</v>
      </c>
      <c r="B3973" s="1">
        <v>5287243.0</v>
      </c>
      <c r="C3973" s="1">
        <v>2.2595191E7</v>
      </c>
      <c r="D3973" s="1" t="s">
        <v>4203</v>
      </c>
    </row>
    <row r="3974">
      <c r="A3974" s="1">
        <v>247.0</v>
      </c>
      <c r="B3974" s="1">
        <v>5282219.0</v>
      </c>
      <c r="C3974" s="1">
        <v>2.2739905E7</v>
      </c>
      <c r="D3974" s="1" t="s">
        <v>4763</v>
      </c>
    </row>
    <row r="3975">
      <c r="A3975" s="1">
        <v>531.0</v>
      </c>
      <c r="B3975" s="1">
        <v>5275810.0</v>
      </c>
      <c r="C3975" s="1">
        <v>2.2513063E7</v>
      </c>
      <c r="D3975" s="1" t="s">
        <v>4312</v>
      </c>
    </row>
    <row r="3976">
      <c r="A3976" s="1">
        <v>609.0</v>
      </c>
      <c r="B3976" s="1">
        <v>5274825.0</v>
      </c>
      <c r="C3976" s="1">
        <v>2.26433E7</v>
      </c>
      <c r="D3976" s="1" t="s">
        <v>714</v>
      </c>
    </row>
    <row r="3977">
      <c r="A3977" s="1">
        <v>403.0</v>
      </c>
      <c r="B3977" s="1">
        <v>5271988.0</v>
      </c>
      <c r="C3977" s="1">
        <v>2.249696E7</v>
      </c>
      <c r="D3977" s="1" t="s">
        <v>2651</v>
      </c>
    </row>
    <row r="3978">
      <c r="A3978" s="1">
        <v>403.0</v>
      </c>
      <c r="B3978" s="1">
        <v>5268787.0</v>
      </c>
      <c r="C3978" s="1">
        <v>3.9218701E7</v>
      </c>
      <c r="D3978" s="1" t="s">
        <v>4764</v>
      </c>
    </row>
    <row r="3979">
      <c r="A3979" s="1">
        <v>244.0</v>
      </c>
      <c r="B3979" s="1">
        <v>5265676.0</v>
      </c>
      <c r="C3979" s="1">
        <v>2.2494623E7</v>
      </c>
      <c r="D3979" s="1" t="s">
        <v>4765</v>
      </c>
    </row>
    <row r="3980">
      <c r="A3980" s="1">
        <v>602.0</v>
      </c>
      <c r="B3980" s="1">
        <v>5261846.0</v>
      </c>
      <c r="C3980" s="1">
        <v>4.10447291E8</v>
      </c>
      <c r="D3980" s="1" t="s">
        <v>4766</v>
      </c>
    </row>
    <row r="3981">
      <c r="A3981" s="1">
        <v>641.0</v>
      </c>
      <c r="B3981" s="1">
        <v>5259480.0</v>
      </c>
      <c r="C3981" s="1">
        <v>2.2501236E7</v>
      </c>
      <c r="D3981" s="1" t="s">
        <v>4768</v>
      </c>
    </row>
    <row r="3982">
      <c r="A3982" s="1">
        <v>609.0</v>
      </c>
      <c r="B3982" s="1">
        <v>5256625.0</v>
      </c>
      <c r="C3982" s="1">
        <v>2.2423699E7</v>
      </c>
      <c r="D3982" s="1" t="s">
        <v>4295</v>
      </c>
    </row>
    <row r="3983">
      <c r="A3983" s="1">
        <v>602.0</v>
      </c>
      <c r="B3983" s="1">
        <v>5233017.0</v>
      </c>
      <c r="C3983" s="1">
        <v>2.2353342E7</v>
      </c>
      <c r="D3983" s="1" t="s">
        <v>4770</v>
      </c>
    </row>
    <row r="3984">
      <c r="A3984" s="1">
        <v>596.0</v>
      </c>
      <c r="B3984" s="1">
        <v>5230651.0</v>
      </c>
      <c r="C3984" s="1">
        <v>5.8885907E7</v>
      </c>
      <c r="D3984" s="1" t="s">
        <v>783</v>
      </c>
    </row>
    <row r="3985">
      <c r="A3985" s="1">
        <v>673.0</v>
      </c>
      <c r="B3985" s="1">
        <v>5227512.0</v>
      </c>
      <c r="C3985" s="1">
        <v>2.2274952E7</v>
      </c>
      <c r="D3985" s="1" t="s">
        <v>4773</v>
      </c>
    </row>
    <row r="3986">
      <c r="A3986" s="1">
        <v>403.0</v>
      </c>
      <c r="B3986" s="1">
        <v>5223493.0</v>
      </c>
      <c r="C3986" s="1">
        <v>2.2267629E7</v>
      </c>
      <c r="D3986" s="1" t="s">
        <v>4575</v>
      </c>
    </row>
    <row r="3987">
      <c r="A3987" s="1">
        <v>644.0</v>
      </c>
      <c r="B3987" s="1">
        <v>5216418.0</v>
      </c>
      <c r="C3987" s="1">
        <v>2.227334E7</v>
      </c>
      <c r="D3987" s="1" t="s">
        <v>826</v>
      </c>
    </row>
    <row r="3988">
      <c r="A3988" s="1">
        <v>320.0</v>
      </c>
      <c r="B3988" s="1">
        <v>5208206.0</v>
      </c>
      <c r="C3988" s="1">
        <v>2.2220808E7</v>
      </c>
      <c r="D3988" s="1" t="s">
        <v>4777</v>
      </c>
    </row>
    <row r="3989">
      <c r="A3989" s="1">
        <v>678.0</v>
      </c>
      <c r="B3989" s="1">
        <v>5207682.0</v>
      </c>
      <c r="C3989" s="1">
        <v>2.2203644E7</v>
      </c>
      <c r="D3989" s="1" t="s">
        <v>4779</v>
      </c>
    </row>
    <row r="3990">
      <c r="A3990" s="1">
        <v>671.0</v>
      </c>
      <c r="B3990" s="1">
        <v>5196016.0</v>
      </c>
      <c r="C3990" s="1">
        <v>2.214518E7</v>
      </c>
      <c r="D3990" s="1" t="s">
        <v>2453</v>
      </c>
    </row>
    <row r="3991">
      <c r="A3991" s="1">
        <v>671.0</v>
      </c>
      <c r="B3991" s="1">
        <v>5195620.0</v>
      </c>
      <c r="C3991" s="1">
        <v>2.2142771E7</v>
      </c>
      <c r="D3991" s="1" t="s">
        <v>2743</v>
      </c>
    </row>
    <row r="3992">
      <c r="A3992" s="1">
        <v>676.0</v>
      </c>
      <c r="B3992" s="1">
        <v>5193851.0</v>
      </c>
      <c r="C3992" s="1">
        <v>2.2140696E7</v>
      </c>
      <c r="D3992" s="1" t="s">
        <v>718</v>
      </c>
    </row>
    <row r="3993">
      <c r="A3993" s="1">
        <v>403.0</v>
      </c>
      <c r="B3993" s="1">
        <v>5193160.0</v>
      </c>
      <c r="C3993" s="1">
        <v>2.2130795E7</v>
      </c>
      <c r="D3993" s="1" t="s">
        <v>4477</v>
      </c>
    </row>
    <row r="3994">
      <c r="A3994" s="1">
        <v>573.0</v>
      </c>
      <c r="B3994" s="1">
        <v>5190767.0</v>
      </c>
      <c r="C3994" s="1">
        <v>2.2128877E7</v>
      </c>
      <c r="D3994" s="1" t="s">
        <v>2443</v>
      </c>
    </row>
    <row r="3995">
      <c r="A3995" s="1">
        <v>609.0</v>
      </c>
      <c r="B3995" s="1">
        <v>5184853.0</v>
      </c>
      <c r="C3995" s="1">
        <v>2.2087346E7</v>
      </c>
      <c r="D3995" s="1" t="s">
        <v>1529</v>
      </c>
    </row>
    <row r="3996">
      <c r="A3996" s="1">
        <v>215.0</v>
      </c>
      <c r="B3996" s="1">
        <v>5183744.0</v>
      </c>
      <c r="C3996" s="1">
        <v>2.2100141E7</v>
      </c>
      <c r="D3996" s="1" t="s">
        <v>4781</v>
      </c>
    </row>
    <row r="3997">
      <c r="A3997" s="1">
        <v>676.0</v>
      </c>
      <c r="B3997" s="1">
        <v>5182340.0</v>
      </c>
      <c r="C3997" s="1">
        <v>3.1311102E7</v>
      </c>
      <c r="D3997" s="1" t="s">
        <v>4782</v>
      </c>
    </row>
    <row r="3998">
      <c r="A3998" s="1">
        <v>716.0</v>
      </c>
      <c r="B3998" s="1">
        <v>5180036.0</v>
      </c>
      <c r="C3998" s="1">
        <v>5.2686598E7</v>
      </c>
      <c r="D3998" s="1" t="s">
        <v>4783</v>
      </c>
    </row>
    <row r="3999">
      <c r="A3999" s="1">
        <v>481.0</v>
      </c>
      <c r="B3999" s="1">
        <v>5178988.0</v>
      </c>
      <c r="C3999" s="1">
        <v>2.2089585E7</v>
      </c>
      <c r="D3999" s="1" t="s">
        <v>1102</v>
      </c>
    </row>
    <row r="4000">
      <c r="A4000" s="1">
        <v>578.0</v>
      </c>
      <c r="B4000" s="1">
        <v>5175381.0</v>
      </c>
      <c r="C4000" s="1">
        <v>2.2033524E7</v>
      </c>
      <c r="D4000" s="1" t="s">
        <v>3512</v>
      </c>
    </row>
    <row r="4001">
      <c r="A4001" s="1">
        <v>120.0</v>
      </c>
      <c r="B4001" s="1">
        <v>5174991.0</v>
      </c>
      <c r="C4001" s="1">
        <v>2.2036113E7</v>
      </c>
      <c r="D4001" s="1" t="s">
        <v>4784</v>
      </c>
    </row>
    <row r="4002">
      <c r="A4002" s="1">
        <v>609.0</v>
      </c>
      <c r="B4002" s="1">
        <v>5172812.0</v>
      </c>
      <c r="C4002" s="1">
        <v>2.2039055E7</v>
      </c>
      <c r="D4002" s="1" t="s">
        <v>4507</v>
      </c>
    </row>
    <row r="4003">
      <c r="A4003" s="1">
        <v>678.0</v>
      </c>
      <c r="B4003" s="1">
        <v>5169824.0</v>
      </c>
      <c r="C4003" s="1">
        <v>2.2032131E7</v>
      </c>
      <c r="D4003" s="1" t="s">
        <v>2740</v>
      </c>
    </row>
    <row r="4004">
      <c r="A4004" s="1">
        <v>120.0</v>
      </c>
      <c r="B4004" s="1">
        <v>5155760.0</v>
      </c>
      <c r="C4004" s="1">
        <v>2.1973605E7</v>
      </c>
      <c r="D4004" s="1" t="s">
        <v>4785</v>
      </c>
    </row>
    <row r="4005">
      <c r="A4005" s="1">
        <v>129.0</v>
      </c>
      <c r="B4005" s="1">
        <v>5154920.0</v>
      </c>
      <c r="C4005" s="1">
        <v>2.1970723E7</v>
      </c>
      <c r="D4005" s="1" t="s">
        <v>283</v>
      </c>
    </row>
    <row r="4006">
      <c r="A4006" s="1">
        <v>355.0</v>
      </c>
      <c r="B4006" s="1">
        <v>5147159.0</v>
      </c>
      <c r="C4006" s="1">
        <v>5.8063379E7</v>
      </c>
      <c r="D4006" s="1" t="s">
        <v>1742</v>
      </c>
    </row>
    <row r="4007">
      <c r="A4007" s="1">
        <v>403.0</v>
      </c>
      <c r="B4007" s="1">
        <v>5146256.0</v>
      </c>
      <c r="C4007" s="1">
        <v>2.190347E7</v>
      </c>
      <c r="D4007" s="1" t="s">
        <v>4717</v>
      </c>
    </row>
    <row r="4008">
      <c r="A4008" s="1">
        <v>321.0</v>
      </c>
      <c r="B4008" s="1">
        <v>5129210.0</v>
      </c>
      <c r="C4008" s="1">
        <v>2.185533E7</v>
      </c>
      <c r="D4008" s="1" t="s">
        <v>4786</v>
      </c>
    </row>
    <row r="4009">
      <c r="A4009" s="1">
        <v>403.0</v>
      </c>
      <c r="B4009" s="1">
        <v>5120739.0</v>
      </c>
      <c r="C4009" s="1">
        <v>2.1795436E7</v>
      </c>
      <c r="D4009" s="1" t="s">
        <v>3014</v>
      </c>
    </row>
    <row r="4010">
      <c r="A4010" s="1">
        <v>120.0</v>
      </c>
      <c r="B4010" s="1">
        <v>5114748.0</v>
      </c>
      <c r="C4010" s="1">
        <v>2.1800677E7</v>
      </c>
      <c r="D4010" s="1" t="s">
        <v>4787</v>
      </c>
    </row>
    <row r="4011">
      <c r="A4011" s="1">
        <v>481.0</v>
      </c>
      <c r="B4011" s="1">
        <v>5096463.0</v>
      </c>
      <c r="C4011" s="1">
        <v>2.1657308E7</v>
      </c>
      <c r="D4011" s="1" t="s">
        <v>4788</v>
      </c>
    </row>
    <row r="4012">
      <c r="A4012" s="1">
        <v>380.0</v>
      </c>
      <c r="B4012" s="1">
        <v>5093789.0</v>
      </c>
      <c r="C4012" s="1">
        <v>2.166653E7</v>
      </c>
      <c r="D4012" s="1" t="s">
        <v>1722</v>
      </c>
    </row>
    <row r="4013">
      <c r="A4013" s="1">
        <v>225.0</v>
      </c>
      <c r="B4013" s="1">
        <v>5090084.0</v>
      </c>
      <c r="C4013" s="1">
        <v>2.1693488E7</v>
      </c>
      <c r="D4013" s="1" t="s">
        <v>1065</v>
      </c>
    </row>
    <row r="4014">
      <c r="A4014" s="1">
        <v>244.0</v>
      </c>
      <c r="B4014" s="1">
        <v>5089223.0</v>
      </c>
      <c r="C4014" s="1">
        <v>2.1657472E7</v>
      </c>
      <c r="D4014" s="1" t="s">
        <v>4789</v>
      </c>
    </row>
    <row r="4015">
      <c r="A4015" s="1">
        <v>488.0</v>
      </c>
      <c r="B4015" s="1">
        <v>5087068.0</v>
      </c>
      <c r="C4015" s="1">
        <v>2.1664493E7</v>
      </c>
      <c r="D4015" s="1" t="s">
        <v>3441</v>
      </c>
    </row>
    <row r="4016">
      <c r="A4016" s="1">
        <v>410.0</v>
      </c>
      <c r="B4016" s="1">
        <v>5086654.0</v>
      </c>
      <c r="C4016" s="1">
        <v>2.1680406E7</v>
      </c>
      <c r="D4016" s="1" t="s">
        <v>3853</v>
      </c>
    </row>
    <row r="4017">
      <c r="A4017" s="1">
        <v>392.0</v>
      </c>
      <c r="B4017" s="1">
        <v>5079330.0</v>
      </c>
      <c r="C4017" s="1">
        <v>2.1583338E7</v>
      </c>
      <c r="D4017" s="1" t="s">
        <v>4790</v>
      </c>
    </row>
    <row r="4018">
      <c r="A4018" s="1">
        <v>285.0</v>
      </c>
      <c r="B4018" s="1">
        <v>5076920.0</v>
      </c>
      <c r="C4018" s="1">
        <v>2.1576075E7</v>
      </c>
      <c r="D4018" s="1" t="s">
        <v>4320</v>
      </c>
    </row>
    <row r="4019">
      <c r="A4019" s="1">
        <v>525.0</v>
      </c>
      <c r="B4019" s="1">
        <v>5072487.0</v>
      </c>
      <c r="C4019" s="1">
        <v>2.1578353E7</v>
      </c>
      <c r="D4019" s="1" t="s">
        <v>748</v>
      </c>
    </row>
    <row r="4020">
      <c r="A4020" s="1">
        <v>244.0</v>
      </c>
      <c r="B4020" s="1">
        <v>5068784.0</v>
      </c>
      <c r="C4020" s="1">
        <v>2.157317E7</v>
      </c>
      <c r="D4020" s="1" t="s">
        <v>3850</v>
      </c>
    </row>
    <row r="4021">
      <c r="A4021" s="1">
        <v>395.0</v>
      </c>
      <c r="B4021" s="1">
        <v>5063075.0</v>
      </c>
      <c r="C4021" s="1">
        <v>2.1601523E7</v>
      </c>
      <c r="D4021" s="1" t="s">
        <v>4791</v>
      </c>
    </row>
    <row r="4022">
      <c r="A4022" s="1">
        <v>628.0</v>
      </c>
      <c r="B4022" s="1">
        <v>5057583.0</v>
      </c>
      <c r="C4022" s="1">
        <v>2.148886E7</v>
      </c>
      <c r="D4022" s="1" t="s">
        <v>4792</v>
      </c>
    </row>
    <row r="4023">
      <c r="A4023" s="1">
        <v>492.0</v>
      </c>
      <c r="B4023" s="1">
        <v>5056278.0</v>
      </c>
      <c r="C4023" s="1">
        <v>2.1502112E7</v>
      </c>
      <c r="D4023" s="1" t="s">
        <v>4793</v>
      </c>
    </row>
    <row r="4024">
      <c r="A4024" s="1">
        <v>503.0</v>
      </c>
      <c r="B4024" s="1">
        <v>5055557.0</v>
      </c>
      <c r="C4024" s="1">
        <v>2.159997E7</v>
      </c>
      <c r="D4024" s="1" t="s">
        <v>499</v>
      </c>
    </row>
    <row r="4025">
      <c r="A4025" s="1">
        <v>522.0</v>
      </c>
      <c r="B4025" s="1">
        <v>5053854.0</v>
      </c>
      <c r="C4025" s="1">
        <v>8.3775441E7</v>
      </c>
      <c r="D4025" s="1" t="s">
        <v>1184</v>
      </c>
    </row>
    <row r="4026">
      <c r="A4026" s="1">
        <v>353.0</v>
      </c>
      <c r="B4026" s="1">
        <v>5042587.0</v>
      </c>
      <c r="C4026" s="1">
        <v>2.1440703E7</v>
      </c>
      <c r="D4026" s="1" t="s">
        <v>627</v>
      </c>
    </row>
    <row r="4027">
      <c r="A4027" s="1">
        <v>492.0</v>
      </c>
      <c r="B4027" s="1">
        <v>5032474.0</v>
      </c>
      <c r="C4027" s="1">
        <v>2.1381621E7</v>
      </c>
      <c r="D4027" s="1" t="s">
        <v>1273</v>
      </c>
    </row>
    <row r="4028">
      <c r="A4028" s="1">
        <v>525.0</v>
      </c>
      <c r="B4028" s="1">
        <v>5030642.0</v>
      </c>
      <c r="C4028" s="1">
        <v>3.964885E7</v>
      </c>
      <c r="D4028" s="1" t="s">
        <v>3994</v>
      </c>
    </row>
    <row r="4029">
      <c r="A4029" s="1">
        <v>607.0</v>
      </c>
      <c r="B4029" s="1">
        <v>5025402.0</v>
      </c>
      <c r="C4029" s="1">
        <v>2.1376529E7</v>
      </c>
      <c r="D4029" s="1" t="s">
        <v>579</v>
      </c>
    </row>
    <row r="4030">
      <c r="A4030" s="1">
        <v>215.0</v>
      </c>
      <c r="B4030" s="1">
        <v>5012445.0</v>
      </c>
      <c r="C4030" s="1">
        <v>2.1388941E7</v>
      </c>
      <c r="D4030" s="1" t="s">
        <v>1310</v>
      </c>
    </row>
    <row r="4031">
      <c r="A4031" s="1">
        <v>378.0</v>
      </c>
      <c r="B4031" s="1">
        <v>5004272.0</v>
      </c>
      <c r="C4031" s="1">
        <v>2.1304862E7</v>
      </c>
      <c r="D4031" s="1" t="s">
        <v>279</v>
      </c>
    </row>
    <row r="4032">
      <c r="A4032" s="1">
        <v>671.0</v>
      </c>
      <c r="B4032" s="1">
        <v>4998756.0</v>
      </c>
      <c r="C4032" s="1">
        <v>2.4125647E7</v>
      </c>
      <c r="D4032" s="1" t="s">
        <v>295</v>
      </c>
    </row>
    <row r="4033">
      <c r="A4033" s="1">
        <v>503.0</v>
      </c>
      <c r="B4033" s="1">
        <v>4996027.0</v>
      </c>
      <c r="C4033" s="1">
        <v>2.1319925E7</v>
      </c>
      <c r="D4033" s="1" t="s">
        <v>4794</v>
      </c>
    </row>
    <row r="4034">
      <c r="A4034" s="1">
        <v>414.0</v>
      </c>
      <c r="B4034" s="1">
        <v>4992107.0</v>
      </c>
      <c r="C4034" s="1">
        <v>2.1231543E7</v>
      </c>
      <c r="D4034" s="1" t="s">
        <v>859</v>
      </c>
    </row>
    <row r="4035">
      <c r="A4035" s="1">
        <v>378.0</v>
      </c>
      <c r="B4035" s="1">
        <v>4991895.0</v>
      </c>
      <c r="C4035" s="1">
        <v>2.1237036E7</v>
      </c>
      <c r="D4035" s="1" t="s">
        <v>4656</v>
      </c>
    </row>
    <row r="4036">
      <c r="A4036" s="1">
        <v>392.0</v>
      </c>
      <c r="B4036" s="1">
        <v>4978888.0</v>
      </c>
      <c r="C4036" s="1">
        <v>2.1184036E7</v>
      </c>
      <c r="D4036" s="1" t="s">
        <v>4795</v>
      </c>
    </row>
    <row r="4037">
      <c r="A4037" s="1">
        <v>571.0</v>
      </c>
      <c r="B4037" s="1">
        <v>4975684.0</v>
      </c>
      <c r="C4037" s="1">
        <v>2.1168244E7</v>
      </c>
      <c r="D4037" s="1" t="s">
        <v>4796</v>
      </c>
    </row>
    <row r="4038">
      <c r="A4038" s="1">
        <v>609.0</v>
      </c>
      <c r="B4038" s="1">
        <v>4975365.0</v>
      </c>
      <c r="C4038" s="1">
        <v>2.1182083E7</v>
      </c>
      <c r="D4038" s="1" t="s">
        <v>4797</v>
      </c>
    </row>
    <row r="4039">
      <c r="A4039" s="1">
        <v>667.0</v>
      </c>
      <c r="B4039" s="1">
        <v>4966739.0</v>
      </c>
      <c r="C4039" s="1">
        <v>2.1090745E7</v>
      </c>
      <c r="D4039" s="1" t="s">
        <v>4798</v>
      </c>
    </row>
    <row r="4040">
      <c r="A4040" s="1">
        <v>492.0</v>
      </c>
      <c r="B4040" s="1">
        <v>4965752.0</v>
      </c>
      <c r="C4040" s="1">
        <v>2.1099112E7</v>
      </c>
      <c r="D4040" s="1" t="s">
        <v>4641</v>
      </c>
    </row>
    <row r="4041">
      <c r="A4041" s="1">
        <v>586.0</v>
      </c>
      <c r="B4041" s="1">
        <v>4943710.0</v>
      </c>
      <c r="C4041" s="1">
        <v>2.07403269E8</v>
      </c>
      <c r="D4041" s="1" t="s">
        <v>3848</v>
      </c>
    </row>
    <row r="4042">
      <c r="A4042" s="1">
        <v>602.0</v>
      </c>
      <c r="B4042" s="1">
        <v>4933115.0</v>
      </c>
      <c r="C4042" s="1">
        <v>2.099829E7</v>
      </c>
      <c r="D4042" s="1" t="s">
        <v>4360</v>
      </c>
    </row>
    <row r="4043">
      <c r="A4043" s="1">
        <v>353.0</v>
      </c>
      <c r="B4043" s="1">
        <v>4928539.0</v>
      </c>
      <c r="C4043" s="1">
        <v>2.0944986E7</v>
      </c>
      <c r="D4043" s="1" t="s">
        <v>4020</v>
      </c>
    </row>
    <row r="4044">
      <c r="A4044" s="1">
        <v>392.0</v>
      </c>
      <c r="B4044" s="1">
        <v>4927557.0</v>
      </c>
      <c r="C4044" s="1">
        <v>2.0940903E7</v>
      </c>
      <c r="D4044" s="1" t="s">
        <v>1583</v>
      </c>
    </row>
    <row r="4045">
      <c r="A4045" s="1">
        <v>458.0</v>
      </c>
      <c r="B4045" s="1">
        <v>4925389.0</v>
      </c>
      <c r="C4045" s="1">
        <v>2.094694E7</v>
      </c>
      <c r="D4045" s="1" t="s">
        <v>4799</v>
      </c>
    </row>
    <row r="4046">
      <c r="A4046" s="1">
        <v>644.0</v>
      </c>
      <c r="B4046" s="1">
        <v>4925009.0</v>
      </c>
      <c r="C4046" s="1">
        <v>2.0952176E7</v>
      </c>
      <c r="D4046" s="1" t="s">
        <v>3746</v>
      </c>
    </row>
    <row r="4047">
      <c r="A4047" s="1">
        <v>597.0</v>
      </c>
      <c r="B4047" s="1">
        <v>4915118.0</v>
      </c>
      <c r="C4047" s="1">
        <v>2.701303E7</v>
      </c>
      <c r="D4047" s="1" t="s">
        <v>300</v>
      </c>
    </row>
    <row r="4048">
      <c r="A4048" s="1">
        <v>142.0</v>
      </c>
      <c r="B4048" s="1">
        <v>4899538.0</v>
      </c>
      <c r="C4048" s="1">
        <v>2.0831402E7</v>
      </c>
      <c r="D4048" s="1" t="s">
        <v>1900</v>
      </c>
    </row>
    <row r="4049">
      <c r="A4049" s="1">
        <v>644.0</v>
      </c>
      <c r="B4049" s="1">
        <v>4887112.0</v>
      </c>
      <c r="C4049" s="1">
        <v>2.073684E7</v>
      </c>
      <c r="D4049" s="1" t="s">
        <v>635</v>
      </c>
    </row>
    <row r="4050">
      <c r="A4050" s="1">
        <v>667.0</v>
      </c>
      <c r="B4050" s="1">
        <v>4886020.0</v>
      </c>
      <c r="C4050" s="1">
        <v>2.0744092E7</v>
      </c>
      <c r="D4050" s="1" t="s">
        <v>1720</v>
      </c>
    </row>
    <row r="4051">
      <c r="A4051" s="1">
        <v>395.0</v>
      </c>
      <c r="B4051" s="1">
        <v>4874242.0</v>
      </c>
      <c r="C4051" s="1">
        <v>2.0739235E7</v>
      </c>
      <c r="D4051" s="1" t="s">
        <v>276</v>
      </c>
    </row>
    <row r="4052">
      <c r="A4052" s="1">
        <v>608.0</v>
      </c>
      <c r="B4052" s="1">
        <v>4872398.0</v>
      </c>
      <c r="C4052" s="1">
        <v>2.0702017E7</v>
      </c>
      <c r="D4052" s="1" t="s">
        <v>274</v>
      </c>
    </row>
    <row r="4053">
      <c r="A4053" s="1">
        <v>609.0</v>
      </c>
      <c r="B4053" s="1">
        <v>4871506.0</v>
      </c>
      <c r="C4053" s="1">
        <v>2.0758415E7</v>
      </c>
      <c r="D4053" s="1" t="s">
        <v>4800</v>
      </c>
    </row>
    <row r="4054">
      <c r="A4054" s="1">
        <v>673.0</v>
      </c>
      <c r="B4054" s="1">
        <v>4870305.0</v>
      </c>
      <c r="C4054" s="1">
        <v>4.2886753E7</v>
      </c>
      <c r="D4054" s="1" t="s">
        <v>4801</v>
      </c>
    </row>
    <row r="4055">
      <c r="A4055" s="1">
        <v>630.0</v>
      </c>
      <c r="B4055" s="1">
        <v>4868448.0</v>
      </c>
      <c r="C4055" s="1">
        <v>2.0768713E7</v>
      </c>
      <c r="D4055" s="1" t="s">
        <v>3405</v>
      </c>
    </row>
    <row r="4056">
      <c r="A4056" s="1">
        <v>501.0</v>
      </c>
      <c r="B4056" s="1">
        <v>4862365.0</v>
      </c>
      <c r="C4056" s="1">
        <v>2.0690536E7</v>
      </c>
      <c r="D4056" s="1" t="s">
        <v>272</v>
      </c>
    </row>
    <row r="4057">
      <c r="A4057" s="1">
        <v>696.0</v>
      </c>
      <c r="B4057" s="1">
        <v>4861123.0</v>
      </c>
      <c r="C4057" s="1">
        <v>2.0679631E7</v>
      </c>
      <c r="D4057" s="1" t="s">
        <v>3160</v>
      </c>
    </row>
    <row r="4058">
      <c r="A4058" s="1">
        <v>504.0</v>
      </c>
      <c r="B4058" s="1">
        <v>4856049.0</v>
      </c>
      <c r="C4058" s="1">
        <v>1.13337306E8</v>
      </c>
      <c r="D4058" s="1" t="s">
        <v>416</v>
      </c>
    </row>
    <row r="4059">
      <c r="A4059" s="1">
        <v>570.0</v>
      </c>
      <c r="B4059" s="1">
        <v>4850324.0</v>
      </c>
      <c r="C4059" s="1">
        <v>2.0607087E7</v>
      </c>
      <c r="D4059" s="1" t="s">
        <v>4741</v>
      </c>
    </row>
    <row r="4060">
      <c r="A4060" s="1">
        <v>578.0</v>
      </c>
      <c r="B4060" s="1">
        <v>4844470.0</v>
      </c>
      <c r="C4060" s="1">
        <v>2.0601189E7</v>
      </c>
      <c r="D4060" s="1" t="s">
        <v>3652</v>
      </c>
    </row>
    <row r="4061">
      <c r="A4061" s="1">
        <v>394.0</v>
      </c>
      <c r="B4061" s="1">
        <v>4814367.0</v>
      </c>
      <c r="C4061" s="1">
        <v>2.0458133E7</v>
      </c>
      <c r="D4061" s="1" t="s">
        <v>4802</v>
      </c>
    </row>
    <row r="4062">
      <c r="A4062" s="1">
        <v>55.0</v>
      </c>
      <c r="B4062" s="1">
        <v>4811552.0</v>
      </c>
      <c r="C4062" s="1">
        <v>2.0472073E7</v>
      </c>
      <c r="D4062" s="1" t="s">
        <v>1501</v>
      </c>
    </row>
    <row r="4063">
      <c r="A4063" s="1">
        <v>409.0</v>
      </c>
      <c r="B4063" s="1">
        <v>4809959.0</v>
      </c>
      <c r="C4063" s="1">
        <v>2.0461843E7</v>
      </c>
      <c r="D4063" s="1" t="s">
        <v>1676</v>
      </c>
    </row>
    <row r="4064">
      <c r="A4064" s="1">
        <v>481.0</v>
      </c>
      <c r="B4064" s="1">
        <v>4807541.0</v>
      </c>
      <c r="C4064" s="1">
        <v>2.0456177E7</v>
      </c>
      <c r="D4064" s="1" t="s">
        <v>4803</v>
      </c>
    </row>
    <row r="4065">
      <c r="A4065" s="1">
        <v>696.0</v>
      </c>
      <c r="B4065" s="1">
        <v>4795696.0</v>
      </c>
      <c r="C4065" s="1">
        <v>2.0396512E7</v>
      </c>
      <c r="D4065" s="1" t="s">
        <v>4804</v>
      </c>
    </row>
    <row r="4066">
      <c r="A4066" s="1">
        <v>680.0</v>
      </c>
      <c r="B4066" s="1">
        <v>4775714.0</v>
      </c>
      <c r="C4066" s="1">
        <v>2.0274055E7</v>
      </c>
      <c r="D4066" s="1" t="s">
        <v>1486</v>
      </c>
    </row>
    <row r="4067">
      <c r="A4067" s="1">
        <v>410.0</v>
      </c>
      <c r="B4067" s="1">
        <v>4772937.0</v>
      </c>
      <c r="C4067" s="1">
        <v>2.0287461E7</v>
      </c>
      <c r="D4067" s="1" t="s">
        <v>3011</v>
      </c>
    </row>
    <row r="4068">
      <c r="A4068" s="1">
        <v>571.0</v>
      </c>
      <c r="B4068" s="1">
        <v>4771799.0</v>
      </c>
      <c r="C4068" s="1">
        <v>2.0389392E7</v>
      </c>
      <c r="D4068" s="1" t="s">
        <v>4806</v>
      </c>
    </row>
    <row r="4069">
      <c r="A4069" s="1">
        <v>488.0</v>
      </c>
      <c r="B4069" s="1">
        <v>4763690.0</v>
      </c>
      <c r="C4069" s="1">
        <v>2.022792E7</v>
      </c>
      <c r="D4069" s="1" t="s">
        <v>139</v>
      </c>
    </row>
    <row r="4070">
      <c r="A4070" s="1">
        <v>698.0</v>
      </c>
      <c r="B4070" s="1">
        <v>4758147.0</v>
      </c>
      <c r="C4070" s="1">
        <v>2.0227629E7</v>
      </c>
      <c r="D4070" s="1" t="s">
        <v>4808</v>
      </c>
    </row>
    <row r="4071">
      <c r="A4071" s="1">
        <v>403.0</v>
      </c>
      <c r="B4071" s="1">
        <v>4747881.0</v>
      </c>
      <c r="C4071" s="1">
        <v>2.0160526E7</v>
      </c>
      <c r="D4071" s="1" t="s">
        <v>2007</v>
      </c>
    </row>
    <row r="4072">
      <c r="A4072" s="1">
        <v>696.0</v>
      </c>
      <c r="B4072" s="1">
        <v>4746948.0</v>
      </c>
      <c r="C4072" s="1">
        <v>2.0157587E7</v>
      </c>
      <c r="D4072" s="1" t="s">
        <v>2478</v>
      </c>
    </row>
    <row r="4073">
      <c r="A4073" s="1">
        <v>645.0</v>
      </c>
      <c r="B4073" s="1">
        <v>4744647.0</v>
      </c>
      <c r="C4073" s="1">
        <v>2.398249E7</v>
      </c>
      <c r="D4073" s="1" t="s">
        <v>4809</v>
      </c>
    </row>
    <row r="4074">
      <c r="A4074" s="1">
        <v>504.0</v>
      </c>
      <c r="B4074" s="1">
        <v>4741011.0</v>
      </c>
      <c r="C4074" s="1">
        <v>2.0155795E7</v>
      </c>
      <c r="D4074" s="1" t="s">
        <v>2323</v>
      </c>
    </row>
    <row r="4075">
      <c r="A4075" s="1">
        <v>665.0</v>
      </c>
      <c r="B4075" s="1">
        <v>4729661.0</v>
      </c>
      <c r="C4075" s="1">
        <v>2.010916E7</v>
      </c>
      <c r="D4075" s="1" t="s">
        <v>3845</v>
      </c>
    </row>
    <row r="4076">
      <c r="A4076" s="1">
        <v>285.0</v>
      </c>
      <c r="B4076" s="1">
        <v>4728310.0</v>
      </c>
      <c r="C4076" s="1">
        <v>2.0085105E7</v>
      </c>
      <c r="D4076" s="1" t="s">
        <v>3757</v>
      </c>
    </row>
    <row r="4077">
      <c r="A4077" s="1">
        <v>244.0</v>
      </c>
      <c r="B4077" s="1">
        <v>4723199.0</v>
      </c>
      <c r="C4077" s="1">
        <v>2.0033452E7</v>
      </c>
      <c r="D4077" s="1" t="s">
        <v>4679</v>
      </c>
    </row>
    <row r="4078">
      <c r="A4078" s="1">
        <v>715.0</v>
      </c>
      <c r="B4078" s="1">
        <v>4722272.0</v>
      </c>
      <c r="C4078" s="1">
        <v>2.8126257E7</v>
      </c>
      <c r="D4078" s="1" t="s">
        <v>4134</v>
      </c>
    </row>
    <row r="4079">
      <c r="A4079" s="1">
        <v>671.0</v>
      </c>
      <c r="B4079" s="1">
        <v>4712346.0</v>
      </c>
      <c r="C4079" s="1">
        <v>1.9984577E7</v>
      </c>
      <c r="D4079" s="1" t="s">
        <v>3805</v>
      </c>
    </row>
    <row r="4080">
      <c r="A4080" s="1">
        <v>503.0</v>
      </c>
      <c r="B4080" s="1">
        <v>4702807.0</v>
      </c>
      <c r="C4080" s="1">
        <v>1.9987761E7</v>
      </c>
      <c r="D4080" s="1" t="s">
        <v>3168</v>
      </c>
    </row>
    <row r="4081">
      <c r="A4081" s="1">
        <v>172.0</v>
      </c>
      <c r="B4081" s="1">
        <v>4701635.0</v>
      </c>
      <c r="C4081" s="1">
        <v>1.9937626E7</v>
      </c>
      <c r="D4081" s="1" t="s">
        <v>4810</v>
      </c>
    </row>
    <row r="4082">
      <c r="A4082" s="1">
        <v>142.0</v>
      </c>
      <c r="B4082" s="1">
        <v>4681358.0</v>
      </c>
      <c r="C4082" s="1">
        <v>1.9835369E7</v>
      </c>
      <c r="D4082" s="1" t="s">
        <v>4222</v>
      </c>
    </row>
    <row r="4083">
      <c r="A4083" s="1">
        <v>570.0</v>
      </c>
      <c r="B4083" s="1">
        <v>4673320.0</v>
      </c>
      <c r="C4083" s="1">
        <v>1.9824046E7</v>
      </c>
      <c r="D4083" s="1" t="s">
        <v>3053</v>
      </c>
    </row>
    <row r="4084">
      <c r="A4084" s="1">
        <v>656.0</v>
      </c>
      <c r="B4084" s="1">
        <v>4671700.0</v>
      </c>
      <c r="C4084" s="1">
        <v>1.9831367E7</v>
      </c>
      <c r="D4084" s="1" t="s">
        <v>4529</v>
      </c>
    </row>
    <row r="4085">
      <c r="A4085" s="1">
        <v>607.0</v>
      </c>
      <c r="B4085" s="1">
        <v>4661856.0</v>
      </c>
      <c r="C4085" s="1">
        <v>1.9792436E7</v>
      </c>
      <c r="D4085" s="1" t="s">
        <v>3484</v>
      </c>
    </row>
    <row r="4086">
      <c r="A4086" s="1">
        <v>671.0</v>
      </c>
      <c r="B4086" s="1">
        <v>4660728.0</v>
      </c>
      <c r="C4086" s="1">
        <v>1.9779827E7</v>
      </c>
      <c r="D4086" s="1" t="s">
        <v>4811</v>
      </c>
    </row>
    <row r="4087">
      <c r="A4087" s="1">
        <v>210.0</v>
      </c>
      <c r="B4087" s="1">
        <v>4641741.0</v>
      </c>
      <c r="C4087" s="1">
        <v>1.9695148E7</v>
      </c>
      <c r="D4087" s="1" t="s">
        <v>4812</v>
      </c>
    </row>
    <row r="4088">
      <c r="A4088" s="1">
        <v>244.0</v>
      </c>
      <c r="B4088" s="1">
        <v>4639524.0</v>
      </c>
      <c r="C4088" s="1">
        <v>1.9685686E7</v>
      </c>
      <c r="D4088" s="1" t="s">
        <v>4125</v>
      </c>
    </row>
    <row r="4089">
      <c r="A4089" s="1">
        <v>414.0</v>
      </c>
      <c r="B4089" s="1">
        <v>4634048.0</v>
      </c>
      <c r="C4089" s="1">
        <v>1.9622467E7</v>
      </c>
      <c r="D4089" s="1" t="s">
        <v>694</v>
      </c>
    </row>
    <row r="4090">
      <c r="A4090" s="1">
        <v>601.0</v>
      </c>
      <c r="B4090" s="1">
        <v>4625632.0</v>
      </c>
      <c r="C4090" s="1">
        <v>1.9638613E7</v>
      </c>
      <c r="D4090" s="1" t="s">
        <v>2032</v>
      </c>
    </row>
    <row r="4091">
      <c r="A4091" s="1">
        <v>456.0</v>
      </c>
      <c r="B4091" s="1">
        <v>4610151.0</v>
      </c>
      <c r="C4091" s="1">
        <v>5.270279E7</v>
      </c>
      <c r="D4091" s="1" t="s">
        <v>2621</v>
      </c>
    </row>
    <row r="4092">
      <c r="A4092" s="1">
        <v>194.0</v>
      </c>
      <c r="B4092" s="1">
        <v>4605494.0</v>
      </c>
      <c r="C4092" s="1">
        <v>1.9561852E7</v>
      </c>
      <c r="D4092" s="1" t="s">
        <v>4813</v>
      </c>
    </row>
    <row r="4093">
      <c r="A4093" s="1">
        <v>462.0</v>
      </c>
      <c r="B4093" s="1">
        <v>4603885.0</v>
      </c>
      <c r="C4093" s="1">
        <v>1.9508219E7</v>
      </c>
      <c r="D4093" s="1" t="s">
        <v>4814</v>
      </c>
    </row>
    <row r="4094">
      <c r="A4094" s="1">
        <v>665.0</v>
      </c>
      <c r="B4094" s="1">
        <v>4600991.0</v>
      </c>
      <c r="C4094" s="1">
        <v>1.9520956E7</v>
      </c>
      <c r="D4094" s="1" t="s">
        <v>4380</v>
      </c>
    </row>
    <row r="4095">
      <c r="A4095" s="1">
        <v>6.0</v>
      </c>
      <c r="B4095" s="1">
        <v>4593524.0</v>
      </c>
      <c r="C4095" s="1">
        <v>1.9506563E7</v>
      </c>
      <c r="D4095" s="1" t="s">
        <v>3754</v>
      </c>
    </row>
    <row r="4096">
      <c r="A4096" s="1">
        <v>673.0</v>
      </c>
      <c r="B4096" s="1">
        <v>4587170.0</v>
      </c>
      <c r="C4096" s="1">
        <v>2.1506816E7</v>
      </c>
      <c r="D4096" s="1" t="s">
        <v>278</v>
      </c>
    </row>
    <row r="4097">
      <c r="A4097" s="1">
        <v>285.0</v>
      </c>
      <c r="B4097" s="1">
        <v>4583448.0</v>
      </c>
      <c r="C4097" s="1">
        <v>1.9424057E7</v>
      </c>
      <c r="D4097" s="1" t="s">
        <v>3649</v>
      </c>
    </row>
    <row r="4098">
      <c r="A4098" s="1">
        <v>602.0</v>
      </c>
      <c r="B4098" s="1">
        <v>4578650.0</v>
      </c>
      <c r="C4098" s="1">
        <v>1.9416096E7</v>
      </c>
      <c r="D4098" s="1" t="s">
        <v>4815</v>
      </c>
    </row>
    <row r="4099">
      <c r="A4099" s="1">
        <v>680.0</v>
      </c>
      <c r="B4099" s="1">
        <v>4566534.0</v>
      </c>
      <c r="C4099" s="1">
        <v>1.9352328E7</v>
      </c>
      <c r="D4099" s="1" t="s">
        <v>4816</v>
      </c>
    </row>
    <row r="4100">
      <c r="A4100" s="1">
        <v>565.0</v>
      </c>
      <c r="B4100" s="1">
        <v>4564376.0</v>
      </c>
      <c r="C4100" s="1">
        <v>1.9563073E7</v>
      </c>
      <c r="D4100" s="1" t="s">
        <v>4817</v>
      </c>
    </row>
    <row r="4101">
      <c r="A4101" s="1">
        <v>661.0</v>
      </c>
      <c r="B4101" s="1">
        <v>4551195.0</v>
      </c>
      <c r="C4101" s="1">
        <v>3.58334852E8</v>
      </c>
      <c r="D4101" s="1" t="s">
        <v>2733</v>
      </c>
    </row>
    <row r="4102">
      <c r="A4102" s="1">
        <v>120.0</v>
      </c>
      <c r="B4102" s="1">
        <v>4543676.0</v>
      </c>
      <c r="C4102" s="1">
        <v>1.929285E7</v>
      </c>
      <c r="D4102" s="1" t="s">
        <v>4819</v>
      </c>
    </row>
    <row r="4103">
      <c r="A4103" s="1">
        <v>641.0</v>
      </c>
      <c r="B4103" s="1">
        <v>4541206.0</v>
      </c>
      <c r="C4103" s="1">
        <v>1.9288328E7</v>
      </c>
      <c r="D4103" s="1" t="s">
        <v>2266</v>
      </c>
    </row>
    <row r="4104">
      <c r="A4104" s="1">
        <v>602.0</v>
      </c>
      <c r="B4104" s="1">
        <v>4535420.0</v>
      </c>
      <c r="C4104" s="1">
        <v>2.33095683E8</v>
      </c>
      <c r="D4104" s="1" t="s">
        <v>4820</v>
      </c>
    </row>
    <row r="4105">
      <c r="A4105" s="1">
        <v>602.0</v>
      </c>
      <c r="B4105" s="1">
        <v>4531452.0</v>
      </c>
      <c r="C4105" s="1">
        <v>1.9197829E7</v>
      </c>
      <c r="D4105" s="1" t="s">
        <v>2654</v>
      </c>
    </row>
    <row r="4106">
      <c r="A4106" s="1">
        <v>403.0</v>
      </c>
      <c r="B4106" s="1">
        <v>4529865.0</v>
      </c>
      <c r="C4106" s="1">
        <v>1.9213255E7</v>
      </c>
      <c r="D4106" s="1" t="s">
        <v>4822</v>
      </c>
    </row>
    <row r="4107">
      <c r="A4107" s="1">
        <v>666.0</v>
      </c>
      <c r="B4107" s="1">
        <v>4521472.0</v>
      </c>
      <c r="C4107" s="1">
        <v>1.920677E7</v>
      </c>
      <c r="D4107" s="1" t="s">
        <v>4823</v>
      </c>
    </row>
    <row r="4108">
      <c r="A4108" s="1">
        <v>678.0</v>
      </c>
      <c r="B4108" s="1">
        <v>4504053.0</v>
      </c>
      <c r="C4108" s="1">
        <v>1.9091966E7</v>
      </c>
      <c r="D4108" s="1" t="s">
        <v>4318</v>
      </c>
    </row>
    <row r="4109">
      <c r="A4109" s="1">
        <v>625.0</v>
      </c>
      <c r="B4109" s="1">
        <v>4483442.0</v>
      </c>
      <c r="C4109" s="1">
        <v>1.9035782E7</v>
      </c>
      <c r="D4109" s="1" t="s">
        <v>4824</v>
      </c>
    </row>
    <row r="4110">
      <c r="A4110" s="1">
        <v>470.0</v>
      </c>
      <c r="B4110" s="1">
        <v>4482182.0</v>
      </c>
      <c r="C4110" s="1">
        <v>1.9023716E7</v>
      </c>
      <c r="D4110" s="1" t="s">
        <v>4346</v>
      </c>
    </row>
    <row r="4111">
      <c r="A4111" s="1">
        <v>609.0</v>
      </c>
      <c r="B4111" s="1">
        <v>4470599.0</v>
      </c>
      <c r="C4111" s="1">
        <v>1.8976999E7</v>
      </c>
      <c r="D4111" s="1" t="s">
        <v>3072</v>
      </c>
    </row>
    <row r="4112">
      <c r="A4112" s="1">
        <v>550.0</v>
      </c>
      <c r="B4112" s="1">
        <v>4466825.0</v>
      </c>
      <c r="C4112" s="1">
        <v>1.8972733E7</v>
      </c>
      <c r="D4112" s="1" t="s">
        <v>4616</v>
      </c>
    </row>
    <row r="4113">
      <c r="A4113" s="1">
        <v>379.0</v>
      </c>
      <c r="B4113" s="1">
        <v>4466735.0</v>
      </c>
      <c r="C4113" s="1">
        <v>1.8900773E7</v>
      </c>
      <c r="D4113" s="1" t="s">
        <v>265</v>
      </c>
    </row>
    <row r="4114">
      <c r="A4114" s="1">
        <v>578.0</v>
      </c>
      <c r="B4114" s="1">
        <v>4465510.0</v>
      </c>
      <c r="C4114" s="1">
        <v>4.2089546E7</v>
      </c>
      <c r="D4114" s="1" t="s">
        <v>4826</v>
      </c>
    </row>
    <row r="4115">
      <c r="A4115" s="1">
        <v>601.0</v>
      </c>
      <c r="B4115" s="1">
        <v>4456217.0</v>
      </c>
      <c r="C4115" s="1">
        <v>1.8905837E7</v>
      </c>
      <c r="D4115" s="1" t="s">
        <v>3406</v>
      </c>
    </row>
    <row r="4116">
      <c r="A4116" s="1">
        <v>602.0</v>
      </c>
      <c r="B4116" s="1">
        <v>4439924.0</v>
      </c>
      <c r="C4116" s="1">
        <v>1.9023466E7</v>
      </c>
      <c r="D4116" s="1" t="s">
        <v>3915</v>
      </c>
    </row>
    <row r="4117">
      <c r="A4117" s="1">
        <v>524.0</v>
      </c>
      <c r="B4117" s="1">
        <v>4430954.0</v>
      </c>
      <c r="C4117" s="1">
        <v>1.8781023E7</v>
      </c>
      <c r="D4117" s="1" t="s">
        <v>4827</v>
      </c>
    </row>
    <row r="4118">
      <c r="A4118" s="1">
        <v>488.0</v>
      </c>
      <c r="B4118" s="1">
        <v>4429663.0</v>
      </c>
      <c r="C4118" s="1">
        <v>1.8777305E7</v>
      </c>
      <c r="D4118" s="1" t="s">
        <v>1659</v>
      </c>
    </row>
    <row r="4119">
      <c r="A4119" s="1">
        <v>600.0</v>
      </c>
      <c r="B4119" s="1">
        <v>4423634.0</v>
      </c>
      <c r="C4119" s="1">
        <v>1.8773978E7</v>
      </c>
      <c r="D4119" s="1" t="s">
        <v>4290</v>
      </c>
    </row>
    <row r="4120">
      <c r="A4120" s="1">
        <v>475.0</v>
      </c>
      <c r="B4120" s="1">
        <v>4409971.0</v>
      </c>
      <c r="C4120" s="1">
        <v>1.8715941E7</v>
      </c>
      <c r="D4120" s="1" t="s">
        <v>2124</v>
      </c>
    </row>
    <row r="4121">
      <c r="A4121" s="1">
        <v>503.0</v>
      </c>
      <c r="B4121" s="1">
        <v>4407567.0</v>
      </c>
      <c r="C4121" s="1">
        <v>1.8730438E7</v>
      </c>
      <c r="D4121" s="1" t="s">
        <v>1319</v>
      </c>
    </row>
    <row r="4122">
      <c r="A4122" s="1">
        <v>414.0</v>
      </c>
      <c r="B4122" s="1">
        <v>4402091.0</v>
      </c>
      <c r="C4122" s="1">
        <v>1.8652502E7</v>
      </c>
      <c r="D4122" s="1" t="s">
        <v>4831</v>
      </c>
    </row>
    <row r="4123">
      <c r="A4123" s="1">
        <v>401.0</v>
      </c>
      <c r="B4123" s="1">
        <v>4389969.0</v>
      </c>
      <c r="C4123" s="1">
        <v>1.8593649E7</v>
      </c>
      <c r="D4123" s="1" t="s">
        <v>314</v>
      </c>
    </row>
    <row r="4124">
      <c r="A4124" s="1">
        <v>609.0</v>
      </c>
      <c r="B4124" s="1">
        <v>4389370.0</v>
      </c>
      <c r="C4124" s="1">
        <v>1.8717054E7</v>
      </c>
      <c r="D4124" s="1" t="s">
        <v>3773</v>
      </c>
    </row>
    <row r="4125">
      <c r="A4125" s="1">
        <v>484.0</v>
      </c>
      <c r="B4125" s="1">
        <v>4386034.0</v>
      </c>
      <c r="C4125" s="1">
        <v>1.859067E7</v>
      </c>
      <c r="D4125" s="1" t="s">
        <v>4832</v>
      </c>
    </row>
    <row r="4126">
      <c r="A4126" s="1">
        <v>402.0</v>
      </c>
      <c r="B4126" s="1">
        <v>4384149.0</v>
      </c>
      <c r="C4126" s="1">
        <v>1.8601592E7</v>
      </c>
      <c r="D4126" s="1" t="s">
        <v>4833</v>
      </c>
    </row>
    <row r="4127">
      <c r="A4127" s="1">
        <v>678.0</v>
      </c>
      <c r="B4127" s="1">
        <v>4379776.0</v>
      </c>
      <c r="C4127" s="1">
        <v>1.8552945E7</v>
      </c>
      <c r="D4127" s="1" t="s">
        <v>263</v>
      </c>
    </row>
    <row r="4128">
      <c r="A4128" s="1">
        <v>673.0</v>
      </c>
      <c r="B4128" s="1">
        <v>4378880.0</v>
      </c>
      <c r="C4128" s="1">
        <v>1.8560809E7</v>
      </c>
      <c r="D4128" s="1" t="s">
        <v>2193</v>
      </c>
    </row>
    <row r="4129">
      <c r="A4129" s="1">
        <v>571.0</v>
      </c>
      <c r="B4129" s="1">
        <v>4378122.0</v>
      </c>
      <c r="C4129" s="1">
        <v>1.8652366E7</v>
      </c>
      <c r="D4129" s="1" t="s">
        <v>4834</v>
      </c>
    </row>
    <row r="4130">
      <c r="A4130" s="1">
        <v>488.0</v>
      </c>
      <c r="B4130" s="1">
        <v>4364698.0</v>
      </c>
      <c r="C4130" s="1">
        <v>1.8506511E7</v>
      </c>
      <c r="D4130" s="1" t="s">
        <v>2399</v>
      </c>
    </row>
    <row r="4131">
      <c r="A4131" s="1">
        <v>696.0</v>
      </c>
      <c r="B4131" s="1">
        <v>4361636.0</v>
      </c>
      <c r="C4131" s="1">
        <v>1.8502749E7</v>
      </c>
      <c r="D4131" s="1" t="s">
        <v>4835</v>
      </c>
    </row>
    <row r="4132">
      <c r="A4132" s="1">
        <v>492.0</v>
      </c>
      <c r="B4132" s="1">
        <v>4356988.0</v>
      </c>
      <c r="C4132" s="1">
        <v>1.8453325E7</v>
      </c>
      <c r="D4132" s="1" t="s">
        <v>4836</v>
      </c>
    </row>
    <row r="4133">
      <c r="A4133" s="1">
        <v>666.0</v>
      </c>
      <c r="B4133" s="1">
        <v>4350217.0</v>
      </c>
      <c r="C4133" s="1">
        <v>1.845059E7</v>
      </c>
      <c r="D4133" s="1" t="s">
        <v>4837</v>
      </c>
    </row>
    <row r="4134">
      <c r="A4134" s="1">
        <v>578.0</v>
      </c>
      <c r="B4134" s="1">
        <v>4350183.0</v>
      </c>
      <c r="C4134" s="1">
        <v>1.843859E7</v>
      </c>
      <c r="D4134" s="1" t="s">
        <v>4838</v>
      </c>
    </row>
    <row r="4135">
      <c r="A4135" s="1">
        <v>671.0</v>
      </c>
      <c r="B4135" s="1">
        <v>4346352.0</v>
      </c>
      <c r="C4135" s="1">
        <v>1.8457303E7</v>
      </c>
      <c r="D4135" s="1" t="s">
        <v>4690</v>
      </c>
    </row>
    <row r="4136">
      <c r="A4136" s="1">
        <v>571.0</v>
      </c>
      <c r="B4136" s="1">
        <v>4344359.0</v>
      </c>
      <c r="C4136" s="1">
        <v>1.8436915E7</v>
      </c>
      <c r="D4136" s="1" t="s">
        <v>260</v>
      </c>
    </row>
    <row r="4137">
      <c r="A4137" s="1">
        <v>663.0</v>
      </c>
      <c r="B4137" s="1">
        <v>4341186.0</v>
      </c>
      <c r="C4137" s="1">
        <v>1.839035E7</v>
      </c>
      <c r="D4137" s="1" t="s">
        <v>4647</v>
      </c>
    </row>
    <row r="4138">
      <c r="A4138" s="1">
        <v>401.0</v>
      </c>
      <c r="B4138" s="1">
        <v>4339108.0</v>
      </c>
      <c r="C4138" s="1">
        <v>1.8369485E7</v>
      </c>
      <c r="D4138" s="1" t="s">
        <v>2351</v>
      </c>
    </row>
    <row r="4139">
      <c r="A4139" s="1">
        <v>609.0</v>
      </c>
      <c r="B4139" s="1">
        <v>4337385.0</v>
      </c>
      <c r="C4139" s="1">
        <v>1.8395435E7</v>
      </c>
      <c r="D4139" s="1" t="s">
        <v>4840</v>
      </c>
    </row>
    <row r="4140">
      <c r="A4140" s="1">
        <v>661.0</v>
      </c>
      <c r="B4140" s="1">
        <v>4326764.0</v>
      </c>
      <c r="C4140" s="1">
        <v>1.9300036E8</v>
      </c>
      <c r="D4140" s="1" t="s">
        <v>4841</v>
      </c>
    </row>
    <row r="4141">
      <c r="A4141" s="1">
        <v>645.0</v>
      </c>
      <c r="B4141" s="1">
        <v>4320486.0</v>
      </c>
      <c r="C4141" s="1">
        <v>1.8310476E7</v>
      </c>
      <c r="D4141" s="1" t="s">
        <v>258</v>
      </c>
    </row>
    <row r="4142">
      <c r="A4142" s="1">
        <v>379.0</v>
      </c>
      <c r="B4142" s="1">
        <v>4319544.0</v>
      </c>
      <c r="C4142" s="1">
        <v>1.8306316E7</v>
      </c>
      <c r="D4142" s="1" t="s">
        <v>678</v>
      </c>
    </row>
    <row r="4143">
      <c r="A4143" s="1">
        <v>609.0</v>
      </c>
      <c r="B4143" s="1">
        <v>4319522.0</v>
      </c>
      <c r="C4143" s="1">
        <v>1.8320351E7</v>
      </c>
      <c r="D4143" s="1" t="s">
        <v>3751</v>
      </c>
    </row>
    <row r="4144">
      <c r="A4144" s="1">
        <v>337.0</v>
      </c>
      <c r="B4144" s="1">
        <v>4318023.0</v>
      </c>
      <c r="C4144" s="1">
        <v>1.8314132E7</v>
      </c>
      <c r="D4144" s="1" t="s">
        <v>4844</v>
      </c>
    </row>
    <row r="4145">
      <c r="A4145" s="1">
        <v>215.0</v>
      </c>
      <c r="B4145" s="1">
        <v>4311776.0</v>
      </c>
      <c r="C4145" s="1">
        <v>4.411098E7</v>
      </c>
      <c r="D4145" s="1" t="s">
        <v>4846</v>
      </c>
    </row>
    <row r="4146">
      <c r="A4146" s="1">
        <v>120.0</v>
      </c>
      <c r="B4146" s="1">
        <v>4311704.0</v>
      </c>
      <c r="C4146" s="1">
        <v>1.8253303E7</v>
      </c>
      <c r="D4146" s="1" t="s">
        <v>2026</v>
      </c>
    </row>
    <row r="4147">
      <c r="A4147" s="1">
        <v>649.0</v>
      </c>
      <c r="B4147" s="1">
        <v>4304334.0</v>
      </c>
      <c r="C4147" s="1">
        <v>1.23891625E8</v>
      </c>
      <c r="D4147" s="1" t="s">
        <v>4849</v>
      </c>
    </row>
    <row r="4148">
      <c r="A4148" s="1">
        <v>380.0</v>
      </c>
      <c r="B4148" s="1">
        <v>4301281.0</v>
      </c>
      <c r="C4148" s="1">
        <v>1.8261554E7</v>
      </c>
      <c r="D4148" s="1" t="s">
        <v>4850</v>
      </c>
    </row>
    <row r="4149">
      <c r="A4149" s="1">
        <v>481.0</v>
      </c>
      <c r="B4149" s="1">
        <v>4301153.0</v>
      </c>
      <c r="C4149" s="1">
        <v>1.8255078E7</v>
      </c>
      <c r="D4149" s="1" t="s">
        <v>4259</v>
      </c>
    </row>
    <row r="4150">
      <c r="A4150" s="1">
        <v>497.0</v>
      </c>
      <c r="B4150" s="1">
        <v>4297601.0</v>
      </c>
      <c r="C4150" s="1">
        <v>2.2752725E7</v>
      </c>
      <c r="D4150" s="1" t="s">
        <v>4709</v>
      </c>
    </row>
    <row r="4151">
      <c r="A4151" s="1">
        <v>671.0</v>
      </c>
      <c r="B4151" s="1">
        <v>4296673.0</v>
      </c>
      <c r="C4151" s="1">
        <v>1.8197369E7</v>
      </c>
      <c r="D4151" s="1" t="s">
        <v>4483</v>
      </c>
    </row>
    <row r="4152">
      <c r="A4152" s="1">
        <v>571.0</v>
      </c>
      <c r="B4152" s="1">
        <v>4291046.0</v>
      </c>
      <c r="C4152" s="1">
        <v>4.83172599E8</v>
      </c>
      <c r="D4152" s="1" t="s">
        <v>4853</v>
      </c>
    </row>
    <row r="4153">
      <c r="A4153" s="1">
        <v>609.0</v>
      </c>
      <c r="B4153" s="1">
        <v>4290041.0</v>
      </c>
      <c r="C4153" s="1">
        <v>1.8200939E7</v>
      </c>
      <c r="D4153" s="1" t="s">
        <v>3532</v>
      </c>
    </row>
    <row r="4154">
      <c r="A4154" s="1">
        <v>578.0</v>
      </c>
      <c r="B4154" s="1">
        <v>4288800.0</v>
      </c>
      <c r="C4154" s="1">
        <v>1.8194872E7</v>
      </c>
      <c r="D4154" s="1" t="s">
        <v>484</v>
      </c>
    </row>
    <row r="4155">
      <c r="A4155" s="1">
        <v>641.0</v>
      </c>
      <c r="B4155" s="1">
        <v>4285869.0</v>
      </c>
      <c r="C4155" s="1">
        <v>1.8196018E7</v>
      </c>
      <c r="D4155" s="1" t="s">
        <v>3282</v>
      </c>
    </row>
    <row r="4156">
      <c r="A4156" s="1">
        <v>571.0</v>
      </c>
      <c r="B4156" s="1">
        <v>4282337.0</v>
      </c>
      <c r="C4156" s="1">
        <v>1.8125669E7</v>
      </c>
      <c r="D4156" s="1" t="s">
        <v>4681</v>
      </c>
    </row>
    <row r="4157">
      <c r="A4157" s="1">
        <v>678.0</v>
      </c>
      <c r="B4157" s="1">
        <v>4281072.0</v>
      </c>
      <c r="C4157" s="1">
        <v>1.8130055E7</v>
      </c>
      <c r="D4157" s="1" t="s">
        <v>1035</v>
      </c>
    </row>
    <row r="4158">
      <c r="A4158" s="1">
        <v>673.0</v>
      </c>
      <c r="B4158" s="1">
        <v>4276208.0</v>
      </c>
      <c r="C4158" s="1">
        <v>1.8136746E7</v>
      </c>
      <c r="D4158" s="1" t="s">
        <v>4085</v>
      </c>
    </row>
    <row r="4159">
      <c r="A4159" s="1">
        <v>696.0</v>
      </c>
      <c r="B4159" s="1">
        <v>4274281.0</v>
      </c>
      <c r="C4159" s="1">
        <v>1.8134332E7</v>
      </c>
      <c r="D4159" s="1" t="s">
        <v>321</v>
      </c>
    </row>
    <row r="4160">
      <c r="A4160" s="1">
        <v>228.0</v>
      </c>
      <c r="B4160" s="1">
        <v>4273402.0</v>
      </c>
      <c r="C4160" s="1">
        <v>1.8145944E7</v>
      </c>
      <c r="D4160" s="1" t="s">
        <v>4854</v>
      </c>
    </row>
    <row r="4161">
      <c r="A4161" s="1">
        <v>215.0</v>
      </c>
      <c r="B4161" s="1">
        <v>4269658.0</v>
      </c>
      <c r="C4161" s="1">
        <v>2.0057211E7</v>
      </c>
      <c r="D4161" s="1" t="s">
        <v>4083</v>
      </c>
    </row>
    <row r="4162">
      <c r="A4162" s="1">
        <v>215.0</v>
      </c>
      <c r="B4162" s="1">
        <v>4269658.0</v>
      </c>
      <c r="C4162" s="1">
        <v>1.817091E7</v>
      </c>
      <c r="D4162" s="1" t="s">
        <v>1553</v>
      </c>
    </row>
    <row r="4163">
      <c r="A4163" s="1">
        <v>610.0</v>
      </c>
      <c r="B4163" s="1">
        <v>4259259.0</v>
      </c>
      <c r="C4163" s="1">
        <v>1.8066024E7</v>
      </c>
      <c r="D4163" s="1" t="s">
        <v>1302</v>
      </c>
    </row>
    <row r="4164">
      <c r="A4164" s="1">
        <v>403.0</v>
      </c>
      <c r="B4164" s="1">
        <v>4251719.0</v>
      </c>
      <c r="C4164" s="1">
        <v>2.72058081E8</v>
      </c>
      <c r="D4164" s="1" t="s">
        <v>4855</v>
      </c>
    </row>
    <row r="4165">
      <c r="A4165" s="1">
        <v>225.0</v>
      </c>
      <c r="B4165" s="1">
        <v>4249939.0</v>
      </c>
      <c r="C4165" s="1">
        <v>1.8036014E7</v>
      </c>
      <c r="D4165" s="1" t="s">
        <v>4856</v>
      </c>
    </row>
    <row r="4166">
      <c r="A4166" s="1">
        <v>492.0</v>
      </c>
      <c r="B4166" s="1">
        <v>4249854.0</v>
      </c>
      <c r="C4166" s="1">
        <v>1.8023108E7</v>
      </c>
      <c r="D4166" s="1" t="s">
        <v>4655</v>
      </c>
    </row>
    <row r="4167">
      <c r="A4167" s="1">
        <v>414.0</v>
      </c>
      <c r="B4167" s="1">
        <v>4248937.0</v>
      </c>
      <c r="C4167" s="1">
        <v>1.8008603E7</v>
      </c>
      <c r="D4167" s="1" t="s">
        <v>4857</v>
      </c>
    </row>
    <row r="4168">
      <c r="A4168" s="1">
        <v>578.0</v>
      </c>
      <c r="B4168" s="1">
        <v>4244127.0</v>
      </c>
      <c r="C4168" s="1">
        <v>1.8021824E7</v>
      </c>
      <c r="D4168" s="1" t="s">
        <v>4858</v>
      </c>
    </row>
    <row r="4169">
      <c r="A4169" s="1">
        <v>470.0</v>
      </c>
      <c r="B4169" s="1">
        <v>4242762.0</v>
      </c>
      <c r="C4169" s="1">
        <v>1.8007636E7</v>
      </c>
      <c r="D4169" s="1" t="s">
        <v>357</v>
      </c>
    </row>
    <row r="4170">
      <c r="A4170" s="1">
        <v>571.0</v>
      </c>
      <c r="B4170" s="1">
        <v>4238201.0</v>
      </c>
      <c r="C4170" s="1">
        <v>3.45109061E8</v>
      </c>
      <c r="D4170" s="1" t="s">
        <v>4615</v>
      </c>
    </row>
    <row r="4171">
      <c r="A4171" s="1">
        <v>565.0</v>
      </c>
      <c r="B4171" s="1">
        <v>4233134.0</v>
      </c>
      <c r="C4171" s="1">
        <v>1.7947905E7</v>
      </c>
      <c r="D4171" s="1" t="s">
        <v>4859</v>
      </c>
    </row>
    <row r="4172">
      <c r="A4172" s="1">
        <v>671.0</v>
      </c>
      <c r="B4172" s="1">
        <v>4232879.0</v>
      </c>
      <c r="C4172" s="1">
        <v>1.7944743E7</v>
      </c>
      <c r="D4172" s="1" t="s">
        <v>2253</v>
      </c>
    </row>
    <row r="4173">
      <c r="A4173" s="1">
        <v>673.0</v>
      </c>
      <c r="B4173" s="1">
        <v>4226327.0</v>
      </c>
      <c r="C4173" s="1">
        <v>3.9741573E8</v>
      </c>
      <c r="D4173" s="1" t="s">
        <v>2374</v>
      </c>
    </row>
    <row r="4174">
      <c r="A4174" s="1">
        <v>671.0</v>
      </c>
      <c r="B4174" s="1">
        <v>4198210.0</v>
      </c>
      <c r="C4174" s="1">
        <v>1.7770871E7</v>
      </c>
      <c r="D4174" s="1" t="s">
        <v>3025</v>
      </c>
    </row>
    <row r="4175">
      <c r="A4175" s="1">
        <v>484.0</v>
      </c>
      <c r="B4175" s="1">
        <v>4189191.0</v>
      </c>
      <c r="C4175" s="1">
        <v>4.44069068E8</v>
      </c>
      <c r="D4175" s="1" t="s">
        <v>539</v>
      </c>
    </row>
    <row r="4176">
      <c r="A4176" s="1">
        <v>492.0</v>
      </c>
      <c r="B4176" s="1">
        <v>4187289.0</v>
      </c>
      <c r="C4176" s="1">
        <v>1.776689E7</v>
      </c>
      <c r="D4176" s="1" t="s">
        <v>4505</v>
      </c>
    </row>
    <row r="4177">
      <c r="A4177" s="1">
        <v>228.0</v>
      </c>
      <c r="B4177" s="1">
        <v>4182590.0</v>
      </c>
      <c r="C4177" s="1">
        <v>1.7788111E7</v>
      </c>
      <c r="D4177" s="1" t="s">
        <v>4780</v>
      </c>
    </row>
    <row r="4178">
      <c r="A4178" s="1">
        <v>353.0</v>
      </c>
      <c r="B4178" s="1">
        <v>4182073.0</v>
      </c>
      <c r="C4178" s="1">
        <v>1.7706986E7</v>
      </c>
      <c r="D4178" s="1" t="s">
        <v>4860</v>
      </c>
    </row>
    <row r="4179">
      <c r="A4179" s="1">
        <v>129.0</v>
      </c>
      <c r="B4179" s="1">
        <v>4178733.0</v>
      </c>
      <c r="C4179" s="1">
        <v>1.7719838E7</v>
      </c>
      <c r="D4179" s="1" t="s">
        <v>4708</v>
      </c>
    </row>
    <row r="4180">
      <c r="A4180" s="1">
        <v>403.0</v>
      </c>
      <c r="B4180" s="1">
        <v>4176833.0</v>
      </c>
      <c r="C4180" s="1">
        <v>1.7707709E7</v>
      </c>
      <c r="D4180" s="1" t="s">
        <v>2391</v>
      </c>
    </row>
    <row r="4181">
      <c r="A4181" s="1">
        <v>409.0</v>
      </c>
      <c r="B4181" s="1">
        <v>4169401.0</v>
      </c>
      <c r="C4181" s="1">
        <v>1.7697307E7</v>
      </c>
      <c r="D4181" s="1" t="s">
        <v>4778</v>
      </c>
    </row>
    <row r="4182">
      <c r="A4182" s="1">
        <v>609.0</v>
      </c>
      <c r="B4182" s="1">
        <v>4162898.0</v>
      </c>
      <c r="C4182" s="1">
        <v>1.7637029E7</v>
      </c>
      <c r="D4182" s="1" t="s">
        <v>3719</v>
      </c>
    </row>
    <row r="4183">
      <c r="A4183" s="1">
        <v>142.0</v>
      </c>
      <c r="B4183" s="1">
        <v>4153785.0</v>
      </c>
      <c r="C4183" s="1">
        <v>1.7654642E7</v>
      </c>
      <c r="D4183" s="1" t="s">
        <v>4861</v>
      </c>
    </row>
    <row r="4184">
      <c r="A4184" s="1">
        <v>488.0</v>
      </c>
      <c r="B4184" s="1">
        <v>4151755.0</v>
      </c>
      <c r="C4184" s="1">
        <v>1.7817499E7</v>
      </c>
      <c r="D4184" s="1" t="s">
        <v>2778</v>
      </c>
    </row>
    <row r="4185">
      <c r="A4185" s="1">
        <v>120.0</v>
      </c>
      <c r="B4185" s="1">
        <v>4135471.0</v>
      </c>
      <c r="C4185" s="1">
        <v>1.7518598E7</v>
      </c>
      <c r="D4185" s="1" t="s">
        <v>4862</v>
      </c>
    </row>
    <row r="4186">
      <c r="A4186" s="1">
        <v>671.0</v>
      </c>
      <c r="B4186" s="1">
        <v>4132260.0</v>
      </c>
      <c r="C4186" s="1">
        <v>1.7519891E7</v>
      </c>
      <c r="D4186" s="1" t="s">
        <v>3493</v>
      </c>
    </row>
    <row r="4187">
      <c r="A4187" s="1">
        <v>406.0</v>
      </c>
      <c r="B4187" s="1">
        <v>4126541.0</v>
      </c>
      <c r="C4187" s="1">
        <v>1.754625E7</v>
      </c>
      <c r="D4187" s="17" t="s">
        <v>3632</v>
      </c>
    </row>
    <row r="4188">
      <c r="A4188" s="1">
        <v>120.0</v>
      </c>
      <c r="B4188" s="1">
        <v>4113999.0</v>
      </c>
      <c r="C4188" s="1">
        <v>1.7453838E7</v>
      </c>
      <c r="D4188" s="1" t="s">
        <v>2765</v>
      </c>
    </row>
    <row r="4189">
      <c r="A4189" s="1">
        <v>414.0</v>
      </c>
      <c r="B4189" s="1">
        <v>4108539.0</v>
      </c>
      <c r="C4189" s="1">
        <v>1.7392005E7</v>
      </c>
      <c r="D4189" s="1" t="s">
        <v>2609</v>
      </c>
    </row>
    <row r="4190">
      <c r="A4190" s="1">
        <v>609.0</v>
      </c>
      <c r="B4190" s="1">
        <v>4105859.0</v>
      </c>
      <c r="C4190" s="1">
        <v>1.7513438E7</v>
      </c>
      <c r="D4190" s="1" t="s">
        <v>4400</v>
      </c>
    </row>
    <row r="4191">
      <c r="A4191" s="1">
        <v>403.0</v>
      </c>
      <c r="B4191" s="1">
        <v>4093154.0</v>
      </c>
      <c r="C4191" s="1">
        <v>1.7339986E7</v>
      </c>
      <c r="D4191" s="1" t="s">
        <v>256</v>
      </c>
    </row>
    <row r="4192">
      <c r="A4192" s="1">
        <v>392.0</v>
      </c>
      <c r="B4192" s="1">
        <v>4089179.0</v>
      </c>
      <c r="C4192" s="1">
        <v>1.7354546E7</v>
      </c>
      <c r="D4192" s="1" t="s">
        <v>4863</v>
      </c>
    </row>
    <row r="4193">
      <c r="A4193" s="1">
        <v>215.0</v>
      </c>
      <c r="B4193" s="1">
        <v>4086194.0</v>
      </c>
      <c r="C4193" s="1">
        <v>1.7370057E7</v>
      </c>
      <c r="D4193" s="1" t="s">
        <v>4439</v>
      </c>
    </row>
    <row r="4194">
      <c r="A4194" s="1">
        <v>571.0</v>
      </c>
      <c r="B4194" s="1">
        <v>4082682.0</v>
      </c>
      <c r="C4194" s="1">
        <v>1.7340134E7</v>
      </c>
      <c r="D4194" s="1" t="s">
        <v>4864</v>
      </c>
    </row>
    <row r="4195">
      <c r="A4195" s="1">
        <v>630.0</v>
      </c>
      <c r="B4195" s="1">
        <v>4072822.0</v>
      </c>
      <c r="C4195" s="1">
        <v>8.0795308E7</v>
      </c>
      <c r="D4195" s="1" t="s">
        <v>4865</v>
      </c>
    </row>
    <row r="4196">
      <c r="A4196" s="1">
        <v>664.0</v>
      </c>
      <c r="B4196" s="1">
        <v>4070691.0</v>
      </c>
      <c r="C4196" s="1">
        <v>1.82839175E8</v>
      </c>
      <c r="D4196" s="1" t="s">
        <v>2541</v>
      </c>
    </row>
    <row r="4197">
      <c r="A4197" s="1">
        <v>667.0</v>
      </c>
      <c r="B4197" s="1">
        <v>4066796.0</v>
      </c>
      <c r="C4197" s="1">
        <v>1.723686E7</v>
      </c>
      <c r="D4197" s="1" t="s">
        <v>4866</v>
      </c>
    </row>
    <row r="4198">
      <c r="A4198" s="1">
        <v>571.0</v>
      </c>
      <c r="B4198" s="1">
        <v>4066573.0</v>
      </c>
      <c r="C4198" s="1">
        <v>1.7287836E7</v>
      </c>
      <c r="D4198" s="1" t="s">
        <v>2451</v>
      </c>
    </row>
    <row r="4199">
      <c r="A4199" s="1">
        <v>641.0</v>
      </c>
      <c r="B4199" s="1">
        <v>4064756.0</v>
      </c>
      <c r="C4199" s="1">
        <v>1.7239228E7</v>
      </c>
      <c r="D4199" s="1" t="s">
        <v>2618</v>
      </c>
    </row>
    <row r="4200">
      <c r="A4200" s="1">
        <v>503.0</v>
      </c>
      <c r="B4200" s="1">
        <v>4057817.0</v>
      </c>
      <c r="C4200" s="1">
        <v>1.7266488E7</v>
      </c>
      <c r="D4200" s="1" t="s">
        <v>992</v>
      </c>
    </row>
    <row r="4201">
      <c r="A4201" s="1">
        <v>481.0</v>
      </c>
      <c r="B4201" s="1">
        <v>4055635.0</v>
      </c>
      <c r="C4201" s="1">
        <v>1.7194973E7</v>
      </c>
      <c r="D4201" s="1" t="s">
        <v>317</v>
      </c>
    </row>
    <row r="4202">
      <c r="A4202" s="1">
        <v>207.0</v>
      </c>
      <c r="B4202" s="1">
        <v>4053308.0</v>
      </c>
      <c r="C4202" s="1">
        <v>1.7185815E7</v>
      </c>
      <c r="D4202" s="1" t="s">
        <v>4867</v>
      </c>
    </row>
    <row r="4203">
      <c r="A4203" s="1">
        <v>142.0</v>
      </c>
      <c r="B4203" s="1">
        <v>4049823.0</v>
      </c>
      <c r="C4203" s="1">
        <v>1.7204408E7</v>
      </c>
      <c r="D4203" s="1" t="s">
        <v>345</v>
      </c>
    </row>
    <row r="4204">
      <c r="A4204" s="1">
        <v>587.0</v>
      </c>
      <c r="B4204" s="1">
        <v>4047583.0</v>
      </c>
      <c r="C4204" s="1">
        <v>1.7121963E7</v>
      </c>
      <c r="D4204" s="1" t="s">
        <v>2688</v>
      </c>
    </row>
    <row r="4205">
      <c r="A4205" s="1">
        <v>671.0</v>
      </c>
      <c r="B4205" s="1">
        <v>4047131.0</v>
      </c>
      <c r="C4205" s="1">
        <v>1.83401816E8</v>
      </c>
      <c r="D4205" s="1" t="s">
        <v>3842</v>
      </c>
    </row>
    <row r="4206">
      <c r="A4206" s="1">
        <v>672.0</v>
      </c>
      <c r="B4206" s="1">
        <v>4032100.0</v>
      </c>
      <c r="C4206" s="1">
        <v>1.80676779E8</v>
      </c>
      <c r="D4206" s="1" t="s">
        <v>1737</v>
      </c>
    </row>
    <row r="4207">
      <c r="A4207" s="1">
        <v>671.0</v>
      </c>
      <c r="B4207" s="1">
        <v>4021275.0</v>
      </c>
      <c r="C4207" s="1">
        <v>1.7025317E7</v>
      </c>
      <c r="D4207" s="1" t="s">
        <v>183</v>
      </c>
    </row>
    <row r="4208">
      <c r="A4208" s="1">
        <v>403.0</v>
      </c>
      <c r="B4208" s="1">
        <v>4015746.0</v>
      </c>
      <c r="C4208" s="1">
        <v>1.80431673E8</v>
      </c>
      <c r="D4208" s="1" t="s">
        <v>4870</v>
      </c>
    </row>
    <row r="4209">
      <c r="A4209" s="1">
        <v>414.0</v>
      </c>
      <c r="B4209" s="1">
        <v>4009971.0</v>
      </c>
      <c r="C4209" s="1">
        <v>1.6959607E7</v>
      </c>
      <c r="D4209" s="1" t="s">
        <v>4613</v>
      </c>
    </row>
    <row r="4210">
      <c r="A4210" s="1">
        <v>671.0</v>
      </c>
      <c r="B4210" s="1">
        <v>3997400.0</v>
      </c>
      <c r="C4210" s="1">
        <v>1.6919869E7</v>
      </c>
      <c r="D4210" s="1" t="s">
        <v>4552</v>
      </c>
    </row>
    <row r="4211">
      <c r="A4211" s="1">
        <v>671.0</v>
      </c>
      <c r="B4211" s="1">
        <v>3996382.0</v>
      </c>
      <c r="C4211" s="1">
        <v>1.89857979E8</v>
      </c>
      <c r="D4211" s="1" t="s">
        <v>4871</v>
      </c>
    </row>
    <row r="4212">
      <c r="A4212" s="1">
        <v>656.0</v>
      </c>
      <c r="B4212" s="1">
        <v>3995370.0</v>
      </c>
      <c r="C4212" s="1">
        <v>2.02206827E8</v>
      </c>
      <c r="D4212" s="1" t="s">
        <v>3964</v>
      </c>
    </row>
    <row r="4213">
      <c r="A4213" s="1">
        <v>410.0</v>
      </c>
      <c r="B4213" s="1">
        <v>3991000.0</v>
      </c>
      <c r="C4213" s="1">
        <v>1.6929917E7</v>
      </c>
      <c r="D4213" s="1" t="s">
        <v>1640</v>
      </c>
    </row>
    <row r="4214">
      <c r="A4214" s="1">
        <v>609.0</v>
      </c>
      <c r="B4214" s="1">
        <v>3986457.0</v>
      </c>
      <c r="C4214" s="1">
        <v>1.6867377E7</v>
      </c>
      <c r="D4214" s="1" t="s">
        <v>4872</v>
      </c>
    </row>
    <row r="4215">
      <c r="A4215" s="1">
        <v>228.0</v>
      </c>
      <c r="B4215" s="1">
        <v>3984689.0</v>
      </c>
      <c r="C4215" s="1">
        <v>1.7029622E7</v>
      </c>
      <c r="D4215" s="1" t="s">
        <v>1148</v>
      </c>
    </row>
    <row r="4216">
      <c r="A4216" s="1">
        <v>571.0</v>
      </c>
      <c r="B4216" s="1">
        <v>3983935.0</v>
      </c>
      <c r="C4216" s="1">
        <v>1.6854273E7</v>
      </c>
      <c r="D4216" s="1" t="s">
        <v>4874</v>
      </c>
    </row>
    <row r="4217">
      <c r="A4217" s="1">
        <v>602.0</v>
      </c>
      <c r="B4217" s="1">
        <v>3979789.0</v>
      </c>
      <c r="C4217" s="1">
        <v>1.6910063E7</v>
      </c>
      <c r="D4217" s="1" t="s">
        <v>4715</v>
      </c>
    </row>
    <row r="4218">
      <c r="A4218" s="1">
        <v>602.0</v>
      </c>
      <c r="B4218" s="1">
        <v>3978159.0</v>
      </c>
      <c r="C4218" s="1">
        <v>1.6902006E7</v>
      </c>
      <c r="D4218" s="1" t="s">
        <v>712</v>
      </c>
    </row>
    <row r="4219">
      <c r="A4219" s="1">
        <v>715.0</v>
      </c>
      <c r="B4219" s="1">
        <v>3973850.0</v>
      </c>
      <c r="C4219" s="1">
        <v>1.680013E7</v>
      </c>
      <c r="D4219" s="1" t="s">
        <v>4877</v>
      </c>
    </row>
    <row r="4220">
      <c r="A4220" s="1">
        <v>403.0</v>
      </c>
      <c r="B4220" s="1">
        <v>3971474.0</v>
      </c>
      <c r="C4220" s="1">
        <v>2.72977718E8</v>
      </c>
      <c r="D4220" s="1" t="s">
        <v>4852</v>
      </c>
    </row>
    <row r="4221">
      <c r="A4221" s="1">
        <v>609.0</v>
      </c>
      <c r="B4221" s="1">
        <v>3971137.0</v>
      </c>
      <c r="C4221" s="1">
        <v>1.6812753E7</v>
      </c>
      <c r="D4221" s="1" t="s">
        <v>1673</v>
      </c>
    </row>
    <row r="4222">
      <c r="A4222" s="1">
        <v>671.0</v>
      </c>
      <c r="B4222" s="1">
        <v>3968598.0</v>
      </c>
      <c r="C4222" s="1">
        <v>1.6817145E7</v>
      </c>
      <c r="D4222" s="1" t="s">
        <v>4878</v>
      </c>
    </row>
    <row r="4223">
      <c r="A4223" s="1">
        <v>602.0</v>
      </c>
      <c r="B4223" s="1">
        <v>3968432.0</v>
      </c>
      <c r="C4223" s="1">
        <v>1.6852292E7</v>
      </c>
      <c r="D4223" s="1" t="s">
        <v>4880</v>
      </c>
    </row>
    <row r="4224">
      <c r="A4224" s="1">
        <v>140.0</v>
      </c>
      <c r="B4224" s="1">
        <v>3963506.0</v>
      </c>
      <c r="C4224" s="1">
        <v>1.6805884E7</v>
      </c>
      <c r="D4224" s="1" t="s">
        <v>1416</v>
      </c>
    </row>
    <row r="4225">
      <c r="A4225" s="1">
        <v>595.0</v>
      </c>
      <c r="B4225" s="1">
        <v>3961510.0</v>
      </c>
      <c r="C4225" s="1">
        <v>1.6806618E7</v>
      </c>
      <c r="D4225" s="1" t="s">
        <v>841</v>
      </c>
    </row>
    <row r="4226">
      <c r="A4226" s="1">
        <v>676.0</v>
      </c>
      <c r="B4226" s="1">
        <v>3957834.0</v>
      </c>
      <c r="C4226" s="1">
        <v>1.674796E7</v>
      </c>
      <c r="D4226" s="1" t="s">
        <v>1956</v>
      </c>
    </row>
    <row r="4227">
      <c r="A4227" s="1">
        <v>671.0</v>
      </c>
      <c r="B4227" s="1">
        <v>3948330.0</v>
      </c>
      <c r="C4227" s="1">
        <v>2.8434256E7</v>
      </c>
      <c r="D4227" s="1" t="s">
        <v>4706</v>
      </c>
    </row>
    <row r="4228">
      <c r="A4228" s="1">
        <v>247.0</v>
      </c>
      <c r="B4228" s="1">
        <v>3948075.0</v>
      </c>
      <c r="C4228" s="1">
        <v>1.6690642E7</v>
      </c>
      <c r="D4228" s="1" t="s">
        <v>4881</v>
      </c>
    </row>
    <row r="4229">
      <c r="A4229" s="1">
        <v>564.0</v>
      </c>
      <c r="B4229" s="1">
        <v>3943145.0</v>
      </c>
      <c r="C4229" s="1">
        <v>1.6706384E7</v>
      </c>
      <c r="D4229" s="1" t="s">
        <v>2979</v>
      </c>
    </row>
    <row r="4230">
      <c r="A4230" s="1">
        <v>401.0</v>
      </c>
      <c r="B4230" s="1">
        <v>3938336.0</v>
      </c>
      <c r="C4230" s="1">
        <v>1.6690239E7</v>
      </c>
      <c r="D4230" s="1" t="s">
        <v>4882</v>
      </c>
    </row>
    <row r="4231">
      <c r="A4231" s="1">
        <v>401.0</v>
      </c>
      <c r="B4231" s="1">
        <v>3937502.0</v>
      </c>
      <c r="C4231" s="1">
        <v>1.6696278E7</v>
      </c>
      <c r="D4231" s="1" t="s">
        <v>4883</v>
      </c>
    </row>
    <row r="4232">
      <c r="A4232" s="1">
        <v>378.0</v>
      </c>
      <c r="B4232" s="1">
        <v>3927883.0</v>
      </c>
      <c r="C4232" s="1">
        <v>1.6648949E7</v>
      </c>
      <c r="D4232" s="1" t="s">
        <v>251</v>
      </c>
    </row>
    <row r="4233">
      <c r="A4233" s="1">
        <v>503.0</v>
      </c>
      <c r="B4233" s="1">
        <v>3927335.0</v>
      </c>
      <c r="C4233" s="1">
        <v>1.6655081E7</v>
      </c>
      <c r="D4233" s="1" t="s">
        <v>4884</v>
      </c>
    </row>
    <row r="4234">
      <c r="A4234" s="1">
        <v>607.0</v>
      </c>
      <c r="B4234" s="1">
        <v>3906701.0</v>
      </c>
      <c r="C4234" s="1">
        <v>1.6549879E7</v>
      </c>
      <c r="D4234" s="1" t="s">
        <v>2198</v>
      </c>
    </row>
    <row r="4235">
      <c r="A4235" s="1">
        <v>120.0</v>
      </c>
      <c r="B4235" s="1">
        <v>3897403.0</v>
      </c>
      <c r="C4235" s="1">
        <v>1.648214E7</v>
      </c>
      <c r="D4235" s="1" t="s">
        <v>4885</v>
      </c>
    </row>
    <row r="4236">
      <c r="A4236" s="1">
        <v>403.0</v>
      </c>
      <c r="B4236" s="1">
        <v>3892832.0</v>
      </c>
      <c r="C4236" s="1">
        <v>1.81416542E8</v>
      </c>
      <c r="D4236" s="1" t="s">
        <v>4886</v>
      </c>
    </row>
    <row r="4237">
      <c r="A4237" s="1">
        <v>715.0</v>
      </c>
      <c r="B4237" s="1">
        <v>3889291.0</v>
      </c>
      <c r="C4237" s="1">
        <v>1.6479615E7</v>
      </c>
      <c r="D4237" s="1" t="s">
        <v>4887</v>
      </c>
    </row>
    <row r="4238">
      <c r="A4238" s="1">
        <v>215.0</v>
      </c>
      <c r="B4238" s="1">
        <v>3885741.0</v>
      </c>
      <c r="C4238" s="1">
        <v>1.6508797E7</v>
      </c>
      <c r="D4238" s="25" t="str">
        <f>+20 thank you guys so much for the excellent accommodations and experience! I would also like to thank you for allowing my father(Arnold Simpliciano) to be apart of the "Hilton Ohana"</f>
        <v>#ERROR!</v>
      </c>
    </row>
    <row r="4239">
      <c r="A4239" s="1">
        <v>578.0</v>
      </c>
      <c r="B4239" s="1">
        <v>3884669.0</v>
      </c>
      <c r="C4239" s="1">
        <v>4.798435E7</v>
      </c>
      <c r="D4239" s="1" t="s">
        <v>541</v>
      </c>
    </row>
    <row r="4240">
      <c r="A4240" s="1">
        <v>244.0</v>
      </c>
      <c r="B4240" s="1">
        <v>3884095.0</v>
      </c>
      <c r="C4240" s="1">
        <v>1.6435592E7</v>
      </c>
      <c r="D4240" s="1" t="s">
        <v>2679</v>
      </c>
    </row>
    <row r="4241">
      <c r="A4241" s="1">
        <v>649.0</v>
      </c>
      <c r="B4241" s="1">
        <v>3866418.0</v>
      </c>
      <c r="C4241" s="1">
        <v>1.6366305E7</v>
      </c>
      <c r="D4241" s="1" t="s">
        <v>4891</v>
      </c>
    </row>
    <row r="4242">
      <c r="A4242" s="1">
        <v>602.0</v>
      </c>
      <c r="B4242" s="1">
        <v>3864684.0</v>
      </c>
      <c r="C4242" s="1">
        <v>1.6421629E7</v>
      </c>
      <c r="D4242" s="1" t="s">
        <v>4892</v>
      </c>
    </row>
    <row r="4243">
      <c r="A4243" s="1">
        <v>676.0</v>
      </c>
      <c r="B4243" s="1">
        <v>3863062.0</v>
      </c>
      <c r="C4243" s="1">
        <v>1.6367752E7</v>
      </c>
      <c r="D4243" s="1" t="s">
        <v>249</v>
      </c>
    </row>
    <row r="4244">
      <c r="A4244" s="1">
        <v>671.0</v>
      </c>
      <c r="B4244" s="1">
        <v>3851796.0</v>
      </c>
      <c r="C4244" s="1">
        <v>1.6329362E7</v>
      </c>
      <c r="D4244" s="1" t="s">
        <v>2501</v>
      </c>
    </row>
    <row r="4245">
      <c r="A4245" s="1">
        <v>571.0</v>
      </c>
      <c r="B4245" s="1">
        <v>3846443.0</v>
      </c>
      <c r="C4245" s="1">
        <v>2.56315136E8</v>
      </c>
      <c r="D4245" s="1" t="s">
        <v>4080</v>
      </c>
    </row>
    <row r="4246">
      <c r="A4246" s="1">
        <v>630.0</v>
      </c>
      <c r="B4246" s="1">
        <v>3842359.0</v>
      </c>
      <c r="C4246" s="1">
        <v>3.32852915E8</v>
      </c>
      <c r="D4246" s="1" t="s">
        <v>4427</v>
      </c>
    </row>
    <row r="4247">
      <c r="A4247" s="1">
        <v>414.0</v>
      </c>
      <c r="B4247" s="1">
        <v>3829413.0</v>
      </c>
      <c r="C4247" s="1">
        <v>1.620329E7</v>
      </c>
      <c r="D4247" s="1" t="s">
        <v>4893</v>
      </c>
    </row>
    <row r="4248">
      <c r="A4248" s="1">
        <v>120.0</v>
      </c>
      <c r="B4248" s="1">
        <v>3826341.0</v>
      </c>
      <c r="C4248" s="1">
        <v>1.6210752E7</v>
      </c>
      <c r="D4248" s="1" t="s">
        <v>4894</v>
      </c>
    </row>
    <row r="4249">
      <c r="A4249" s="1">
        <v>244.0</v>
      </c>
      <c r="B4249" s="1">
        <v>3817901.0</v>
      </c>
      <c r="C4249" s="1">
        <v>1.6150516E7</v>
      </c>
      <c r="D4249" s="1" t="s">
        <v>4895</v>
      </c>
    </row>
    <row r="4250">
      <c r="A4250" s="1">
        <v>603.0</v>
      </c>
      <c r="B4250" s="1">
        <v>3816558.0</v>
      </c>
      <c r="C4250" s="1">
        <v>1.6139734E7</v>
      </c>
      <c r="D4250" s="1" t="s">
        <v>4896</v>
      </c>
    </row>
    <row r="4251">
      <c r="A4251" s="1">
        <v>672.0</v>
      </c>
      <c r="B4251" s="1">
        <v>3807935.0</v>
      </c>
      <c r="C4251" s="1">
        <v>1.6164008E7</v>
      </c>
      <c r="D4251" s="1" t="s">
        <v>3075</v>
      </c>
    </row>
    <row r="4252">
      <c r="A4252" s="1">
        <v>609.0</v>
      </c>
      <c r="B4252" s="1">
        <v>3801985.0</v>
      </c>
      <c r="C4252" s="1">
        <v>1.60994E7</v>
      </c>
      <c r="D4252" s="1" t="s">
        <v>1815</v>
      </c>
    </row>
    <row r="4253">
      <c r="A4253" s="1">
        <v>488.0</v>
      </c>
      <c r="B4253" s="1">
        <v>3801403.0</v>
      </c>
      <c r="C4253" s="1">
        <v>1.6109497E7</v>
      </c>
      <c r="D4253" s="1" t="s">
        <v>4897</v>
      </c>
    </row>
    <row r="4254">
      <c r="A4254" s="1">
        <v>481.0</v>
      </c>
      <c r="B4254" s="1">
        <v>3801017.0</v>
      </c>
      <c r="C4254" s="1">
        <v>1.6089409E7</v>
      </c>
      <c r="D4254" s="1" t="s">
        <v>524</v>
      </c>
    </row>
    <row r="4255">
      <c r="A4255" s="1">
        <v>503.0</v>
      </c>
      <c r="B4255" s="1">
        <v>3795633.0</v>
      </c>
      <c r="C4255" s="1">
        <v>1.6113254E7</v>
      </c>
      <c r="D4255" s="1" t="s">
        <v>4611</v>
      </c>
    </row>
    <row r="4256">
      <c r="A4256" s="1">
        <v>571.0</v>
      </c>
      <c r="B4256" s="1">
        <v>3794395.0</v>
      </c>
      <c r="C4256" s="1">
        <v>1.60906E7</v>
      </c>
      <c r="D4256" s="1" t="s">
        <v>4890</v>
      </c>
    </row>
    <row r="4257">
      <c r="A4257" s="1">
        <v>484.0</v>
      </c>
      <c r="B4257" s="1">
        <v>3787993.0</v>
      </c>
      <c r="C4257" s="1">
        <v>1.6030268E7</v>
      </c>
      <c r="D4257" s="1" t="s">
        <v>2972</v>
      </c>
    </row>
    <row r="4258">
      <c r="A4258" s="1">
        <v>414.0</v>
      </c>
      <c r="B4258" s="1">
        <v>3786809.0</v>
      </c>
      <c r="C4258" s="1">
        <v>1.6042959E7</v>
      </c>
      <c r="D4258" s="1" t="s">
        <v>245</v>
      </c>
    </row>
    <row r="4259">
      <c r="A4259" s="1">
        <v>244.0</v>
      </c>
      <c r="B4259" s="1">
        <v>3786350.0</v>
      </c>
      <c r="C4259" s="1">
        <v>1.6036494E7</v>
      </c>
      <c r="D4259" s="1" t="s">
        <v>4898</v>
      </c>
    </row>
    <row r="4260">
      <c r="A4260" s="1">
        <v>571.0</v>
      </c>
      <c r="B4260" s="1">
        <v>3786006.0</v>
      </c>
      <c r="C4260" s="1">
        <v>1.6088973E7</v>
      </c>
      <c r="D4260" s="25" t="str">
        <f>+10!!!!!! You have truly exceeded my expectations on this vacation. Thank you.</f>
        <v>#ERROR!</v>
      </c>
    </row>
    <row r="4261">
      <c r="A4261" s="1">
        <v>601.0</v>
      </c>
      <c r="B4261" s="1">
        <v>3781235.0</v>
      </c>
      <c r="C4261" s="1">
        <v>1.6039148E7</v>
      </c>
      <c r="D4261" s="1" t="s">
        <v>3165</v>
      </c>
    </row>
    <row r="4262">
      <c r="A4262" s="1">
        <v>403.0</v>
      </c>
      <c r="B4262" s="1">
        <v>3763716.0</v>
      </c>
      <c r="C4262" s="1">
        <v>1.5924425E7</v>
      </c>
      <c r="D4262" s="1" t="s">
        <v>4899</v>
      </c>
    </row>
    <row r="4263">
      <c r="A4263" s="1">
        <v>321.0</v>
      </c>
      <c r="B4263" s="1">
        <v>3759213.0</v>
      </c>
      <c r="C4263" s="1">
        <v>1.5927671E7</v>
      </c>
      <c r="D4263" s="1" t="s">
        <v>833</v>
      </c>
    </row>
    <row r="4264">
      <c r="A4264" s="1">
        <v>285.0</v>
      </c>
      <c r="B4264" s="1">
        <v>3725705.0</v>
      </c>
      <c r="C4264" s="1">
        <v>1.5755608E7</v>
      </c>
      <c r="D4264" s="1" t="s">
        <v>4900</v>
      </c>
    </row>
    <row r="4265">
      <c r="A4265" s="1">
        <v>610.0</v>
      </c>
      <c r="B4265" s="1">
        <v>3722119.0</v>
      </c>
      <c r="C4265" s="1">
        <v>2.59962823E8</v>
      </c>
      <c r="D4265" s="1" t="s">
        <v>2777</v>
      </c>
    </row>
    <row r="4266">
      <c r="A4266" s="1">
        <v>667.0</v>
      </c>
      <c r="B4266" s="1">
        <v>3721293.0</v>
      </c>
      <c r="C4266" s="1">
        <v>1.5757305E7</v>
      </c>
      <c r="D4266" s="1" t="s">
        <v>4324</v>
      </c>
    </row>
    <row r="4267">
      <c r="A4267" s="1">
        <v>570.0</v>
      </c>
      <c r="B4267" s="1">
        <v>3720008.0</v>
      </c>
      <c r="C4267" s="1">
        <v>8.1677821E7</v>
      </c>
      <c r="D4267" s="1" t="s">
        <v>2606</v>
      </c>
    </row>
    <row r="4268">
      <c r="A4268" s="1">
        <v>384.0</v>
      </c>
      <c r="B4268" s="1">
        <v>3715087.0</v>
      </c>
      <c r="C4268" s="1">
        <v>1.5769198E7</v>
      </c>
      <c r="D4268" s="1" t="s">
        <v>3250</v>
      </c>
    </row>
    <row r="4269">
      <c r="A4269" s="1">
        <v>402.0</v>
      </c>
      <c r="B4269" s="1">
        <v>3714282.0</v>
      </c>
      <c r="C4269" s="1">
        <v>1.5769067E7</v>
      </c>
      <c r="D4269" s="1" t="s">
        <v>3186</v>
      </c>
    </row>
    <row r="4270">
      <c r="A4270" s="1">
        <v>630.0</v>
      </c>
      <c r="B4270" s="1">
        <v>3709442.0</v>
      </c>
      <c r="C4270" s="1">
        <v>4.7827787E7</v>
      </c>
      <c r="D4270" s="1" t="s">
        <v>1867</v>
      </c>
    </row>
    <row r="4271">
      <c r="A4271" s="1">
        <v>564.0</v>
      </c>
      <c r="B4271" s="1">
        <v>3693757.0</v>
      </c>
      <c r="C4271" s="1">
        <v>1.5659355E7</v>
      </c>
      <c r="D4271" s="1" t="s">
        <v>2495</v>
      </c>
    </row>
    <row r="4272">
      <c r="A4272" s="1">
        <v>425.0</v>
      </c>
      <c r="B4272" s="1">
        <v>3688709.0</v>
      </c>
      <c r="C4272" s="1">
        <v>1.5644468E7</v>
      </c>
      <c r="D4272" s="1" t="s">
        <v>4901</v>
      </c>
    </row>
    <row r="4273">
      <c r="A4273" s="1">
        <v>484.0</v>
      </c>
      <c r="B4273" s="1">
        <v>3686579.0</v>
      </c>
      <c r="C4273" s="1">
        <v>1.5640284E7</v>
      </c>
      <c r="D4273" s="1" t="s">
        <v>4902</v>
      </c>
    </row>
    <row r="4274">
      <c r="A4274" s="1">
        <v>409.0</v>
      </c>
      <c r="B4274" s="1">
        <v>3684572.0</v>
      </c>
      <c r="C4274" s="1">
        <v>1.5586096E7</v>
      </c>
      <c r="D4274" s="1" t="s">
        <v>4903</v>
      </c>
    </row>
    <row r="4275">
      <c r="A4275" s="1">
        <v>601.0</v>
      </c>
      <c r="B4275" s="1">
        <v>3675563.0</v>
      </c>
      <c r="C4275" s="1">
        <v>3.8130666E8</v>
      </c>
      <c r="D4275" s="1" t="s">
        <v>4904</v>
      </c>
    </row>
    <row r="4276">
      <c r="A4276" s="1">
        <v>564.0</v>
      </c>
      <c r="B4276" s="1">
        <v>3670243.0</v>
      </c>
      <c r="C4276" s="1">
        <v>1.5542972E7</v>
      </c>
      <c r="D4276" s="1" t="s">
        <v>1165</v>
      </c>
    </row>
    <row r="4277">
      <c r="A4277" s="1">
        <v>225.0</v>
      </c>
      <c r="B4277" s="1">
        <v>3670236.0</v>
      </c>
      <c r="C4277" s="1">
        <v>1.5560185E7</v>
      </c>
      <c r="D4277" s="1" t="s">
        <v>4905</v>
      </c>
    </row>
    <row r="4278">
      <c r="A4278" s="1">
        <v>570.0</v>
      </c>
      <c r="B4278" s="1">
        <v>3669798.0</v>
      </c>
      <c r="C4278" s="1">
        <v>2.84908792E8</v>
      </c>
      <c r="D4278" s="1" t="s">
        <v>4906</v>
      </c>
    </row>
    <row r="4279">
      <c r="A4279" s="1">
        <v>224.0</v>
      </c>
      <c r="B4279" s="1">
        <v>3669003.0</v>
      </c>
      <c r="C4279" s="1">
        <v>1.5545882E7</v>
      </c>
      <c r="D4279" s="1" t="s">
        <v>3074</v>
      </c>
    </row>
    <row r="4280">
      <c r="A4280" s="1">
        <v>414.0</v>
      </c>
      <c r="B4280" s="1">
        <v>3659319.0</v>
      </c>
      <c r="C4280" s="1">
        <v>1.5491209E7</v>
      </c>
      <c r="D4280" s="1" t="s">
        <v>4907</v>
      </c>
    </row>
    <row r="4281">
      <c r="A4281" s="1">
        <v>458.0</v>
      </c>
      <c r="B4281" s="1">
        <v>3658014.0</v>
      </c>
      <c r="C4281" s="1">
        <v>1.5490309E7</v>
      </c>
      <c r="D4281" s="1" t="s">
        <v>4908</v>
      </c>
    </row>
    <row r="4282">
      <c r="A4282" s="1">
        <v>671.0</v>
      </c>
      <c r="B4282" s="1">
        <v>3653169.0</v>
      </c>
      <c r="C4282" s="1">
        <v>1.5492554E7</v>
      </c>
      <c r="D4282" s="1" t="s">
        <v>1400</v>
      </c>
    </row>
    <row r="4283">
      <c r="A4283" s="1">
        <v>406.0</v>
      </c>
      <c r="B4283" s="1">
        <v>3652336.0</v>
      </c>
      <c r="C4283" s="1">
        <v>1.551063E7</v>
      </c>
      <c r="D4283" s="1" t="s">
        <v>1115</v>
      </c>
    </row>
    <row r="4284">
      <c r="A4284" s="1">
        <v>504.0</v>
      </c>
      <c r="B4284" s="1">
        <v>3650581.0</v>
      </c>
      <c r="C4284" s="1">
        <v>5.1081349E7</v>
      </c>
      <c r="D4284" s="1" t="s">
        <v>353</v>
      </c>
    </row>
    <row r="4285">
      <c r="A4285" s="1">
        <v>406.0</v>
      </c>
      <c r="B4285" s="1">
        <v>3646821.0</v>
      </c>
      <c r="C4285" s="1">
        <v>1.5463349E7</v>
      </c>
      <c r="D4285" s="1" t="s">
        <v>4909</v>
      </c>
    </row>
    <row r="4286">
      <c r="A4286" s="1">
        <v>207.0</v>
      </c>
      <c r="B4286" s="1">
        <v>3634803.0</v>
      </c>
      <c r="C4286" s="1">
        <v>1.5404574E7</v>
      </c>
      <c r="D4286" s="1" t="s">
        <v>4776</v>
      </c>
    </row>
    <row r="4287">
      <c r="A4287" s="1">
        <v>610.0</v>
      </c>
      <c r="B4287" s="1">
        <v>3631091.0</v>
      </c>
      <c r="C4287" s="1">
        <v>1.5403316E7</v>
      </c>
      <c r="D4287" s="1" t="s">
        <v>4654</v>
      </c>
    </row>
    <row r="4288">
      <c r="A4288" s="1">
        <v>414.0</v>
      </c>
      <c r="B4288" s="1">
        <v>3623293.0</v>
      </c>
      <c r="C4288" s="1">
        <v>1.5366245E7</v>
      </c>
      <c r="D4288" s="1" t="s">
        <v>4910</v>
      </c>
    </row>
    <row r="4289">
      <c r="A4289" s="1">
        <v>173.0</v>
      </c>
      <c r="B4289" s="1">
        <v>3619995.0</v>
      </c>
      <c r="C4289" s="1">
        <v>1.5356193E7</v>
      </c>
      <c r="D4289" s="1" t="s">
        <v>1257</v>
      </c>
    </row>
    <row r="4290">
      <c r="A4290" s="1">
        <v>503.0</v>
      </c>
      <c r="B4290" s="1">
        <v>3605964.0</v>
      </c>
      <c r="C4290" s="1">
        <v>1.5361781E7</v>
      </c>
      <c r="D4290" s="1" t="s">
        <v>1740</v>
      </c>
    </row>
    <row r="4291">
      <c r="A4291" s="1">
        <v>379.0</v>
      </c>
      <c r="B4291" s="1">
        <v>3594533.0</v>
      </c>
      <c r="C4291" s="1">
        <v>1.5219106E7</v>
      </c>
      <c r="D4291" s="1" t="s">
        <v>2887</v>
      </c>
    </row>
    <row r="4292">
      <c r="A4292" s="1">
        <v>647.0</v>
      </c>
      <c r="B4292" s="1">
        <v>3592924.0</v>
      </c>
      <c r="C4292" s="1">
        <v>1.522508E7</v>
      </c>
      <c r="D4292" s="1" t="s">
        <v>240</v>
      </c>
    </row>
    <row r="4293">
      <c r="A4293" s="1">
        <v>671.0</v>
      </c>
      <c r="B4293" s="1">
        <v>3589941.0</v>
      </c>
      <c r="C4293" s="1">
        <v>1.5228261E7</v>
      </c>
      <c r="D4293" s="1" t="s">
        <v>4911</v>
      </c>
    </row>
    <row r="4294">
      <c r="A4294" s="1">
        <v>667.0</v>
      </c>
      <c r="B4294" s="1">
        <v>3588471.0</v>
      </c>
      <c r="C4294" s="1">
        <v>1.5219432E7</v>
      </c>
      <c r="D4294" s="1" t="s">
        <v>1765</v>
      </c>
    </row>
    <row r="4295">
      <c r="A4295" s="1">
        <v>555.0</v>
      </c>
      <c r="B4295" s="1">
        <v>3578897.0</v>
      </c>
      <c r="C4295" s="1">
        <v>1.5171323E7</v>
      </c>
      <c r="D4295" s="1" t="s">
        <v>4912</v>
      </c>
    </row>
    <row r="4296">
      <c r="A4296" s="1">
        <v>409.0</v>
      </c>
      <c r="B4296" s="1">
        <v>3572013.0</v>
      </c>
      <c r="C4296" s="1">
        <v>1.5137187E7</v>
      </c>
      <c r="D4296" s="1" t="s">
        <v>3490</v>
      </c>
    </row>
    <row r="4297">
      <c r="A4297" s="1">
        <v>380.0</v>
      </c>
      <c r="B4297" s="1">
        <v>3569416.0</v>
      </c>
      <c r="C4297" s="1">
        <v>1.5134194E7</v>
      </c>
      <c r="D4297" s="1" t="s">
        <v>4913</v>
      </c>
    </row>
    <row r="4298">
      <c r="A4298" s="1">
        <v>484.0</v>
      </c>
      <c r="B4298" s="1">
        <v>3560139.0</v>
      </c>
      <c r="C4298" s="1">
        <v>5.6167566E7</v>
      </c>
      <c r="D4298" s="1" t="s">
        <v>4914</v>
      </c>
    </row>
    <row r="4299">
      <c r="A4299" s="1">
        <v>378.0</v>
      </c>
      <c r="B4299" s="1">
        <v>3556137.0</v>
      </c>
      <c r="C4299" s="1">
        <v>1.5085999E7</v>
      </c>
      <c r="D4299" s="1" t="s">
        <v>239</v>
      </c>
    </row>
    <row r="4300">
      <c r="A4300" s="1">
        <v>475.0</v>
      </c>
      <c r="B4300" s="1">
        <v>3549808.0</v>
      </c>
      <c r="C4300" s="1">
        <v>1.5026436E7</v>
      </c>
      <c r="D4300" s="1" t="s">
        <v>4915</v>
      </c>
    </row>
    <row r="4301">
      <c r="A4301" s="1">
        <v>410.0</v>
      </c>
      <c r="B4301" s="1">
        <v>3547011.0</v>
      </c>
      <c r="C4301" s="1">
        <v>1.5038294E7</v>
      </c>
      <c r="D4301" s="1" t="s">
        <v>4917</v>
      </c>
    </row>
    <row r="4302">
      <c r="A4302" s="1">
        <v>475.0</v>
      </c>
      <c r="B4302" s="1">
        <v>3546919.0</v>
      </c>
      <c r="C4302" s="1">
        <v>1.5126002E7</v>
      </c>
      <c r="D4302" s="1" t="s">
        <v>4919</v>
      </c>
    </row>
    <row r="4303">
      <c r="A4303" s="1">
        <v>570.0</v>
      </c>
      <c r="B4303" s="1">
        <v>3540689.0</v>
      </c>
      <c r="C4303" s="1">
        <v>1.4974823E7</v>
      </c>
      <c r="D4303" s="1" t="s">
        <v>162</v>
      </c>
    </row>
    <row r="4304">
      <c r="A4304" s="1">
        <v>414.0</v>
      </c>
      <c r="B4304" s="1">
        <v>3536819.0</v>
      </c>
      <c r="C4304" s="1">
        <v>1.5000318E7</v>
      </c>
      <c r="D4304" s="1" t="s">
        <v>676</v>
      </c>
    </row>
    <row r="4305">
      <c r="A4305" s="1">
        <v>172.0</v>
      </c>
      <c r="B4305" s="1">
        <v>3524017.0</v>
      </c>
      <c r="C4305" s="1">
        <v>1.4938411E7</v>
      </c>
      <c r="D4305" s="1" t="s">
        <v>4920</v>
      </c>
    </row>
    <row r="4306">
      <c r="A4306" s="1">
        <v>663.0</v>
      </c>
      <c r="B4306" s="1">
        <v>3520844.0</v>
      </c>
      <c r="C4306" s="1">
        <v>1.4918615E7</v>
      </c>
      <c r="D4306" s="1" t="s">
        <v>4521</v>
      </c>
    </row>
    <row r="4307">
      <c r="A4307" s="1">
        <v>671.0</v>
      </c>
      <c r="B4307" s="1">
        <v>3513577.0</v>
      </c>
      <c r="C4307" s="1">
        <v>1.4860553E7</v>
      </c>
      <c r="D4307" s="1" t="s">
        <v>4921</v>
      </c>
    </row>
    <row r="4308">
      <c r="A4308" s="1">
        <v>671.0</v>
      </c>
      <c r="B4308" s="1">
        <v>3512569.0</v>
      </c>
      <c r="C4308" s="1">
        <v>1.4865554E7</v>
      </c>
      <c r="D4308" s="1" t="s">
        <v>3982</v>
      </c>
    </row>
    <row r="4309">
      <c r="A4309" s="1">
        <v>492.0</v>
      </c>
      <c r="B4309" s="1">
        <v>3511513.0</v>
      </c>
      <c r="C4309" s="1">
        <v>1.4882377E7</v>
      </c>
      <c r="D4309" s="1" t="s">
        <v>4922</v>
      </c>
    </row>
    <row r="4310">
      <c r="A4310" s="1">
        <v>484.0</v>
      </c>
      <c r="B4310" s="1">
        <v>3507187.0</v>
      </c>
      <c r="C4310" s="1">
        <v>1.4853429E7</v>
      </c>
      <c r="D4310" s="1" t="s">
        <v>4923</v>
      </c>
    </row>
    <row r="4311">
      <c r="A4311" s="1">
        <v>142.0</v>
      </c>
      <c r="B4311" s="1">
        <v>3487263.0</v>
      </c>
      <c r="C4311" s="1">
        <v>1.4834312E7</v>
      </c>
      <c r="D4311" s="1" t="s">
        <v>4924</v>
      </c>
    </row>
    <row r="4312">
      <c r="A4312" s="1">
        <v>244.0</v>
      </c>
      <c r="B4312" s="1">
        <v>3471016.0</v>
      </c>
      <c r="C4312" s="1">
        <v>1.04838954E8</v>
      </c>
      <c r="D4312" s="1" t="s">
        <v>4925</v>
      </c>
    </row>
    <row r="4313">
      <c r="A4313" s="1">
        <v>410.0</v>
      </c>
      <c r="B4313" s="1">
        <v>3465481.0</v>
      </c>
      <c r="C4313" s="1">
        <v>1.4823759E7</v>
      </c>
      <c r="D4313" s="1" t="s">
        <v>4926</v>
      </c>
    </row>
    <row r="4314">
      <c r="A4314" s="1">
        <v>602.0</v>
      </c>
      <c r="B4314" s="1">
        <v>3464607.0</v>
      </c>
      <c r="C4314" s="1">
        <v>1.4710268E7</v>
      </c>
      <c r="D4314" s="1" t="s">
        <v>4664</v>
      </c>
    </row>
    <row r="4315">
      <c r="A4315" s="1">
        <v>715.0</v>
      </c>
      <c r="B4315" s="1">
        <v>3463876.0</v>
      </c>
      <c r="C4315" s="1">
        <v>1.4655406E7</v>
      </c>
      <c r="D4315" s="1" t="s">
        <v>4927</v>
      </c>
    </row>
    <row r="4316">
      <c r="A4316" s="1">
        <v>571.0</v>
      </c>
      <c r="B4316" s="1">
        <v>3462689.0</v>
      </c>
      <c r="C4316" s="1">
        <v>1.471255E7</v>
      </c>
      <c r="D4316" s="1" t="s">
        <v>4928</v>
      </c>
    </row>
    <row r="4317">
      <c r="A4317" s="1">
        <v>571.0</v>
      </c>
      <c r="B4317" s="1">
        <v>3450020.0</v>
      </c>
      <c r="C4317" s="1">
        <v>1.4655746E7</v>
      </c>
      <c r="D4317" s="1" t="s">
        <v>2061</v>
      </c>
    </row>
    <row r="4318">
      <c r="A4318" s="1">
        <v>661.0</v>
      </c>
      <c r="B4318" s="1">
        <v>3438928.0</v>
      </c>
      <c r="C4318" s="1">
        <v>9.5508009E7</v>
      </c>
      <c r="D4318" s="17" t="s">
        <v>2161</v>
      </c>
    </row>
    <row r="4319">
      <c r="A4319" s="1">
        <v>597.0</v>
      </c>
      <c r="B4319" s="1">
        <v>3430287.0</v>
      </c>
      <c r="C4319" s="1">
        <v>1.4561094E7</v>
      </c>
      <c r="D4319" s="1" t="s">
        <v>4929</v>
      </c>
    </row>
    <row r="4320">
      <c r="A4320" s="1">
        <v>644.0</v>
      </c>
      <c r="B4320" s="1">
        <v>3427604.0</v>
      </c>
      <c r="C4320" s="1">
        <v>1.4502926E7</v>
      </c>
      <c r="D4320" s="1" t="s">
        <v>4930</v>
      </c>
    </row>
    <row r="4321">
      <c r="A4321" s="1">
        <v>410.0</v>
      </c>
      <c r="B4321" s="1">
        <v>3424981.0</v>
      </c>
      <c r="C4321" s="1">
        <v>1.4510519E7</v>
      </c>
      <c r="D4321" s="1" t="s">
        <v>4931</v>
      </c>
    </row>
    <row r="4322">
      <c r="A4322" s="1">
        <v>225.0</v>
      </c>
      <c r="B4322" s="1">
        <v>3419833.0</v>
      </c>
      <c r="C4322" s="1">
        <v>1.4516459E7</v>
      </c>
      <c r="D4322" s="1" t="s">
        <v>4609</v>
      </c>
    </row>
    <row r="4323">
      <c r="A4323" s="1">
        <v>641.0</v>
      </c>
      <c r="B4323" s="1">
        <v>3418709.0</v>
      </c>
      <c r="C4323" s="1">
        <v>1.4504636E7</v>
      </c>
      <c r="D4323" s="1" t="s">
        <v>3962</v>
      </c>
    </row>
    <row r="4324">
      <c r="A4324" s="1">
        <v>409.0</v>
      </c>
      <c r="B4324" s="1">
        <v>3414335.0</v>
      </c>
      <c r="C4324" s="1">
        <v>1.445353E7</v>
      </c>
      <c r="D4324" s="1" t="s">
        <v>3401</v>
      </c>
    </row>
    <row r="4325">
      <c r="A4325" s="1">
        <v>384.0</v>
      </c>
      <c r="B4325" s="1">
        <v>3397512.0</v>
      </c>
      <c r="C4325" s="1">
        <v>1.4403208E7</v>
      </c>
      <c r="D4325" s="1" t="s">
        <v>4932</v>
      </c>
    </row>
    <row r="4326">
      <c r="A4326" s="1">
        <v>504.0</v>
      </c>
      <c r="B4326" s="1">
        <v>3395777.0</v>
      </c>
      <c r="C4326" s="1">
        <v>3.4528866E7</v>
      </c>
      <c r="D4326" s="1" t="s">
        <v>3474</v>
      </c>
    </row>
    <row r="4327">
      <c r="A4327" s="1">
        <v>609.0</v>
      </c>
      <c r="B4327" s="1">
        <v>3391049.0</v>
      </c>
      <c r="C4327" s="1">
        <v>1.4355891E7</v>
      </c>
      <c r="D4327" s="1" t="s">
        <v>3325</v>
      </c>
    </row>
    <row r="4328">
      <c r="A4328" s="1">
        <v>578.0</v>
      </c>
      <c r="B4328" s="1">
        <v>3384800.0</v>
      </c>
      <c r="C4328" s="1">
        <v>1.440251E7</v>
      </c>
      <c r="D4328" s="1" t="s">
        <v>3407</v>
      </c>
    </row>
    <row r="4329">
      <c r="A4329" s="1">
        <v>142.0</v>
      </c>
      <c r="B4329" s="1">
        <v>3380460.0</v>
      </c>
      <c r="C4329" s="1">
        <v>1.4377149E7</v>
      </c>
      <c r="D4329" s="1" t="s">
        <v>4933</v>
      </c>
    </row>
    <row r="4330">
      <c r="A4330" s="1">
        <v>573.0</v>
      </c>
      <c r="B4330" s="1">
        <v>3378117.0</v>
      </c>
      <c r="C4330" s="1">
        <v>1.4302782E7</v>
      </c>
      <c r="D4330" s="1" t="s">
        <v>2051</v>
      </c>
    </row>
    <row r="4331">
      <c r="A4331" s="1">
        <v>409.0</v>
      </c>
      <c r="B4331" s="1">
        <v>3376374.0</v>
      </c>
      <c r="C4331" s="1">
        <v>5.184105E7</v>
      </c>
      <c r="D4331" s="1" t="s">
        <v>3227</v>
      </c>
    </row>
    <row r="4332">
      <c r="A4332" s="1">
        <v>395.0</v>
      </c>
      <c r="B4332" s="1">
        <v>3372116.0</v>
      </c>
      <c r="C4332" s="1">
        <v>1.4310188E7</v>
      </c>
      <c r="D4332" s="1" t="s">
        <v>3476</v>
      </c>
    </row>
    <row r="4333">
      <c r="A4333" s="1">
        <v>481.0</v>
      </c>
      <c r="B4333" s="1">
        <v>3370611.0</v>
      </c>
      <c r="C4333" s="1">
        <v>1.4254237E7</v>
      </c>
      <c r="D4333" s="1" t="s">
        <v>4875</v>
      </c>
    </row>
    <row r="4334">
      <c r="A4334" s="1">
        <v>578.0</v>
      </c>
      <c r="B4334" s="1">
        <v>3362953.0</v>
      </c>
      <c r="C4334" s="1">
        <v>1.4247804E7</v>
      </c>
      <c r="D4334" s="1" t="s">
        <v>3152</v>
      </c>
    </row>
    <row r="4335">
      <c r="A4335" s="1">
        <v>715.0</v>
      </c>
      <c r="B4335" s="1">
        <v>3349021.0</v>
      </c>
      <c r="C4335" s="1">
        <v>1.419185E7</v>
      </c>
      <c r="D4335" s="1" t="s">
        <v>4934</v>
      </c>
    </row>
    <row r="4336">
      <c r="A4336" s="1">
        <v>405.0</v>
      </c>
      <c r="B4336" s="1">
        <v>3346771.0</v>
      </c>
      <c r="C4336" s="1">
        <v>1.4199427E7</v>
      </c>
      <c r="D4336" s="1" t="s">
        <v>899</v>
      </c>
    </row>
    <row r="4337">
      <c r="A4337" s="1">
        <v>601.0</v>
      </c>
      <c r="B4337" s="1">
        <v>3345159.0</v>
      </c>
      <c r="C4337" s="1">
        <v>1.4214444E7</v>
      </c>
      <c r="D4337" s="1" t="s">
        <v>232</v>
      </c>
    </row>
    <row r="4338">
      <c r="A4338" s="1">
        <v>173.0</v>
      </c>
      <c r="B4338" s="1">
        <v>3341783.0</v>
      </c>
      <c r="C4338" s="1">
        <v>1.414941E7</v>
      </c>
      <c r="D4338" s="1" t="s">
        <v>1610</v>
      </c>
    </row>
    <row r="4339">
      <c r="A4339" s="1">
        <v>609.0</v>
      </c>
      <c r="B4339" s="1">
        <v>3337149.0</v>
      </c>
      <c r="C4339" s="1">
        <v>1.4144933E7</v>
      </c>
      <c r="D4339" s="1" t="s">
        <v>4935</v>
      </c>
    </row>
    <row r="4340">
      <c r="A4340" s="1">
        <v>671.0</v>
      </c>
      <c r="B4340" s="1">
        <v>3324043.0</v>
      </c>
      <c r="C4340" s="1">
        <v>2.64942196E8</v>
      </c>
      <c r="D4340" s="1" t="s">
        <v>4937</v>
      </c>
    </row>
    <row r="4341">
      <c r="A4341" s="1">
        <v>484.0</v>
      </c>
      <c r="B4341" s="1">
        <v>3320535.0</v>
      </c>
      <c r="C4341" s="1">
        <v>1.4083974E7</v>
      </c>
      <c r="D4341" s="1" t="s">
        <v>4416</v>
      </c>
    </row>
    <row r="4342">
      <c r="A4342" s="1">
        <v>142.0</v>
      </c>
      <c r="B4342" s="1">
        <v>3319472.0</v>
      </c>
      <c r="C4342" s="1">
        <v>1.4116261E7</v>
      </c>
      <c r="D4342" s="1" t="s">
        <v>4506</v>
      </c>
    </row>
    <row r="4343">
      <c r="A4343" s="1">
        <v>337.0</v>
      </c>
      <c r="B4343" s="1">
        <v>3318231.0</v>
      </c>
      <c r="C4343" s="1">
        <v>1.4046011E7</v>
      </c>
      <c r="D4343" s="1" t="s">
        <v>515</v>
      </c>
    </row>
    <row r="4344">
      <c r="A4344" s="1">
        <v>665.0</v>
      </c>
      <c r="B4344" s="1">
        <v>3314691.0</v>
      </c>
      <c r="C4344" s="1">
        <v>1.5664928E7</v>
      </c>
      <c r="D4344" s="1" t="s">
        <v>4938</v>
      </c>
    </row>
    <row r="4345">
      <c r="A4345" s="1">
        <v>587.0</v>
      </c>
      <c r="B4345" s="1">
        <v>3312951.0</v>
      </c>
      <c r="C4345" s="1">
        <v>1.4040426E7</v>
      </c>
      <c r="D4345" s="1" t="s">
        <v>3042</v>
      </c>
    </row>
    <row r="4346">
      <c r="A4346" s="1">
        <v>601.0</v>
      </c>
      <c r="B4346" s="1">
        <v>3312797.0</v>
      </c>
      <c r="C4346" s="1">
        <v>1.4044605E7</v>
      </c>
      <c r="D4346" s="1" t="s">
        <v>229</v>
      </c>
    </row>
    <row r="4347">
      <c r="A4347" s="1">
        <v>414.0</v>
      </c>
      <c r="B4347" s="1">
        <v>3311378.0</v>
      </c>
      <c r="C4347" s="1">
        <v>1.404606E7</v>
      </c>
      <c r="D4347" s="1" t="s">
        <v>2429</v>
      </c>
    </row>
    <row r="4348">
      <c r="A4348" s="1">
        <v>571.0</v>
      </c>
      <c r="B4348" s="1">
        <v>3300970.0</v>
      </c>
      <c r="C4348" s="1">
        <v>1.4036612E7</v>
      </c>
      <c r="D4348" s="1" t="s">
        <v>4939</v>
      </c>
    </row>
    <row r="4349">
      <c r="A4349" s="1">
        <v>645.0</v>
      </c>
      <c r="B4349" s="1">
        <v>3295521.0</v>
      </c>
      <c r="C4349" s="1">
        <v>1.3993257E7</v>
      </c>
      <c r="D4349" s="1" t="s">
        <v>4363</v>
      </c>
    </row>
    <row r="4350">
      <c r="A4350" s="1">
        <v>610.0</v>
      </c>
      <c r="B4350" s="1">
        <v>3292322.0</v>
      </c>
      <c r="C4350" s="1">
        <v>1.3943471E7</v>
      </c>
      <c r="D4350" s="1" t="s">
        <v>3007</v>
      </c>
    </row>
    <row r="4351">
      <c r="A4351" s="1">
        <v>671.0</v>
      </c>
      <c r="B4351" s="1">
        <v>3291801.0</v>
      </c>
      <c r="C4351" s="1">
        <v>1.3937143E7</v>
      </c>
      <c r="D4351" s="1" t="s">
        <v>4761</v>
      </c>
    </row>
    <row r="4352">
      <c r="A4352" s="1">
        <v>597.0</v>
      </c>
      <c r="B4352" s="1">
        <v>3285543.0</v>
      </c>
      <c r="C4352" s="1">
        <v>1.3939753E7</v>
      </c>
      <c r="D4352" s="1" t="s">
        <v>1358</v>
      </c>
    </row>
    <row r="4353">
      <c r="A4353" s="1">
        <v>475.0</v>
      </c>
      <c r="B4353" s="1">
        <v>3276991.0</v>
      </c>
      <c r="C4353" s="1">
        <v>4.2217574E7</v>
      </c>
      <c r="D4353" s="1" t="s">
        <v>2140</v>
      </c>
    </row>
    <row r="4354">
      <c r="A4354" s="1">
        <v>173.0</v>
      </c>
      <c r="B4354" s="1">
        <v>3272491.0</v>
      </c>
      <c r="C4354" s="1">
        <v>1.3899333E7</v>
      </c>
      <c r="D4354" s="1" t="s">
        <v>985</v>
      </c>
    </row>
    <row r="4355">
      <c r="A4355" s="1">
        <v>671.0</v>
      </c>
      <c r="B4355" s="1">
        <v>3260771.0</v>
      </c>
      <c r="C4355" s="1">
        <v>1.383129E7</v>
      </c>
      <c r="D4355" s="1" t="s">
        <v>1154</v>
      </c>
    </row>
    <row r="4356">
      <c r="A4356" s="1">
        <v>578.0</v>
      </c>
      <c r="B4356" s="1">
        <v>3230220.0</v>
      </c>
      <c r="C4356" s="1">
        <v>1.372737E7</v>
      </c>
      <c r="D4356" s="1" t="s">
        <v>3577</v>
      </c>
    </row>
    <row r="4357">
      <c r="A4357" s="1">
        <v>414.0</v>
      </c>
      <c r="B4357" s="1">
        <v>3202168.0</v>
      </c>
      <c r="C4357" s="1">
        <v>1.3579258E7</v>
      </c>
      <c r="D4357" s="1" t="s">
        <v>4942</v>
      </c>
    </row>
    <row r="4358">
      <c r="A4358" s="1">
        <v>319.0</v>
      </c>
      <c r="B4358" s="1">
        <v>3187141.0</v>
      </c>
      <c r="C4358" s="1">
        <v>1.3531056E7</v>
      </c>
      <c r="D4358" s="1" t="s">
        <v>4943</v>
      </c>
    </row>
    <row r="4359">
      <c r="A4359" s="1">
        <v>564.0</v>
      </c>
      <c r="B4359" s="1">
        <v>3187115.0</v>
      </c>
      <c r="C4359" s="1">
        <v>1.353247E7</v>
      </c>
      <c r="D4359" s="1" t="s">
        <v>227</v>
      </c>
    </row>
    <row r="4360">
      <c r="A4360" s="1">
        <v>180.0</v>
      </c>
      <c r="B4360" s="1">
        <v>3183670.0</v>
      </c>
      <c r="C4360" s="1">
        <v>1.3521554E7</v>
      </c>
      <c r="D4360" s="1" t="s">
        <v>4944</v>
      </c>
    </row>
    <row r="4361">
      <c r="A4361" s="1">
        <v>215.0</v>
      </c>
      <c r="B4361" s="1">
        <v>3183131.0</v>
      </c>
      <c r="C4361" s="1">
        <v>1.3556884E7</v>
      </c>
      <c r="D4361" s="1" t="s">
        <v>3191</v>
      </c>
    </row>
    <row r="4362">
      <c r="A4362" s="1">
        <v>570.0</v>
      </c>
      <c r="B4362" s="1">
        <v>3182564.0</v>
      </c>
      <c r="C4362" s="1">
        <v>1.3464894E7</v>
      </c>
      <c r="D4362" s="1" t="s">
        <v>4945</v>
      </c>
    </row>
    <row r="4363">
      <c r="A4363" s="1">
        <v>672.0</v>
      </c>
      <c r="B4363" s="1">
        <v>3174226.0</v>
      </c>
      <c r="C4363" s="1">
        <v>1.3549068E7</v>
      </c>
      <c r="D4363" s="1" t="s">
        <v>4139</v>
      </c>
    </row>
    <row r="4364">
      <c r="A4364" s="1">
        <v>629.0</v>
      </c>
      <c r="B4364" s="1">
        <v>3172946.0</v>
      </c>
      <c r="C4364" s="1">
        <v>1.3477306E7</v>
      </c>
      <c r="D4364" s="1" t="s">
        <v>4946</v>
      </c>
    </row>
    <row r="4365">
      <c r="A4365" s="1">
        <v>595.0</v>
      </c>
      <c r="B4365" s="1">
        <v>3170594.0</v>
      </c>
      <c r="C4365" s="1">
        <v>1.3482043E7</v>
      </c>
      <c r="D4365" s="1" t="s">
        <v>4947</v>
      </c>
    </row>
    <row r="4366">
      <c r="A4366" s="1">
        <v>645.0</v>
      </c>
      <c r="B4366" s="1">
        <v>3170334.0</v>
      </c>
      <c r="C4366" s="1">
        <v>1.3468877E7</v>
      </c>
      <c r="D4366" s="1" t="s">
        <v>4948</v>
      </c>
    </row>
    <row r="4367">
      <c r="A4367" s="1">
        <v>602.0</v>
      </c>
      <c r="B4367" s="1">
        <v>3163087.0</v>
      </c>
      <c r="C4367" s="1">
        <v>1.3528677E7</v>
      </c>
      <c r="D4367" s="1" t="s">
        <v>4949</v>
      </c>
    </row>
    <row r="4368">
      <c r="A4368" s="1">
        <v>715.0</v>
      </c>
      <c r="B4368" s="1">
        <v>3158462.0</v>
      </c>
      <c r="C4368" s="1">
        <v>5.1668346E7</v>
      </c>
      <c r="D4368" s="1" t="s">
        <v>360</v>
      </c>
    </row>
    <row r="4369">
      <c r="A4369" s="1">
        <v>228.0</v>
      </c>
      <c r="B4369" s="1">
        <v>3156305.0</v>
      </c>
      <c r="C4369" s="1">
        <v>1.3414585E7</v>
      </c>
      <c r="D4369" s="1" t="s">
        <v>4142</v>
      </c>
    </row>
    <row r="4370">
      <c r="A4370" s="1">
        <v>715.0</v>
      </c>
      <c r="B4370" s="1">
        <v>3146952.0</v>
      </c>
      <c r="C4370" s="1">
        <v>1.3348193E7</v>
      </c>
      <c r="D4370" s="1" t="s">
        <v>4950</v>
      </c>
    </row>
    <row r="4371">
      <c r="A4371" s="1">
        <v>572.0</v>
      </c>
      <c r="B4371" s="1">
        <v>3145961.0</v>
      </c>
      <c r="C4371" s="1">
        <v>1.3363445E7</v>
      </c>
      <c r="D4371" s="1" t="s">
        <v>104</v>
      </c>
    </row>
    <row r="4372">
      <c r="A4372" s="1">
        <v>120.0</v>
      </c>
      <c r="B4372" s="1">
        <v>3142307.0</v>
      </c>
      <c r="C4372" s="1">
        <v>1.3305986E7</v>
      </c>
      <c r="D4372" s="1" t="s">
        <v>4167</v>
      </c>
    </row>
    <row r="4373">
      <c r="A4373" s="1">
        <v>673.0</v>
      </c>
      <c r="B4373" s="1">
        <v>3141178.0</v>
      </c>
      <c r="C4373" s="1">
        <v>1.3308707E7</v>
      </c>
      <c r="D4373" s="1" t="s">
        <v>1346</v>
      </c>
    </row>
    <row r="4374">
      <c r="A4374" s="1">
        <v>578.0</v>
      </c>
      <c r="B4374" s="1">
        <v>3139782.0</v>
      </c>
      <c r="C4374" s="1">
        <v>1.3359878E7</v>
      </c>
      <c r="D4374" s="1" t="s">
        <v>1447</v>
      </c>
    </row>
    <row r="4375">
      <c r="A4375" s="1">
        <v>142.0</v>
      </c>
      <c r="B4375" s="1">
        <v>3134796.0</v>
      </c>
      <c r="C4375" s="1">
        <v>1.3428969E7</v>
      </c>
      <c r="D4375" s="1" t="s">
        <v>4532</v>
      </c>
    </row>
    <row r="4376">
      <c r="A4376" s="1">
        <v>215.0</v>
      </c>
      <c r="B4376" s="1">
        <v>3134627.0</v>
      </c>
      <c r="C4376" s="1">
        <v>1.3336445E7</v>
      </c>
      <c r="D4376" s="1" t="s">
        <v>4941</v>
      </c>
    </row>
    <row r="4377">
      <c r="A4377" s="1">
        <v>410.0</v>
      </c>
      <c r="B4377" s="1">
        <v>3124816.0</v>
      </c>
      <c r="C4377" s="1">
        <v>1.3264285E7</v>
      </c>
      <c r="D4377" s="1" t="s">
        <v>4953</v>
      </c>
    </row>
    <row r="4378">
      <c r="A4378" s="1">
        <v>228.0</v>
      </c>
      <c r="B4378" s="1">
        <v>3120115.0</v>
      </c>
      <c r="C4378" s="1">
        <v>1.3319614E7</v>
      </c>
      <c r="D4378" s="1" t="s">
        <v>4954</v>
      </c>
    </row>
    <row r="4379">
      <c r="A4379" s="1">
        <v>667.0</v>
      </c>
      <c r="B4379" s="1">
        <v>3116288.0</v>
      </c>
      <c r="C4379" s="1">
        <v>1.3192339E7</v>
      </c>
      <c r="D4379" s="1" t="s">
        <v>222</v>
      </c>
    </row>
    <row r="4380">
      <c r="A4380" s="1">
        <v>555.0</v>
      </c>
      <c r="B4380" s="1">
        <v>3113543.0</v>
      </c>
      <c r="C4380" s="1">
        <v>1.3199633E7</v>
      </c>
      <c r="D4380" s="1" t="s">
        <v>4955</v>
      </c>
    </row>
    <row r="4381">
      <c r="A4381" s="1">
        <v>410.0</v>
      </c>
      <c r="B4381" s="1">
        <v>3112892.0</v>
      </c>
      <c r="C4381" s="1">
        <v>1.3206469E7</v>
      </c>
      <c r="D4381" s="1" t="s">
        <v>2698</v>
      </c>
    </row>
    <row r="4382">
      <c r="A4382" s="1">
        <v>672.0</v>
      </c>
      <c r="B4382" s="1">
        <v>3112870.0</v>
      </c>
      <c r="C4382" s="1">
        <v>1.3196266E7</v>
      </c>
      <c r="D4382" s="1" t="s">
        <v>2097</v>
      </c>
    </row>
    <row r="4383">
      <c r="A4383" s="1">
        <v>380.0</v>
      </c>
      <c r="B4383" s="1">
        <v>3110569.0</v>
      </c>
      <c r="C4383" s="1">
        <v>1.3195338E7</v>
      </c>
      <c r="D4383" s="1" t="s">
        <v>1006</v>
      </c>
    </row>
    <row r="4384">
      <c r="A4384" s="1">
        <v>564.0</v>
      </c>
      <c r="B4384" s="1">
        <v>3110226.0</v>
      </c>
      <c r="C4384" s="1">
        <v>1.3208681E7</v>
      </c>
      <c r="D4384" s="1" t="s">
        <v>4515</v>
      </c>
    </row>
    <row r="4385">
      <c r="A4385" s="1">
        <v>120.0</v>
      </c>
      <c r="B4385" s="1">
        <v>3107731.0</v>
      </c>
      <c r="C4385" s="1">
        <v>1.3196484E7</v>
      </c>
      <c r="D4385" s="1" t="s">
        <v>876</v>
      </c>
    </row>
    <row r="4386">
      <c r="A4386" s="1">
        <v>671.0</v>
      </c>
      <c r="B4386" s="1">
        <v>3104291.0</v>
      </c>
      <c r="C4386" s="1">
        <v>1.3138598E7</v>
      </c>
      <c r="D4386" s="1" t="s">
        <v>4227</v>
      </c>
    </row>
    <row r="4387">
      <c r="A4387" s="1">
        <v>225.0</v>
      </c>
      <c r="B4387" s="1">
        <v>3102103.0</v>
      </c>
      <c r="C4387" s="1">
        <v>1.3149605E7</v>
      </c>
      <c r="D4387" s="1" t="s">
        <v>4956</v>
      </c>
    </row>
    <row r="4388">
      <c r="A4388" s="1">
        <v>337.0</v>
      </c>
      <c r="B4388" s="1">
        <v>3093091.0</v>
      </c>
      <c r="C4388" s="1">
        <v>1.3081253E7</v>
      </c>
      <c r="D4388" s="1" t="s">
        <v>4957</v>
      </c>
    </row>
    <row r="4389">
      <c r="A4389" s="1">
        <v>409.0</v>
      </c>
      <c r="B4389" s="1">
        <v>3090802.0</v>
      </c>
      <c r="C4389" s="1">
        <v>1.3082702E7</v>
      </c>
      <c r="D4389" s="1" t="s">
        <v>4959</v>
      </c>
    </row>
    <row r="4390">
      <c r="A4390" s="1">
        <v>564.0</v>
      </c>
      <c r="B4390" s="1">
        <v>3090036.0</v>
      </c>
      <c r="C4390" s="1">
        <v>1.308616E7</v>
      </c>
      <c r="D4390" s="1" t="s">
        <v>4960</v>
      </c>
    </row>
    <row r="4391">
      <c r="A4391" s="1">
        <v>180.0</v>
      </c>
      <c r="B4391" s="1">
        <v>3087208.0</v>
      </c>
      <c r="C4391" s="1">
        <v>1.3085682E7</v>
      </c>
      <c r="D4391" s="1" t="s">
        <v>216</v>
      </c>
    </row>
    <row r="4392">
      <c r="A4392" s="1">
        <v>244.0</v>
      </c>
      <c r="B4392" s="1">
        <v>3086437.0</v>
      </c>
      <c r="C4392" s="1">
        <v>1.3092242E7</v>
      </c>
      <c r="D4392" s="1" t="s">
        <v>2923</v>
      </c>
    </row>
    <row r="4393">
      <c r="A4393" s="1">
        <v>716.0</v>
      </c>
      <c r="B4393" s="1">
        <v>3081571.0</v>
      </c>
      <c r="C4393" s="1">
        <v>1.3084481E7</v>
      </c>
      <c r="D4393" s="1" t="s">
        <v>4839</v>
      </c>
    </row>
    <row r="4394">
      <c r="A4394" s="1">
        <v>609.0</v>
      </c>
      <c r="B4394" s="1">
        <v>3080964.0</v>
      </c>
      <c r="C4394" s="1">
        <v>1.3026536E7</v>
      </c>
      <c r="D4394" s="1" t="s">
        <v>209</v>
      </c>
    </row>
    <row r="4395">
      <c r="A4395" s="1">
        <v>602.0</v>
      </c>
      <c r="B4395" s="1">
        <v>3079557.0</v>
      </c>
      <c r="C4395" s="1">
        <v>1.3135595E7</v>
      </c>
      <c r="D4395" s="1" t="s">
        <v>4961</v>
      </c>
    </row>
    <row r="4396">
      <c r="A4396" s="1">
        <v>676.0</v>
      </c>
      <c r="B4396" s="1">
        <v>3076788.0</v>
      </c>
      <c r="C4396" s="1">
        <v>1.3090188E7</v>
      </c>
      <c r="D4396" s="1" t="s">
        <v>198</v>
      </c>
    </row>
    <row r="4397">
      <c r="A4397" s="1">
        <v>671.0</v>
      </c>
      <c r="B4397" s="1">
        <v>3075125.0</v>
      </c>
      <c r="C4397" s="1">
        <v>1.3026051E7</v>
      </c>
      <c r="D4397" s="1" t="s">
        <v>4962</v>
      </c>
    </row>
    <row r="4398">
      <c r="A4398" s="1">
        <v>571.0</v>
      </c>
      <c r="B4398" s="1">
        <v>3074161.0</v>
      </c>
      <c r="C4398" s="1">
        <v>1.3077528E7</v>
      </c>
      <c r="D4398" s="1" t="s">
        <v>4963</v>
      </c>
    </row>
    <row r="4399">
      <c r="A4399" s="1">
        <v>671.0</v>
      </c>
      <c r="B4399" s="1">
        <v>3073942.0</v>
      </c>
      <c r="C4399" s="1">
        <v>4.70730585E8</v>
      </c>
      <c r="D4399" s="1" t="s">
        <v>4964</v>
      </c>
    </row>
    <row r="4400">
      <c r="A4400" s="1">
        <v>215.0</v>
      </c>
      <c r="B4400" s="1">
        <v>3072764.0</v>
      </c>
      <c r="C4400" s="1">
        <v>1.311002E7</v>
      </c>
      <c r="D4400" s="1" t="s">
        <v>2276</v>
      </c>
    </row>
    <row r="4401">
      <c r="A4401" s="1">
        <v>599.0</v>
      </c>
      <c r="B4401" s="1">
        <v>3071870.0</v>
      </c>
      <c r="C4401" s="1">
        <v>1.3023741E7</v>
      </c>
      <c r="D4401" s="1" t="s">
        <v>2827</v>
      </c>
    </row>
    <row r="4402">
      <c r="A4402" s="1">
        <v>602.0</v>
      </c>
      <c r="B4402" s="1">
        <v>3070569.0</v>
      </c>
      <c r="C4402" s="1">
        <v>1.3076366E7</v>
      </c>
      <c r="D4402" s="1" t="s">
        <v>212</v>
      </c>
    </row>
    <row r="4403">
      <c r="A4403" s="1">
        <v>402.0</v>
      </c>
      <c r="B4403" s="1">
        <v>3069588.0</v>
      </c>
      <c r="C4403" s="1">
        <v>1.3032455E7</v>
      </c>
      <c r="D4403" s="1" t="s">
        <v>4966</v>
      </c>
    </row>
    <row r="4404">
      <c r="A4404" s="1">
        <v>504.0</v>
      </c>
      <c r="B4404" s="1">
        <v>3065086.0</v>
      </c>
      <c r="C4404" s="1">
        <v>1.2966277E7</v>
      </c>
      <c r="D4404" s="1" t="s">
        <v>4967</v>
      </c>
    </row>
    <row r="4405">
      <c r="A4405" s="1">
        <v>410.0</v>
      </c>
      <c r="B4405" s="1">
        <v>3060147.0</v>
      </c>
      <c r="C4405" s="1">
        <v>4.0461651E7</v>
      </c>
      <c r="D4405" s="1" t="s">
        <v>4968</v>
      </c>
    </row>
    <row r="4406">
      <c r="A4406" s="1">
        <v>571.0</v>
      </c>
      <c r="B4406" s="1">
        <v>3059465.0</v>
      </c>
      <c r="C4406" s="1">
        <v>1.3026768E7</v>
      </c>
      <c r="D4406" s="1" t="s">
        <v>4969</v>
      </c>
    </row>
    <row r="4407">
      <c r="A4407" s="1">
        <v>257.0</v>
      </c>
      <c r="B4407" s="1">
        <v>3048929.0</v>
      </c>
      <c r="C4407" s="1">
        <v>1.2926989E7</v>
      </c>
      <c r="D4407" s="1" t="s">
        <v>3061</v>
      </c>
    </row>
    <row r="4408">
      <c r="A4408" s="1">
        <v>215.0</v>
      </c>
      <c r="B4408" s="1">
        <v>3041559.0</v>
      </c>
      <c r="C4408" s="1">
        <v>1.2952376E7</v>
      </c>
      <c r="D4408" s="1" t="s">
        <v>1848</v>
      </c>
    </row>
    <row r="4409">
      <c r="A4409" s="1">
        <v>601.0</v>
      </c>
      <c r="B4409" s="1">
        <v>3036060.0</v>
      </c>
      <c r="C4409" s="1">
        <v>1.2877326E7</v>
      </c>
      <c r="D4409" s="1" t="s">
        <v>4234</v>
      </c>
    </row>
    <row r="4410">
      <c r="A4410" s="1">
        <v>573.0</v>
      </c>
      <c r="B4410" s="1">
        <v>3033201.0</v>
      </c>
      <c r="C4410" s="1">
        <v>1.2875392E7</v>
      </c>
      <c r="D4410" s="1" t="s">
        <v>4738</v>
      </c>
    </row>
    <row r="4411">
      <c r="A4411" s="1">
        <v>597.0</v>
      </c>
      <c r="B4411" s="1">
        <v>3031750.0</v>
      </c>
      <c r="C4411" s="1">
        <v>1.2825555E7</v>
      </c>
      <c r="D4411" s="1" t="s">
        <v>4037</v>
      </c>
    </row>
    <row r="4412">
      <c r="A4412" s="1">
        <v>671.0</v>
      </c>
      <c r="B4412" s="1">
        <v>3029079.0</v>
      </c>
      <c r="C4412" s="1">
        <v>1.2816378E7</v>
      </c>
      <c r="D4412" s="1" t="s">
        <v>3369</v>
      </c>
    </row>
    <row r="4413">
      <c r="A4413" s="1">
        <v>120.0</v>
      </c>
      <c r="B4413" s="1">
        <v>3024918.0</v>
      </c>
      <c r="C4413" s="1">
        <v>1.2821319E7</v>
      </c>
      <c r="D4413" s="1" t="s">
        <v>2944</v>
      </c>
    </row>
    <row r="4414">
      <c r="A4414" s="1">
        <v>602.0</v>
      </c>
      <c r="B4414" s="1">
        <v>3021152.0</v>
      </c>
      <c r="C4414" s="1">
        <v>1.291779E7</v>
      </c>
      <c r="D4414" s="1" t="s">
        <v>4970</v>
      </c>
    </row>
    <row r="4415">
      <c r="A4415" s="1">
        <v>671.0</v>
      </c>
      <c r="B4415" s="1">
        <v>3017253.0</v>
      </c>
      <c r="C4415" s="1">
        <v>1.2765753E7</v>
      </c>
      <c r="D4415" s="1" t="s">
        <v>2564</v>
      </c>
    </row>
    <row r="4416">
      <c r="A4416" s="1">
        <v>215.0</v>
      </c>
      <c r="B4416" s="1">
        <v>3017147.0</v>
      </c>
      <c r="C4416" s="1">
        <v>2.3569398E7</v>
      </c>
      <c r="D4416" s="1" t="s">
        <v>4971</v>
      </c>
    </row>
    <row r="4417">
      <c r="A4417" s="1">
        <v>401.0</v>
      </c>
      <c r="B4417" s="1">
        <v>3016833.0</v>
      </c>
      <c r="C4417" s="1">
        <v>1.2764205E7</v>
      </c>
      <c r="D4417" s="1" t="s">
        <v>4068</v>
      </c>
    </row>
    <row r="4418">
      <c r="A4418" s="1">
        <v>142.0</v>
      </c>
      <c r="B4418" s="1">
        <v>3016592.0</v>
      </c>
      <c r="C4418" s="1">
        <v>1.2843234E7</v>
      </c>
      <c r="D4418" s="1" t="s">
        <v>2718</v>
      </c>
    </row>
    <row r="4419">
      <c r="A4419" s="1">
        <v>671.0</v>
      </c>
      <c r="B4419" s="1">
        <v>3004510.0</v>
      </c>
      <c r="C4419" s="1">
        <v>1.270443E7</v>
      </c>
      <c r="D4419" s="1" t="s">
        <v>204</v>
      </c>
    </row>
    <row r="4420">
      <c r="A4420" s="1">
        <v>488.0</v>
      </c>
      <c r="B4420" s="1">
        <v>3000890.0</v>
      </c>
      <c r="C4420" s="1">
        <v>1.2707758E7</v>
      </c>
      <c r="D4420" s="1" t="s">
        <v>3418</v>
      </c>
    </row>
    <row r="4421">
      <c r="A4421" s="1">
        <v>403.0</v>
      </c>
      <c r="B4421" s="1">
        <v>2999286.0</v>
      </c>
      <c r="C4421" s="1">
        <v>3.57032629E8</v>
      </c>
      <c r="D4421" s="1" t="s">
        <v>3150</v>
      </c>
    </row>
    <row r="4422">
      <c r="A4422" s="1">
        <v>395.0</v>
      </c>
      <c r="B4422" s="1">
        <v>2991725.0</v>
      </c>
      <c r="C4422" s="1">
        <v>1.2700649E7</v>
      </c>
      <c r="D4422" s="1" t="s">
        <v>4972</v>
      </c>
    </row>
    <row r="4423">
      <c r="A4423" s="1">
        <v>402.0</v>
      </c>
      <c r="B4423" s="1">
        <v>2980231.0</v>
      </c>
      <c r="C4423" s="1">
        <v>1.2659795E7</v>
      </c>
      <c r="D4423" s="1" t="s">
        <v>4973</v>
      </c>
    </row>
    <row r="4424">
      <c r="A4424" s="1">
        <v>573.0</v>
      </c>
      <c r="B4424" s="1">
        <v>2979879.0</v>
      </c>
      <c r="C4424" s="1">
        <v>1.2646066E7</v>
      </c>
      <c r="D4424" s="1" t="s">
        <v>1296</v>
      </c>
    </row>
    <row r="4425">
      <c r="A4425" s="1">
        <v>630.0</v>
      </c>
      <c r="B4425" s="1">
        <v>2975687.0</v>
      </c>
      <c r="C4425" s="1">
        <v>3.53451098E8</v>
      </c>
      <c r="D4425" s="1" t="s">
        <v>2928</v>
      </c>
    </row>
    <row r="4426">
      <c r="A4426" s="1">
        <v>337.0</v>
      </c>
      <c r="B4426" s="1">
        <v>2972289.0</v>
      </c>
      <c r="C4426" s="1">
        <v>1.2593395E7</v>
      </c>
      <c r="D4426" s="1" t="s">
        <v>689</v>
      </c>
    </row>
    <row r="4427">
      <c r="A4427" s="1">
        <v>594.0</v>
      </c>
      <c r="B4427" s="1">
        <v>2969697.0</v>
      </c>
      <c r="C4427" s="1">
        <v>1.2598795E7</v>
      </c>
      <c r="D4427" s="1" t="s">
        <v>4974</v>
      </c>
    </row>
    <row r="4428">
      <c r="A4428" s="1">
        <v>597.0</v>
      </c>
      <c r="B4428" s="1">
        <v>2950359.0</v>
      </c>
      <c r="C4428" s="1">
        <v>1.2518154E7</v>
      </c>
      <c r="D4428" s="1" t="s">
        <v>1731</v>
      </c>
    </row>
    <row r="4429">
      <c r="A4429" s="1">
        <v>571.0</v>
      </c>
      <c r="B4429" s="1">
        <v>2935342.0</v>
      </c>
      <c r="C4429" s="1">
        <v>1.2511376E7</v>
      </c>
      <c r="D4429" s="1" t="s">
        <v>4975</v>
      </c>
    </row>
    <row r="4430">
      <c r="A4430" s="1">
        <v>573.0</v>
      </c>
      <c r="B4430" s="1">
        <v>2928383.0</v>
      </c>
      <c r="C4430" s="1">
        <v>1.2396151E7</v>
      </c>
      <c r="D4430" s="1" t="s">
        <v>4976</v>
      </c>
    </row>
    <row r="4431">
      <c r="A4431" s="1">
        <v>414.0</v>
      </c>
      <c r="B4431" s="1">
        <v>2927844.0</v>
      </c>
      <c r="C4431" s="1">
        <v>1.2405442E7</v>
      </c>
      <c r="D4431" s="1" t="s">
        <v>3066</v>
      </c>
    </row>
    <row r="4432">
      <c r="A4432" s="1">
        <v>414.0</v>
      </c>
      <c r="B4432" s="1">
        <v>2923911.0</v>
      </c>
      <c r="C4432" s="1">
        <v>1.2395366E7</v>
      </c>
      <c r="D4432" s="1" t="s">
        <v>2584</v>
      </c>
    </row>
    <row r="4433">
      <c r="A4433" s="1">
        <v>601.0</v>
      </c>
      <c r="B4433" s="1">
        <v>2922449.0</v>
      </c>
      <c r="C4433" s="1">
        <v>1.2398257E7</v>
      </c>
      <c r="D4433" s="1" t="s">
        <v>4351</v>
      </c>
    </row>
    <row r="4434">
      <c r="A4434" s="1">
        <v>601.0</v>
      </c>
      <c r="B4434" s="1">
        <v>2920580.0</v>
      </c>
      <c r="C4434" s="1">
        <v>1.240634E7</v>
      </c>
      <c r="D4434" s="1" t="s">
        <v>3687</v>
      </c>
    </row>
    <row r="4435">
      <c r="A4435" s="1">
        <v>673.0</v>
      </c>
      <c r="B4435" s="1">
        <v>2917891.0</v>
      </c>
      <c r="C4435" s="1">
        <v>3.9889798E7</v>
      </c>
      <c r="D4435" s="1" t="s">
        <v>727</v>
      </c>
    </row>
    <row r="4436">
      <c r="A4436" s="1">
        <v>395.0</v>
      </c>
      <c r="B4436" s="1">
        <v>2909552.0</v>
      </c>
      <c r="C4436" s="1">
        <v>1.2352114E7</v>
      </c>
      <c r="D4436" s="1" t="s">
        <v>4978</v>
      </c>
    </row>
    <row r="4437">
      <c r="A4437" s="1">
        <v>120.0</v>
      </c>
      <c r="B4437" s="1">
        <v>2906552.0</v>
      </c>
      <c r="C4437" s="1">
        <v>1.2501372E7</v>
      </c>
      <c r="D4437" s="1" t="s">
        <v>1208</v>
      </c>
    </row>
    <row r="4438">
      <c r="A4438" s="1">
        <v>470.0</v>
      </c>
      <c r="B4438" s="1">
        <v>2906114.0</v>
      </c>
      <c r="C4438" s="1">
        <v>1.264567E7</v>
      </c>
      <c r="D4438" s="1" t="s">
        <v>4979</v>
      </c>
    </row>
    <row r="4439">
      <c r="A4439" s="1">
        <v>673.0</v>
      </c>
      <c r="B4439" s="1">
        <v>2901301.0</v>
      </c>
      <c r="C4439" s="1">
        <v>1.2288175E7</v>
      </c>
      <c r="D4439" s="1" t="s">
        <v>3949</v>
      </c>
    </row>
    <row r="4440">
      <c r="A4440" s="1">
        <v>602.0</v>
      </c>
      <c r="B4440" s="1">
        <v>2899066.0</v>
      </c>
      <c r="C4440" s="1">
        <v>1.2333559E7</v>
      </c>
      <c r="D4440" s="1" t="s">
        <v>4952</v>
      </c>
    </row>
    <row r="4441">
      <c r="A4441" s="1">
        <v>120.0</v>
      </c>
      <c r="B4441" s="1">
        <v>2898525.0</v>
      </c>
      <c r="C4441" s="1">
        <v>1.2279707E7</v>
      </c>
      <c r="D4441" s="1" t="s">
        <v>4980</v>
      </c>
    </row>
    <row r="4442">
      <c r="A4442" s="1">
        <v>224.0</v>
      </c>
      <c r="B4442" s="1">
        <v>2891707.0</v>
      </c>
      <c r="C4442" s="1">
        <v>1.2241464E7</v>
      </c>
      <c r="D4442" s="1" t="s">
        <v>573</v>
      </c>
    </row>
    <row r="4443">
      <c r="A4443" s="1">
        <v>395.0</v>
      </c>
      <c r="B4443" s="1">
        <v>2884300.0</v>
      </c>
      <c r="C4443" s="1">
        <v>1.2395195E7</v>
      </c>
      <c r="D4443" s="1" t="s">
        <v>4981</v>
      </c>
    </row>
    <row r="4444">
      <c r="A4444" s="1">
        <v>142.0</v>
      </c>
      <c r="B4444" s="1">
        <v>2881910.0</v>
      </c>
      <c r="C4444" s="1">
        <v>1.2261129E7</v>
      </c>
      <c r="D4444" s="1" t="s">
        <v>202</v>
      </c>
    </row>
    <row r="4445">
      <c r="A4445" s="1">
        <v>667.0</v>
      </c>
      <c r="B4445" s="1">
        <v>2873362.0</v>
      </c>
      <c r="C4445" s="1">
        <v>1.2194486E7</v>
      </c>
      <c r="D4445" s="1" t="s">
        <v>4982</v>
      </c>
    </row>
    <row r="4446">
      <c r="A4446" s="1">
        <v>602.0</v>
      </c>
      <c r="B4446" s="1">
        <v>2871708.0</v>
      </c>
      <c r="C4446" s="1">
        <v>1.4348615E7</v>
      </c>
      <c r="D4446" s="1" t="s">
        <v>889</v>
      </c>
    </row>
    <row r="4447">
      <c r="A4447" s="1">
        <v>129.0</v>
      </c>
      <c r="B4447" s="1">
        <v>2870701.0</v>
      </c>
      <c r="C4447" s="1">
        <v>1.2149305E7</v>
      </c>
      <c r="D4447" s="1" t="s">
        <v>2209</v>
      </c>
    </row>
    <row r="4448">
      <c r="A4448" s="1">
        <v>609.0</v>
      </c>
      <c r="B4448" s="1">
        <v>2865490.0</v>
      </c>
      <c r="C4448" s="1">
        <v>1.2146409E7</v>
      </c>
      <c r="D4448" s="1" t="s">
        <v>3629</v>
      </c>
    </row>
    <row r="4449">
      <c r="A4449" s="1">
        <v>120.0</v>
      </c>
      <c r="B4449" s="1">
        <v>2862547.0</v>
      </c>
      <c r="C4449" s="1">
        <v>1.2101167E7</v>
      </c>
      <c r="D4449" s="1" t="s">
        <v>4983</v>
      </c>
    </row>
    <row r="4450">
      <c r="A4450" s="1">
        <v>403.0</v>
      </c>
      <c r="B4450" s="1">
        <v>2855838.0</v>
      </c>
      <c r="C4450" s="1">
        <v>2.33383932E8</v>
      </c>
      <c r="D4450" s="1" t="s">
        <v>4451</v>
      </c>
    </row>
    <row r="4451">
      <c r="A4451" s="1">
        <v>594.0</v>
      </c>
      <c r="B4451" s="1">
        <v>2855018.0</v>
      </c>
      <c r="C4451" s="1">
        <v>1.2104812E7</v>
      </c>
      <c r="D4451" s="1" t="s">
        <v>199</v>
      </c>
    </row>
    <row r="4452">
      <c r="A4452" s="1">
        <v>120.0</v>
      </c>
      <c r="B4452" s="1">
        <v>2844300.0</v>
      </c>
      <c r="C4452" s="1">
        <v>1.2049041E7</v>
      </c>
      <c r="D4452" s="1" t="s">
        <v>4985</v>
      </c>
    </row>
    <row r="4453">
      <c r="A4453" s="1">
        <v>571.0</v>
      </c>
      <c r="B4453" s="1">
        <v>2839254.0</v>
      </c>
      <c r="C4453" s="1">
        <v>1.2046267E7</v>
      </c>
      <c r="D4453" s="1" t="s">
        <v>4879</v>
      </c>
    </row>
    <row r="4454">
      <c r="A4454" s="1">
        <v>602.0</v>
      </c>
      <c r="B4454" s="1">
        <v>2838212.0</v>
      </c>
      <c r="C4454" s="1">
        <v>1.2043818E7</v>
      </c>
      <c r="D4454" s="1" t="s">
        <v>4986</v>
      </c>
    </row>
    <row r="4455">
      <c r="A4455" s="1">
        <v>403.0</v>
      </c>
      <c r="B4455" s="1">
        <v>2838210.0</v>
      </c>
      <c r="C4455" s="1">
        <v>1.1991438E7</v>
      </c>
      <c r="D4455" s="1" t="s">
        <v>196</v>
      </c>
    </row>
    <row r="4456">
      <c r="A4456" s="1">
        <v>401.0</v>
      </c>
      <c r="B4456" s="1">
        <v>2834692.0</v>
      </c>
      <c r="C4456" s="1">
        <v>1.1987739E7</v>
      </c>
      <c r="D4456" s="1" t="s">
        <v>4987</v>
      </c>
    </row>
    <row r="4457">
      <c r="A4457" s="1">
        <v>679.0</v>
      </c>
      <c r="B4457" s="1">
        <v>2830942.0</v>
      </c>
      <c r="C4457" s="1">
        <v>1.1991557E7</v>
      </c>
      <c r="D4457" s="1" t="s">
        <v>1491</v>
      </c>
    </row>
    <row r="4458">
      <c r="A4458" s="1">
        <v>488.0</v>
      </c>
      <c r="B4458" s="1">
        <v>2828728.0</v>
      </c>
      <c r="C4458" s="1">
        <v>1.199475E7</v>
      </c>
      <c r="D4458" s="1" t="s">
        <v>4988</v>
      </c>
    </row>
    <row r="4459">
      <c r="A4459" s="1">
        <v>120.0</v>
      </c>
      <c r="B4459" s="1">
        <v>2828152.0</v>
      </c>
      <c r="C4459" s="1">
        <v>1.1994972E7</v>
      </c>
      <c r="D4459" s="1" t="s">
        <v>3621</v>
      </c>
    </row>
    <row r="4460">
      <c r="A4460" s="1">
        <v>484.0</v>
      </c>
      <c r="B4460" s="1">
        <v>2821590.0</v>
      </c>
      <c r="C4460" s="1">
        <v>1.193263E7</v>
      </c>
      <c r="D4460" s="1" t="s">
        <v>4124</v>
      </c>
    </row>
    <row r="4461">
      <c r="A4461" s="1">
        <v>225.0</v>
      </c>
      <c r="B4461" s="1">
        <v>2819082.0</v>
      </c>
      <c r="C4461" s="1">
        <v>1.2008109E7</v>
      </c>
      <c r="D4461" s="1" t="s">
        <v>3403</v>
      </c>
    </row>
    <row r="4462">
      <c r="A4462" s="1">
        <v>459.0</v>
      </c>
      <c r="B4462" s="1">
        <v>2816750.0</v>
      </c>
      <c r="C4462" s="1">
        <v>1.1933435E7</v>
      </c>
      <c r="D4462" s="1" t="s">
        <v>3073</v>
      </c>
    </row>
    <row r="4463">
      <c r="A4463" s="1">
        <v>671.0</v>
      </c>
      <c r="B4463" s="1">
        <v>2815440.0</v>
      </c>
      <c r="C4463" s="1">
        <v>1.1940953E7</v>
      </c>
      <c r="D4463" s="1" t="s">
        <v>1972</v>
      </c>
    </row>
    <row r="4464">
      <c r="A4464" s="1">
        <v>609.0</v>
      </c>
      <c r="B4464" s="1">
        <v>2810689.0</v>
      </c>
      <c r="C4464" s="1">
        <v>1.1886111E7</v>
      </c>
      <c r="D4464" s="1" t="s">
        <v>1144</v>
      </c>
    </row>
    <row r="4465">
      <c r="A4465" s="1">
        <v>609.0</v>
      </c>
      <c r="B4465" s="1">
        <v>2794359.0</v>
      </c>
      <c r="C4465" s="1">
        <v>1.1783082E7</v>
      </c>
      <c r="D4465" s="1" t="s">
        <v>4991</v>
      </c>
    </row>
    <row r="4466">
      <c r="A4466" s="1">
        <v>244.0</v>
      </c>
      <c r="B4466" s="1">
        <v>2792503.0</v>
      </c>
      <c r="C4466" s="1">
        <v>1.178227E7</v>
      </c>
      <c r="D4466" s="17" t="s">
        <v>2942</v>
      </c>
    </row>
    <row r="4467">
      <c r="A4467" s="1">
        <v>571.0</v>
      </c>
      <c r="B4467" s="1">
        <v>2788658.0</v>
      </c>
      <c r="C4467" s="1">
        <v>1.1826736E7</v>
      </c>
      <c r="D4467" s="1" t="s">
        <v>3748</v>
      </c>
    </row>
    <row r="4468">
      <c r="A4468" s="1">
        <v>571.0</v>
      </c>
      <c r="B4468" s="1">
        <v>2787999.0</v>
      </c>
      <c r="C4468" s="1">
        <v>1.1834733E7</v>
      </c>
      <c r="D4468" s="1" t="s">
        <v>4992</v>
      </c>
    </row>
    <row r="4469">
      <c r="A4469" s="1">
        <v>601.0</v>
      </c>
      <c r="B4469" s="1">
        <v>2787563.0</v>
      </c>
      <c r="C4469" s="1">
        <v>1.1778236E7</v>
      </c>
      <c r="D4469" s="1" t="s">
        <v>4993</v>
      </c>
    </row>
    <row r="4470">
      <c r="A4470" s="1">
        <v>595.0</v>
      </c>
      <c r="B4470" s="1">
        <v>2784004.0</v>
      </c>
      <c r="C4470" s="1">
        <v>1.1786043E7</v>
      </c>
      <c r="D4470" s="1" t="s">
        <v>518</v>
      </c>
    </row>
    <row r="4471">
      <c r="A4471" s="1">
        <v>215.0</v>
      </c>
      <c r="B4471" s="1">
        <v>2782806.0</v>
      </c>
      <c r="C4471" s="1">
        <v>1.180782E7</v>
      </c>
      <c r="D4471" s="1" t="s">
        <v>2864</v>
      </c>
    </row>
    <row r="4472">
      <c r="A4472" s="1">
        <v>257.0</v>
      </c>
      <c r="B4472" s="1">
        <v>2780783.0</v>
      </c>
      <c r="C4472" s="1">
        <v>1.1725132E7</v>
      </c>
      <c r="D4472" s="1" t="s">
        <v>4994</v>
      </c>
    </row>
    <row r="4473">
      <c r="A4473" s="1">
        <v>409.0</v>
      </c>
      <c r="B4473" s="1">
        <v>2780412.0</v>
      </c>
      <c r="C4473" s="1">
        <v>1.1726455E7</v>
      </c>
      <c r="D4473" s="1" t="s">
        <v>4995</v>
      </c>
    </row>
    <row r="4474">
      <c r="A4474" s="1">
        <v>380.0</v>
      </c>
      <c r="B4474" s="1">
        <v>2779219.0</v>
      </c>
      <c r="C4474" s="1">
        <v>1.172549E7</v>
      </c>
      <c r="D4474" s="1" t="s">
        <v>2179</v>
      </c>
    </row>
    <row r="4475">
      <c r="A4475" s="1">
        <v>141.0</v>
      </c>
      <c r="B4475" s="1">
        <v>2772526.0</v>
      </c>
      <c r="C4475" s="1">
        <v>1.1733032E7</v>
      </c>
      <c r="D4475" s="1" t="s">
        <v>4997</v>
      </c>
    </row>
    <row r="4476">
      <c r="A4476" s="1">
        <v>504.0</v>
      </c>
      <c r="B4476" s="1">
        <v>2770485.0</v>
      </c>
      <c r="C4476" s="1">
        <v>1.1713901E7</v>
      </c>
      <c r="D4476" s="1" t="s">
        <v>4998</v>
      </c>
    </row>
    <row r="4477">
      <c r="A4477" s="1">
        <v>120.0</v>
      </c>
      <c r="B4477" s="1">
        <v>2768429.0</v>
      </c>
      <c r="C4477" s="1">
        <v>1.1667389E7</v>
      </c>
      <c r="D4477" s="1" t="s">
        <v>4999</v>
      </c>
    </row>
    <row r="4478">
      <c r="A4478" s="1">
        <v>481.0</v>
      </c>
      <c r="B4478" s="1">
        <v>2765654.0</v>
      </c>
      <c r="C4478" s="1">
        <v>1.1669256E7</v>
      </c>
      <c r="D4478" s="1" t="s">
        <v>1484</v>
      </c>
    </row>
    <row r="4479">
      <c r="A4479" s="1">
        <v>394.0</v>
      </c>
      <c r="B4479" s="1">
        <v>2752018.0</v>
      </c>
      <c r="C4479" s="1">
        <v>3.9021589E7</v>
      </c>
      <c r="D4479" s="1" t="s">
        <v>5001</v>
      </c>
    </row>
    <row r="4480">
      <c r="A4480" s="1">
        <v>602.0</v>
      </c>
      <c r="B4480" s="1">
        <v>2748937.0</v>
      </c>
      <c r="C4480" s="1">
        <v>1.17685488E8</v>
      </c>
      <c r="D4480" s="1" t="s">
        <v>5003</v>
      </c>
    </row>
    <row r="4481">
      <c r="A4481" s="1">
        <v>120.0</v>
      </c>
      <c r="B4481" s="1">
        <v>2747766.0</v>
      </c>
      <c r="C4481" s="1">
        <v>1.1598932E7</v>
      </c>
      <c r="D4481" s="1" t="s">
        <v>5004</v>
      </c>
    </row>
    <row r="4482">
      <c r="A4482" s="1">
        <v>673.0</v>
      </c>
      <c r="B4482" s="1">
        <v>2743298.0</v>
      </c>
      <c r="C4482" s="1">
        <v>1.1528543E7</v>
      </c>
      <c r="D4482" s="1" t="s">
        <v>1753</v>
      </c>
    </row>
    <row r="4483">
      <c r="A4483" s="1">
        <v>671.0</v>
      </c>
      <c r="B4483" s="1">
        <v>2742706.0</v>
      </c>
      <c r="C4483" s="1">
        <v>1.1533036E7</v>
      </c>
      <c r="D4483" s="1" t="s">
        <v>4755</v>
      </c>
    </row>
    <row r="4484">
      <c r="A4484" s="1">
        <v>694.0</v>
      </c>
      <c r="B4484" s="1">
        <v>2740971.0</v>
      </c>
      <c r="C4484" s="1">
        <v>1.513797E7</v>
      </c>
      <c r="D4484" s="1" t="s">
        <v>788</v>
      </c>
    </row>
    <row r="4485">
      <c r="A4485" s="1">
        <v>395.0</v>
      </c>
      <c r="B4485" s="1">
        <v>2731786.0</v>
      </c>
      <c r="C4485" s="1">
        <v>1.152653E7</v>
      </c>
      <c r="D4485" s="1" t="s">
        <v>4607</v>
      </c>
    </row>
    <row r="4486">
      <c r="A4486" s="1">
        <v>715.0</v>
      </c>
      <c r="B4486" s="1">
        <v>2729926.0</v>
      </c>
      <c r="C4486" s="1">
        <v>1.1469469E7</v>
      </c>
      <c r="D4486" s="1" t="s">
        <v>4574</v>
      </c>
    </row>
    <row r="4487">
      <c r="A4487" s="1">
        <v>665.0</v>
      </c>
      <c r="B4487" s="1">
        <v>2725617.0</v>
      </c>
      <c r="C4487" s="1">
        <v>1.1487933E7</v>
      </c>
      <c r="D4487" s="1" t="s">
        <v>4775</v>
      </c>
    </row>
    <row r="4488">
      <c r="A4488" s="1">
        <v>120.0</v>
      </c>
      <c r="B4488" s="1">
        <v>2724592.0</v>
      </c>
      <c r="C4488" s="1">
        <v>3.54170664E8</v>
      </c>
      <c r="D4488" s="1" t="s">
        <v>4851</v>
      </c>
    </row>
    <row r="4489">
      <c r="A4489" s="1">
        <v>384.0</v>
      </c>
      <c r="B4489" s="1">
        <v>2724249.0</v>
      </c>
      <c r="C4489" s="1">
        <v>1.1486603E7</v>
      </c>
      <c r="D4489" s="1" t="s">
        <v>4379</v>
      </c>
    </row>
    <row r="4490">
      <c r="A4490" s="1">
        <v>481.0</v>
      </c>
      <c r="B4490" s="1">
        <v>2718577.0</v>
      </c>
      <c r="C4490" s="1">
        <v>1.1424374E7</v>
      </c>
      <c r="D4490" s="1" t="s">
        <v>5005</v>
      </c>
    </row>
    <row r="4491">
      <c r="A4491" s="1">
        <v>319.0</v>
      </c>
      <c r="B4491" s="1">
        <v>2716027.0</v>
      </c>
      <c r="C4491" s="1">
        <v>1.142402E7</v>
      </c>
      <c r="D4491" s="1" t="s">
        <v>3302</v>
      </c>
    </row>
    <row r="4492">
      <c r="A4492" s="1">
        <v>120.0</v>
      </c>
      <c r="B4492" s="1">
        <v>2714653.0</v>
      </c>
      <c r="C4492" s="1">
        <v>1.1431912E7</v>
      </c>
      <c r="D4492" s="1" t="s">
        <v>5006</v>
      </c>
    </row>
    <row r="4493">
      <c r="A4493" s="1">
        <v>285.0</v>
      </c>
      <c r="B4493" s="1">
        <v>2710506.0</v>
      </c>
      <c r="C4493" s="1">
        <v>2.2269405E7</v>
      </c>
      <c r="D4493" s="1" t="s">
        <v>5007</v>
      </c>
    </row>
    <row r="4494">
      <c r="A4494" s="1">
        <v>609.0</v>
      </c>
      <c r="B4494" s="1">
        <v>2706990.0</v>
      </c>
      <c r="C4494" s="1">
        <v>5.5008568E7</v>
      </c>
      <c r="D4494" s="1" t="s">
        <v>1712</v>
      </c>
    </row>
    <row r="4495">
      <c r="A4495" s="1">
        <v>401.0</v>
      </c>
      <c r="B4495" s="1">
        <v>2706089.0</v>
      </c>
      <c r="C4495" s="1">
        <v>1.1421553E7</v>
      </c>
      <c r="D4495" s="1" t="s">
        <v>4977</v>
      </c>
    </row>
    <row r="4496">
      <c r="A4496" s="1">
        <v>601.0</v>
      </c>
      <c r="B4496" s="1">
        <v>2690088.0</v>
      </c>
      <c r="C4496" s="1">
        <v>1.1325198E7</v>
      </c>
      <c r="D4496" s="1" t="s">
        <v>3039</v>
      </c>
    </row>
    <row r="4497">
      <c r="A4497" s="1">
        <v>216.0</v>
      </c>
      <c r="B4497" s="1">
        <v>2689774.0</v>
      </c>
      <c r="C4497" s="1">
        <v>1.1328438E7</v>
      </c>
      <c r="D4497" s="1" t="s">
        <v>5008</v>
      </c>
    </row>
    <row r="4498">
      <c r="A4498" s="1">
        <v>225.0</v>
      </c>
      <c r="B4498" s="1">
        <v>2685885.0</v>
      </c>
      <c r="C4498" s="1">
        <v>1.1332205E7</v>
      </c>
      <c r="D4498" s="1" t="s">
        <v>595</v>
      </c>
    </row>
    <row r="4499">
      <c r="A4499" s="1">
        <v>471.0</v>
      </c>
      <c r="B4499" s="1">
        <v>2683687.0</v>
      </c>
      <c r="C4499" s="1">
        <v>2.6409419E7</v>
      </c>
      <c r="D4499" s="1" t="s">
        <v>1015</v>
      </c>
    </row>
    <row r="4500">
      <c r="A4500" s="1">
        <v>319.0</v>
      </c>
      <c r="B4500" s="1">
        <v>2680968.0</v>
      </c>
      <c r="C4500" s="1">
        <v>1.1381638E7</v>
      </c>
      <c r="D4500" s="1" t="s">
        <v>5009</v>
      </c>
    </row>
    <row r="4501">
      <c r="A4501" s="1">
        <v>212.0</v>
      </c>
      <c r="B4501" s="1">
        <v>2679219.0</v>
      </c>
      <c r="C4501" s="1">
        <v>1.1274332E7</v>
      </c>
      <c r="D4501" s="1" t="s">
        <v>5010</v>
      </c>
    </row>
    <row r="4502">
      <c r="A4502" s="1">
        <v>403.0</v>
      </c>
      <c r="B4502" s="1">
        <v>2678696.0</v>
      </c>
      <c r="C4502" s="1">
        <v>2.84629284E8</v>
      </c>
      <c r="D4502" s="1" t="s">
        <v>4104</v>
      </c>
    </row>
    <row r="4503">
      <c r="A4503" s="1">
        <v>571.0</v>
      </c>
      <c r="B4503" s="1">
        <v>2676616.0</v>
      </c>
      <c r="C4503" s="1">
        <v>1.132016E7</v>
      </c>
      <c r="D4503" s="1" t="s">
        <v>5011</v>
      </c>
    </row>
    <row r="4504">
      <c r="A4504" s="1">
        <v>207.0</v>
      </c>
      <c r="B4504" s="1">
        <v>2674442.0</v>
      </c>
      <c r="C4504" s="1">
        <v>1.1289482E7</v>
      </c>
      <c r="D4504" s="1" t="s">
        <v>4726</v>
      </c>
    </row>
    <row r="4505">
      <c r="A4505" s="1">
        <v>571.0</v>
      </c>
      <c r="B4505" s="1">
        <v>2673925.0</v>
      </c>
      <c r="C4505" s="1">
        <v>2.9793853E7</v>
      </c>
      <c r="D4505" s="1" t="s">
        <v>2653</v>
      </c>
    </row>
    <row r="4506">
      <c r="A4506" s="1">
        <v>409.0</v>
      </c>
      <c r="B4506" s="1">
        <v>2667645.0</v>
      </c>
      <c r="C4506" s="1">
        <v>1.1283762E7</v>
      </c>
      <c r="D4506" s="1" t="s">
        <v>5012</v>
      </c>
    </row>
    <row r="4507">
      <c r="A4507" s="1">
        <v>564.0</v>
      </c>
      <c r="B4507" s="1">
        <v>2665161.0</v>
      </c>
      <c r="C4507" s="1">
        <v>1.1225905E7</v>
      </c>
      <c r="D4507" s="1" t="s">
        <v>1652</v>
      </c>
    </row>
    <row r="4508">
      <c r="A4508" s="1">
        <v>410.0</v>
      </c>
      <c r="B4508" s="1">
        <v>2664244.0</v>
      </c>
      <c r="C4508" s="1">
        <v>1.1287397E7</v>
      </c>
      <c r="D4508" s="1" t="s">
        <v>189</v>
      </c>
    </row>
    <row r="4509">
      <c r="A4509" s="1">
        <v>578.0</v>
      </c>
      <c r="B4509" s="1">
        <v>2657987.0</v>
      </c>
      <c r="C4509" s="1">
        <v>3.98599342E8</v>
      </c>
      <c r="D4509" s="1" t="s">
        <v>4873</v>
      </c>
    </row>
    <row r="4510">
      <c r="A4510" s="1">
        <v>215.0</v>
      </c>
      <c r="B4510" s="1">
        <v>2644273.0</v>
      </c>
      <c r="C4510" s="1">
        <v>1.1202332E7</v>
      </c>
      <c r="D4510" s="1" t="s">
        <v>4663</v>
      </c>
    </row>
    <row r="4511">
      <c r="A4511" s="1">
        <v>380.0</v>
      </c>
      <c r="B4511" s="1">
        <v>2643863.0</v>
      </c>
      <c r="C4511" s="1">
        <v>1.1120604E7</v>
      </c>
      <c r="D4511" s="1" t="s">
        <v>187</v>
      </c>
    </row>
    <row r="4512">
      <c r="A4512" s="1">
        <v>203.0</v>
      </c>
      <c r="B4512" s="1">
        <v>2638590.0</v>
      </c>
      <c r="C4512" s="1">
        <v>1.2975626E7</v>
      </c>
      <c r="D4512" s="1" t="s">
        <v>207</v>
      </c>
    </row>
    <row r="4513">
      <c r="A4513" s="1">
        <v>587.0</v>
      </c>
      <c r="B4513" s="1">
        <v>2632317.0</v>
      </c>
      <c r="C4513" s="1">
        <v>1.1073651E7</v>
      </c>
      <c r="D4513" s="1" t="s">
        <v>5013</v>
      </c>
    </row>
    <row r="4514">
      <c r="A4514" s="1">
        <v>602.0</v>
      </c>
      <c r="B4514" s="1">
        <v>2626952.0</v>
      </c>
      <c r="C4514" s="1">
        <v>8.3126751E7</v>
      </c>
      <c r="D4514" s="1" t="s">
        <v>5014</v>
      </c>
    </row>
    <row r="4515">
      <c r="A4515" s="1">
        <v>394.0</v>
      </c>
      <c r="B4515" s="1">
        <v>2603281.0</v>
      </c>
      <c r="C4515" s="1">
        <v>1.0982299E7</v>
      </c>
      <c r="D4515" s="1" t="s">
        <v>3814</v>
      </c>
    </row>
    <row r="4516">
      <c r="A4516" s="1">
        <v>676.0</v>
      </c>
      <c r="B4516" s="1">
        <v>2602314.0</v>
      </c>
      <c r="C4516" s="1">
        <v>1.102673E7</v>
      </c>
      <c r="D4516" s="1" t="s">
        <v>4151</v>
      </c>
    </row>
    <row r="4517">
      <c r="A4517" s="1">
        <v>215.0</v>
      </c>
      <c r="B4517" s="1">
        <v>2597288.0</v>
      </c>
      <c r="C4517" s="1">
        <v>1.95643394E8</v>
      </c>
      <c r="D4517" s="1" t="s">
        <v>4367</v>
      </c>
    </row>
    <row r="4518">
      <c r="A4518" s="1">
        <v>587.0</v>
      </c>
      <c r="B4518" s="1">
        <v>2594855.0</v>
      </c>
      <c r="C4518" s="1">
        <v>1.093297E7</v>
      </c>
      <c r="D4518" s="1" t="s">
        <v>4762</v>
      </c>
    </row>
    <row r="4519">
      <c r="A4519" s="1">
        <v>601.0</v>
      </c>
      <c r="B4519" s="1">
        <v>2585977.0</v>
      </c>
      <c r="C4519" s="1">
        <v>1.0939354E7</v>
      </c>
      <c r="D4519" s="1" t="s">
        <v>5015</v>
      </c>
    </row>
    <row r="4520">
      <c r="A4520" s="1">
        <v>670.0</v>
      </c>
      <c r="B4520" s="1">
        <v>2575712.0</v>
      </c>
      <c r="C4520" s="1">
        <v>2.9801359E7</v>
      </c>
      <c r="D4520" s="1" t="s">
        <v>5016</v>
      </c>
    </row>
    <row r="4521">
      <c r="A4521" s="1">
        <v>215.0</v>
      </c>
      <c r="B4521" s="1">
        <v>2571361.0</v>
      </c>
      <c r="C4521" s="1">
        <v>1.091448E7</v>
      </c>
      <c r="D4521" s="1" t="s">
        <v>847</v>
      </c>
    </row>
    <row r="4522">
      <c r="A4522" s="1">
        <v>225.0</v>
      </c>
      <c r="B4522" s="1">
        <v>2561217.0</v>
      </c>
      <c r="C4522" s="1">
        <v>1.0892274E7</v>
      </c>
      <c r="D4522" s="1" t="s">
        <v>3947</v>
      </c>
    </row>
    <row r="4523">
      <c r="A4523" s="1">
        <v>573.0</v>
      </c>
      <c r="B4523" s="1">
        <v>2555057.0</v>
      </c>
      <c r="C4523" s="1">
        <v>1.0777491E7</v>
      </c>
      <c r="D4523" s="1" t="s">
        <v>2073</v>
      </c>
    </row>
    <row r="4524">
      <c r="A4524" s="1">
        <v>571.0</v>
      </c>
      <c r="B4524" s="1">
        <v>2542620.0</v>
      </c>
      <c r="C4524" s="1">
        <v>1.0774589E7</v>
      </c>
      <c r="D4524" s="1" t="s">
        <v>3959</v>
      </c>
    </row>
    <row r="4525">
      <c r="A4525" s="1">
        <v>378.0</v>
      </c>
      <c r="B4525" s="1">
        <v>2540259.0</v>
      </c>
      <c r="C4525" s="1">
        <v>1.0736818E7</v>
      </c>
      <c r="D4525" s="1" t="s">
        <v>3744</v>
      </c>
    </row>
    <row r="4526">
      <c r="A4526" s="1">
        <v>609.0</v>
      </c>
      <c r="B4526" s="1">
        <v>2523672.0</v>
      </c>
      <c r="C4526" s="1">
        <v>1.0646577E7</v>
      </c>
      <c r="D4526" s="1" t="s">
        <v>4918</v>
      </c>
    </row>
    <row r="4527">
      <c r="A4527" s="1">
        <v>484.0</v>
      </c>
      <c r="B4527" s="1">
        <v>2522411.0</v>
      </c>
      <c r="C4527" s="1">
        <v>1.5166403E7</v>
      </c>
      <c r="D4527" s="1" t="s">
        <v>645</v>
      </c>
    </row>
    <row r="4528">
      <c r="A4528" s="1">
        <v>571.0</v>
      </c>
      <c r="B4528" s="1">
        <v>2517372.0</v>
      </c>
      <c r="C4528" s="1">
        <v>4.6891798E8</v>
      </c>
      <c r="D4528" s="1" t="s">
        <v>5017</v>
      </c>
    </row>
    <row r="4529">
      <c r="A4529" s="1">
        <v>395.0</v>
      </c>
      <c r="B4529" s="1">
        <v>2513620.0</v>
      </c>
      <c r="C4529" s="1">
        <v>1.0600383E7</v>
      </c>
      <c r="D4529" s="1" t="s">
        <v>5018</v>
      </c>
    </row>
    <row r="4530">
      <c r="A4530" s="1">
        <v>379.0</v>
      </c>
      <c r="B4530" s="1">
        <v>2510247.0</v>
      </c>
      <c r="C4530" s="1">
        <v>1.0595544E7</v>
      </c>
      <c r="D4530" s="1" t="s">
        <v>509</v>
      </c>
    </row>
    <row r="4531">
      <c r="A4531" s="1">
        <v>571.0</v>
      </c>
      <c r="B4531" s="1">
        <v>2506480.0</v>
      </c>
      <c r="C4531" s="1">
        <v>1.0642723E7</v>
      </c>
      <c r="D4531" s="1" t="s">
        <v>2238</v>
      </c>
    </row>
    <row r="4532">
      <c r="A4532" s="1">
        <v>402.0</v>
      </c>
      <c r="B4532" s="1">
        <v>2504193.0</v>
      </c>
      <c r="C4532" s="1">
        <v>1.0602832E7</v>
      </c>
      <c r="D4532" s="1" t="s">
        <v>4684</v>
      </c>
    </row>
    <row r="4533">
      <c r="A4533" s="1">
        <v>571.0</v>
      </c>
      <c r="B4533" s="1">
        <v>2502195.0</v>
      </c>
      <c r="C4533" s="1">
        <v>1.05987E7</v>
      </c>
      <c r="D4533" s="1" t="s">
        <v>184</v>
      </c>
    </row>
    <row r="4534">
      <c r="A4534" s="1">
        <v>204.0</v>
      </c>
      <c r="B4534" s="1">
        <v>2497926.0</v>
      </c>
      <c r="C4534" s="1">
        <v>1.0560214E7</v>
      </c>
      <c r="D4534" s="1" t="s">
        <v>3648</v>
      </c>
    </row>
    <row r="4535">
      <c r="A4535" s="1">
        <v>571.0</v>
      </c>
      <c r="B4535" s="1">
        <v>2492807.0</v>
      </c>
      <c r="C4535" s="1">
        <v>1.0597801E7</v>
      </c>
      <c r="D4535" s="1" t="s">
        <v>5020</v>
      </c>
    </row>
    <row r="4536">
      <c r="A4536" s="1">
        <v>571.0</v>
      </c>
      <c r="B4536" s="1">
        <v>2492807.0</v>
      </c>
      <c r="C4536" s="1">
        <v>2.68884066E8</v>
      </c>
      <c r="D4536" s="1" t="s">
        <v>5021</v>
      </c>
    </row>
    <row r="4537">
      <c r="A4537" s="1">
        <v>380.0</v>
      </c>
      <c r="B4537" s="1">
        <v>2487883.0</v>
      </c>
      <c r="C4537" s="1">
        <v>1.0515274E7</v>
      </c>
      <c r="D4537" s="1" t="s">
        <v>5022</v>
      </c>
    </row>
    <row r="4538">
      <c r="A4538" s="1">
        <v>225.0</v>
      </c>
      <c r="B4538" s="1">
        <v>2484443.0</v>
      </c>
      <c r="C4538" s="1">
        <v>1.0515731E7</v>
      </c>
      <c r="D4538" s="1" t="s">
        <v>5023</v>
      </c>
    </row>
    <row r="4539">
      <c r="A4539" s="1">
        <v>571.0</v>
      </c>
      <c r="B4539" s="1">
        <v>2479265.0</v>
      </c>
      <c r="C4539" s="1">
        <v>1.0515394E7</v>
      </c>
      <c r="D4539" s="1" t="s">
        <v>2300</v>
      </c>
    </row>
    <row r="4540">
      <c r="A4540" s="1">
        <v>215.0</v>
      </c>
      <c r="B4540" s="1">
        <v>2470353.0</v>
      </c>
      <c r="C4540" s="1">
        <v>1.0529758E7</v>
      </c>
      <c r="D4540" s="1" t="s">
        <v>4503</v>
      </c>
    </row>
    <row r="4541">
      <c r="A4541" s="1">
        <v>601.0</v>
      </c>
      <c r="B4541" s="1">
        <v>2462682.0</v>
      </c>
      <c r="C4541" s="1">
        <v>3.5110807E7</v>
      </c>
      <c r="D4541" s="1" t="s">
        <v>2717</v>
      </c>
    </row>
    <row r="4542">
      <c r="A4542" s="1">
        <v>203.0</v>
      </c>
      <c r="B4542" s="1">
        <v>2460324.0</v>
      </c>
      <c r="C4542" s="1">
        <v>1.0429267E7</v>
      </c>
      <c r="D4542" s="1" t="s">
        <v>5025</v>
      </c>
    </row>
    <row r="4543">
      <c r="A4543" s="1">
        <v>397.0</v>
      </c>
      <c r="B4543" s="1">
        <v>2459079.0</v>
      </c>
      <c r="C4543" s="1">
        <v>1.0435246E7</v>
      </c>
      <c r="D4543" s="1" t="s">
        <v>181</v>
      </c>
    </row>
    <row r="4544">
      <c r="A4544" s="1">
        <v>608.0</v>
      </c>
      <c r="B4544" s="1">
        <v>2458868.0</v>
      </c>
      <c r="C4544" s="1">
        <v>1.0393609E7</v>
      </c>
      <c r="D4544" s="1" t="s">
        <v>2616</v>
      </c>
    </row>
    <row r="4545">
      <c r="A4545" s="1">
        <v>173.0</v>
      </c>
      <c r="B4545" s="1">
        <v>2446526.0</v>
      </c>
      <c r="C4545" s="1">
        <v>1.0363961E7</v>
      </c>
      <c r="D4545" s="1" t="s">
        <v>2381</v>
      </c>
    </row>
    <row r="4546">
      <c r="A4546" s="1">
        <v>671.0</v>
      </c>
      <c r="B4546" s="1">
        <v>2441589.0</v>
      </c>
      <c r="C4546" s="1">
        <v>3.62251496E8</v>
      </c>
      <c r="D4546" s="25" t="str">
        <f>+10..can I stay an extra night, Saturday night</f>
        <v>#ERROR!</v>
      </c>
    </row>
    <row r="4547">
      <c r="A4547" s="1">
        <v>504.0</v>
      </c>
      <c r="B4547" s="1">
        <v>2430701.0</v>
      </c>
      <c r="C4547" s="1">
        <v>1.79550098E8</v>
      </c>
      <c r="D4547" s="1" t="s">
        <v>5026</v>
      </c>
    </row>
    <row r="4548">
      <c r="A4548" s="1">
        <v>410.0</v>
      </c>
      <c r="B4548" s="1">
        <v>2424942.0</v>
      </c>
      <c r="C4548" s="1">
        <v>1.0275615E7</v>
      </c>
      <c r="D4548" s="1" t="s">
        <v>4410</v>
      </c>
    </row>
    <row r="4549">
      <c r="A4549" s="1">
        <v>571.0</v>
      </c>
      <c r="B4549" s="1">
        <v>2401612.0</v>
      </c>
      <c r="C4549" s="1">
        <v>4.55398434E8</v>
      </c>
      <c r="D4549" s="1" t="s">
        <v>542</v>
      </c>
    </row>
    <row r="4550">
      <c r="A4550" s="1">
        <v>475.0</v>
      </c>
      <c r="B4550" s="1">
        <v>2390070.0</v>
      </c>
      <c r="C4550" s="1">
        <v>1.0135648E7</v>
      </c>
      <c r="D4550" s="1" t="s">
        <v>178</v>
      </c>
    </row>
    <row r="4551">
      <c r="A4551" s="1">
        <v>215.0</v>
      </c>
      <c r="B4551" s="1">
        <v>2384123.0</v>
      </c>
      <c r="C4551" s="1">
        <v>1.0152285E7</v>
      </c>
      <c r="D4551" s="1" t="s">
        <v>3256</v>
      </c>
    </row>
    <row r="4552">
      <c r="A4552" s="1">
        <v>564.0</v>
      </c>
      <c r="B4552" s="1">
        <v>2368555.0</v>
      </c>
      <c r="C4552" s="1">
        <v>1.0064031E7</v>
      </c>
      <c r="D4552" s="1" t="s">
        <v>5027</v>
      </c>
    </row>
    <row r="4553">
      <c r="A4553" s="1">
        <v>384.0</v>
      </c>
      <c r="B4553" s="1">
        <v>2361212.0</v>
      </c>
      <c r="C4553" s="1">
        <v>1.0029788E7</v>
      </c>
      <c r="D4553" s="1" t="s">
        <v>175</v>
      </c>
    </row>
    <row r="4554">
      <c r="A4554" s="1">
        <v>129.0</v>
      </c>
      <c r="B4554" s="1">
        <v>2358345.0</v>
      </c>
      <c r="C4554" s="1">
        <v>1.0022308E7</v>
      </c>
      <c r="D4554" s="1" t="s">
        <v>5029</v>
      </c>
    </row>
    <row r="4555">
      <c r="A4555" s="1">
        <v>602.0</v>
      </c>
      <c r="B4555" s="1">
        <v>2357798.0</v>
      </c>
      <c r="C4555" s="1">
        <v>4.48108785E8</v>
      </c>
      <c r="D4555" s="1" t="s">
        <v>4821</v>
      </c>
    </row>
    <row r="4556">
      <c r="A4556" s="1">
        <v>503.0</v>
      </c>
      <c r="B4556" s="1">
        <v>2352884.0</v>
      </c>
      <c r="C4556" s="1">
        <v>1.0029585E7</v>
      </c>
      <c r="D4556" s="1" t="s">
        <v>4060</v>
      </c>
    </row>
    <row r="4557">
      <c r="A4557" s="1">
        <v>288.0</v>
      </c>
      <c r="B4557" s="1">
        <v>2350167.0</v>
      </c>
      <c r="C4557" s="1">
        <v>7.241262E7</v>
      </c>
      <c r="D4557" s="1" t="s">
        <v>380</v>
      </c>
    </row>
    <row r="4558">
      <c r="A4558" s="1">
        <v>526.0</v>
      </c>
      <c r="B4558" s="1">
        <v>2333057.0</v>
      </c>
      <c r="C4558" s="1">
        <v>9935863.0</v>
      </c>
      <c r="D4558" s="1" t="s">
        <v>5030</v>
      </c>
    </row>
    <row r="4559">
      <c r="A4559" s="1">
        <v>120.0</v>
      </c>
      <c r="B4559" s="1">
        <v>2322319.0</v>
      </c>
      <c r="C4559" s="1">
        <v>2.2426289E7</v>
      </c>
      <c r="D4559" s="1" t="s">
        <v>3314</v>
      </c>
    </row>
    <row r="4560">
      <c r="A4560" s="1">
        <v>609.0</v>
      </c>
      <c r="B4560" s="1">
        <v>2315600.0</v>
      </c>
      <c r="C4560" s="1">
        <v>9854965.0</v>
      </c>
      <c r="D4560" s="1" t="s">
        <v>1969</v>
      </c>
    </row>
    <row r="4561">
      <c r="A4561" s="1">
        <v>337.0</v>
      </c>
      <c r="B4561" s="1">
        <v>2315242.0</v>
      </c>
      <c r="C4561" s="1">
        <v>9852218.0</v>
      </c>
      <c r="D4561" s="1" t="s">
        <v>5031</v>
      </c>
    </row>
    <row r="4562">
      <c r="A4562" s="1">
        <v>503.0</v>
      </c>
      <c r="B4562" s="1">
        <v>2295331.0</v>
      </c>
      <c r="C4562" s="1">
        <v>9823647.0</v>
      </c>
      <c r="D4562" s="1" t="s">
        <v>5032</v>
      </c>
    </row>
    <row r="4563">
      <c r="A4563" s="1">
        <v>215.0</v>
      </c>
      <c r="B4563" s="1">
        <v>2294457.0</v>
      </c>
      <c r="C4563" s="1">
        <v>1.68105712E8</v>
      </c>
      <c r="D4563" s="1" t="s">
        <v>5033</v>
      </c>
    </row>
    <row r="4564">
      <c r="A4564" s="1">
        <v>587.0</v>
      </c>
      <c r="B4564" s="1">
        <v>2293954.0</v>
      </c>
      <c r="C4564" s="1">
        <v>9772804.0</v>
      </c>
      <c r="D4564" s="1" t="s">
        <v>5034</v>
      </c>
    </row>
    <row r="4565">
      <c r="A4565" s="1">
        <v>676.0</v>
      </c>
      <c r="B4565" s="1">
        <v>2283662.0</v>
      </c>
      <c r="C4565" s="1">
        <v>4.451399E7</v>
      </c>
      <c r="D4565" s="1" t="s">
        <v>902</v>
      </c>
    </row>
    <row r="4566">
      <c r="A4566" s="1">
        <v>610.0</v>
      </c>
      <c r="B4566" s="1">
        <v>2281089.0</v>
      </c>
      <c r="C4566" s="1">
        <v>9725856.0</v>
      </c>
      <c r="D4566" s="1" t="s">
        <v>5035</v>
      </c>
    </row>
    <row r="4567">
      <c r="A4567" s="1">
        <v>504.0</v>
      </c>
      <c r="B4567" s="1">
        <v>2276565.0</v>
      </c>
      <c r="C4567" s="1">
        <v>9725889.0</v>
      </c>
      <c r="D4567" s="1" t="s">
        <v>5036</v>
      </c>
    </row>
    <row r="4568">
      <c r="A4568" s="1">
        <v>571.0</v>
      </c>
      <c r="B4568" s="1">
        <v>2264773.0</v>
      </c>
      <c r="C4568" s="1">
        <v>9728443.0</v>
      </c>
      <c r="D4568" s="1" t="s">
        <v>173</v>
      </c>
    </row>
    <row r="4569">
      <c r="A4569" s="1">
        <v>602.0</v>
      </c>
      <c r="B4569" s="1">
        <v>2261509.0</v>
      </c>
      <c r="C4569" s="1">
        <v>9681998.0</v>
      </c>
      <c r="D4569" s="1" t="s">
        <v>5037</v>
      </c>
    </row>
    <row r="4570">
      <c r="A4570" s="1">
        <v>671.0</v>
      </c>
      <c r="B4570" s="1">
        <v>2251752.0</v>
      </c>
      <c r="C4570" s="1">
        <v>9593476.0</v>
      </c>
      <c r="D4570" s="1" t="s">
        <v>4830</v>
      </c>
    </row>
    <row r="4571">
      <c r="A4571" s="1">
        <v>571.0</v>
      </c>
      <c r="B4571" s="1">
        <v>2235549.0</v>
      </c>
      <c r="C4571" s="1">
        <v>9592903.0</v>
      </c>
      <c r="D4571" s="1" t="s">
        <v>5038</v>
      </c>
    </row>
    <row r="4572">
      <c r="A4572" s="1">
        <v>610.0</v>
      </c>
      <c r="B4572" s="1">
        <v>2231707.0</v>
      </c>
      <c r="C4572" s="1">
        <v>9549748.0</v>
      </c>
      <c r="D4572" s="1" t="s">
        <v>5039</v>
      </c>
    </row>
    <row r="4573">
      <c r="A4573" s="1">
        <v>120.0</v>
      </c>
      <c r="B4573" s="1">
        <v>2228740.0</v>
      </c>
      <c r="C4573" s="1">
        <v>9518877.0</v>
      </c>
      <c r="D4573" s="1" t="s">
        <v>5040</v>
      </c>
    </row>
    <row r="4574">
      <c r="A4574" s="1">
        <v>481.0</v>
      </c>
      <c r="B4574" s="1">
        <v>2208499.0</v>
      </c>
      <c r="C4574" s="1">
        <v>9439108.0</v>
      </c>
      <c r="D4574" s="1" t="s">
        <v>5041</v>
      </c>
    </row>
    <row r="4575">
      <c r="A4575" s="1">
        <v>215.0</v>
      </c>
      <c r="B4575" s="1">
        <v>2200333.0</v>
      </c>
      <c r="C4575" s="1">
        <v>1.8573659E7</v>
      </c>
      <c r="D4575" s="1" t="s">
        <v>2500</v>
      </c>
    </row>
    <row r="4576">
      <c r="A4576" s="1">
        <v>608.0</v>
      </c>
      <c r="B4576" s="1">
        <v>2199601.0</v>
      </c>
      <c r="C4576" s="1">
        <v>9404777.0</v>
      </c>
      <c r="D4576" s="25" t="str">
        <f>+++++++ 10. It was great. Thank you for everything</f>
        <v>#ERROR!</v>
      </c>
    </row>
    <row r="4577">
      <c r="A4577" s="1">
        <v>173.0</v>
      </c>
      <c r="B4577" s="1">
        <v>2194831.0</v>
      </c>
      <c r="C4577" s="1">
        <v>9.0071653E7</v>
      </c>
      <c r="D4577" s="1" t="s">
        <v>3343</v>
      </c>
    </row>
    <row r="4578">
      <c r="A4578" s="1">
        <v>380.0</v>
      </c>
      <c r="B4578" s="1">
        <v>2183428.0</v>
      </c>
      <c r="C4578" s="1">
        <v>9402318.0</v>
      </c>
      <c r="D4578" s="1" t="s">
        <v>5043</v>
      </c>
    </row>
    <row r="4579">
      <c r="A4579" s="1">
        <v>501.0</v>
      </c>
      <c r="B4579" s="1">
        <v>2153405.0</v>
      </c>
      <c r="C4579" s="1">
        <v>9254888.0</v>
      </c>
      <c r="D4579" s="1" t="s">
        <v>2696</v>
      </c>
    </row>
    <row r="4580">
      <c r="A4580" s="1">
        <v>210.0</v>
      </c>
      <c r="B4580" s="1">
        <v>2145214.0</v>
      </c>
      <c r="C4580" s="1">
        <v>9211835.0</v>
      </c>
      <c r="D4580" s="1" t="s">
        <v>170</v>
      </c>
    </row>
    <row r="4581">
      <c r="A4581" s="1">
        <v>484.0</v>
      </c>
      <c r="B4581" s="1">
        <v>2143746.0</v>
      </c>
      <c r="C4581" s="1">
        <v>9203663.0</v>
      </c>
      <c r="D4581" s="1" t="s">
        <v>5044</v>
      </c>
    </row>
    <row r="4582">
      <c r="A4582" s="1">
        <v>410.0</v>
      </c>
      <c r="B4582" s="1">
        <v>2129215.0</v>
      </c>
      <c r="C4582" s="1">
        <v>9143269.0</v>
      </c>
      <c r="D4582" s="1" t="s">
        <v>4519</v>
      </c>
    </row>
    <row r="4583">
      <c r="A4583" s="1">
        <v>458.0</v>
      </c>
      <c r="B4583" s="1">
        <v>2128794.0</v>
      </c>
      <c r="C4583" s="1">
        <v>9172722.0</v>
      </c>
      <c r="D4583" s="1" t="s">
        <v>751</v>
      </c>
    </row>
    <row r="4584">
      <c r="A4584" s="1">
        <v>503.0</v>
      </c>
      <c r="B4584" s="1">
        <v>2107274.0</v>
      </c>
      <c r="C4584" s="1">
        <v>9102592.0</v>
      </c>
      <c r="D4584" s="1" t="s">
        <v>168</v>
      </c>
    </row>
    <row r="4585">
      <c r="A4585" s="1">
        <v>608.0</v>
      </c>
      <c r="B4585" s="1">
        <v>2105614.0</v>
      </c>
      <c r="C4585" s="1">
        <v>9064192.0</v>
      </c>
      <c r="D4585" s="1" t="s">
        <v>4869</v>
      </c>
    </row>
    <row r="4586">
      <c r="A4586" s="1">
        <v>285.0</v>
      </c>
      <c r="B4586" s="1">
        <v>2096110.0</v>
      </c>
      <c r="C4586" s="1">
        <v>1.8077414E7</v>
      </c>
      <c r="D4586" s="1" t="s">
        <v>5045</v>
      </c>
    </row>
    <row r="4587">
      <c r="A4587" s="1">
        <v>355.0</v>
      </c>
      <c r="B4587" s="1">
        <v>2092122.0</v>
      </c>
      <c r="C4587" s="1">
        <v>9026330.0</v>
      </c>
      <c r="D4587" s="1" t="s">
        <v>5046</v>
      </c>
    </row>
    <row r="4588">
      <c r="A4588" s="1">
        <v>531.0</v>
      </c>
      <c r="B4588" s="1">
        <v>2082095.0</v>
      </c>
      <c r="C4588" s="1">
        <v>8989518.0</v>
      </c>
      <c r="D4588" s="1" t="s">
        <v>1222</v>
      </c>
    </row>
    <row r="4589">
      <c r="A4589" s="1">
        <v>676.0</v>
      </c>
      <c r="B4589" s="1">
        <v>2082007.0</v>
      </c>
      <c r="C4589" s="1">
        <v>8.3097082E7</v>
      </c>
      <c r="D4589" s="1" t="s">
        <v>5024</v>
      </c>
    </row>
    <row r="4590">
      <c r="A4590" s="1">
        <v>228.0</v>
      </c>
      <c r="B4590" s="1">
        <v>2077018.0</v>
      </c>
      <c r="C4590" s="1">
        <v>8956507.0</v>
      </c>
      <c r="D4590" s="1" t="s">
        <v>4034</v>
      </c>
    </row>
    <row r="4591">
      <c r="A4591" s="1">
        <v>663.0</v>
      </c>
      <c r="B4591" s="1">
        <v>2069114.0</v>
      </c>
      <c r="C4591" s="1">
        <v>8925933.0</v>
      </c>
      <c r="D4591" s="1" t="s">
        <v>3489</v>
      </c>
    </row>
    <row r="4592">
      <c r="A4592" s="1">
        <v>503.0</v>
      </c>
      <c r="B4592" s="1">
        <v>2061273.0</v>
      </c>
      <c r="C4592" s="1">
        <v>8920887.0</v>
      </c>
      <c r="D4592" s="1" t="s">
        <v>1265</v>
      </c>
    </row>
    <row r="4593">
      <c r="A4593" s="1">
        <v>419.0</v>
      </c>
      <c r="B4593" s="1">
        <v>2060558.0</v>
      </c>
      <c r="C4593" s="1">
        <v>8890104.0</v>
      </c>
      <c r="D4593" s="1" t="s">
        <v>1826</v>
      </c>
    </row>
    <row r="4594">
      <c r="A4594" s="1">
        <v>602.0</v>
      </c>
      <c r="B4594" s="1">
        <v>2046046.0</v>
      </c>
      <c r="C4594" s="1">
        <v>6.0472398E7</v>
      </c>
      <c r="D4594" s="1" t="s">
        <v>4236</v>
      </c>
    </row>
    <row r="4595">
      <c r="A4595" s="1">
        <v>379.0</v>
      </c>
      <c r="B4595" s="1">
        <v>2037086.0</v>
      </c>
      <c r="C4595" s="1">
        <v>3.62451483E8</v>
      </c>
      <c r="D4595" s="1" t="s">
        <v>5047</v>
      </c>
    </row>
    <row r="4596">
      <c r="A4596" s="1">
        <v>628.0</v>
      </c>
      <c r="B4596" s="1">
        <v>2028607.0</v>
      </c>
      <c r="C4596" s="1">
        <v>1.0691958E7</v>
      </c>
      <c r="D4596" s="1" t="s">
        <v>3328</v>
      </c>
    </row>
    <row r="4597">
      <c r="A4597" s="1">
        <v>602.0</v>
      </c>
      <c r="B4597" s="1">
        <v>2017276.0</v>
      </c>
      <c r="C4597" s="1">
        <v>2.02387714E8</v>
      </c>
      <c r="D4597" s="1" t="s">
        <v>5048</v>
      </c>
    </row>
    <row r="4598">
      <c r="A4598" s="1">
        <v>124.0</v>
      </c>
      <c r="B4598" s="1">
        <v>2003242.0</v>
      </c>
      <c r="C4598" s="1">
        <v>8661711.0</v>
      </c>
      <c r="D4598" s="1" t="s">
        <v>165</v>
      </c>
    </row>
    <row r="4599">
      <c r="A4599" s="1">
        <v>224.0</v>
      </c>
      <c r="B4599" s="1">
        <v>2002412.0</v>
      </c>
      <c r="C4599" s="1">
        <v>8661797.0</v>
      </c>
      <c r="D4599" s="1" t="s">
        <v>5049</v>
      </c>
    </row>
    <row r="4600">
      <c r="A4600" s="1">
        <v>679.0</v>
      </c>
      <c r="B4600" s="1">
        <v>1996515.0</v>
      </c>
      <c r="C4600" s="1">
        <v>3.3847847E7</v>
      </c>
      <c r="D4600" s="1" t="s">
        <v>5019</v>
      </c>
    </row>
    <row r="4601">
      <c r="A4601" s="1">
        <v>504.0</v>
      </c>
      <c r="B4601" s="1">
        <v>1996236.0</v>
      </c>
      <c r="C4601" s="1">
        <v>8652418.0</v>
      </c>
      <c r="D4601" s="1" t="s">
        <v>5050</v>
      </c>
    </row>
    <row r="4602">
      <c r="A4602" s="1">
        <v>394.0</v>
      </c>
      <c r="B4602" s="1">
        <v>1994727.0</v>
      </c>
      <c r="C4602" s="1">
        <v>8623029.0</v>
      </c>
      <c r="D4602" s="1" t="s">
        <v>1284</v>
      </c>
    </row>
    <row r="4603">
      <c r="A4603" s="1">
        <v>120.0</v>
      </c>
      <c r="B4603" s="1">
        <v>1964251.0</v>
      </c>
      <c r="C4603" s="1">
        <v>8522548.0</v>
      </c>
      <c r="D4603" s="1" t="s">
        <v>5051</v>
      </c>
    </row>
    <row r="4604">
      <c r="A4604" s="1">
        <v>401.0</v>
      </c>
      <c r="B4604" s="1">
        <v>1950190.0</v>
      </c>
      <c r="C4604" s="1">
        <v>8459104.0</v>
      </c>
      <c r="D4604" s="1" t="s">
        <v>4102</v>
      </c>
    </row>
    <row r="4605">
      <c r="A4605" s="1">
        <v>403.0</v>
      </c>
      <c r="B4605" s="1">
        <v>1931989.0</v>
      </c>
      <c r="C4605" s="1">
        <v>2.3413168E7</v>
      </c>
      <c r="D4605" s="1" t="s">
        <v>5052</v>
      </c>
    </row>
    <row r="4606">
      <c r="A4606" s="1">
        <v>173.0</v>
      </c>
      <c r="B4606" s="1">
        <v>1922448.0</v>
      </c>
      <c r="C4606" s="1">
        <v>1.0030101E7</v>
      </c>
      <c r="D4606" s="1" t="s">
        <v>309</v>
      </c>
    </row>
    <row r="4607">
      <c r="A4607" s="1">
        <v>394.0</v>
      </c>
      <c r="B4607" s="1">
        <v>1921859.0</v>
      </c>
      <c r="C4607" s="1">
        <v>8356805.0</v>
      </c>
      <c r="D4607" s="1" t="s">
        <v>488</v>
      </c>
    </row>
    <row r="4608">
      <c r="A4608" s="1">
        <v>694.0</v>
      </c>
      <c r="B4608" s="1">
        <v>1914054.0</v>
      </c>
      <c r="C4608" s="1">
        <v>1.7502866E7</v>
      </c>
      <c r="D4608" s="1" t="s">
        <v>5056</v>
      </c>
    </row>
    <row r="4609">
      <c r="A4609" s="1">
        <v>641.0</v>
      </c>
      <c r="B4609" s="1">
        <v>1908651.0</v>
      </c>
      <c r="C4609" s="1">
        <v>2.3045338E7</v>
      </c>
      <c r="D4609" s="1" t="s">
        <v>2655</v>
      </c>
    </row>
    <row r="4610">
      <c r="A4610" s="1">
        <v>676.0</v>
      </c>
      <c r="B4610" s="1">
        <v>1887714.0</v>
      </c>
      <c r="C4610" s="1">
        <v>2.2876757E7</v>
      </c>
      <c r="D4610" s="1" t="s">
        <v>289</v>
      </c>
    </row>
    <row r="4611">
      <c r="A4611" s="1">
        <v>403.0</v>
      </c>
      <c r="B4611" s="1">
        <v>1886991.0</v>
      </c>
      <c r="C4611" s="1">
        <v>2.44419259E8</v>
      </c>
      <c r="D4611" s="1" t="s">
        <v>5057</v>
      </c>
    </row>
    <row r="4612">
      <c r="A4612" s="1">
        <v>394.0</v>
      </c>
      <c r="B4612" s="1">
        <v>1883920.0</v>
      </c>
      <c r="C4612" s="1">
        <v>8192967.0</v>
      </c>
      <c r="D4612" s="1" t="s">
        <v>5058</v>
      </c>
    </row>
    <row r="4613">
      <c r="A4613" s="1">
        <v>173.0</v>
      </c>
      <c r="B4613" s="1">
        <v>1873197.0</v>
      </c>
      <c r="C4613" s="1">
        <v>8162429.0</v>
      </c>
      <c r="D4613" s="1" t="s">
        <v>5059</v>
      </c>
    </row>
    <row r="4614">
      <c r="A4614" s="1">
        <v>571.0</v>
      </c>
      <c r="B4614" s="1">
        <v>1848865.0</v>
      </c>
      <c r="C4614" s="1">
        <v>8083922.0</v>
      </c>
      <c r="D4614" s="1" t="s">
        <v>3412</v>
      </c>
    </row>
    <row r="4615">
      <c r="A4615" s="1">
        <v>120.0</v>
      </c>
      <c r="B4615" s="1">
        <v>1848602.0</v>
      </c>
      <c r="C4615" s="1">
        <v>8052988.0</v>
      </c>
      <c r="D4615" s="1" t="s">
        <v>5060</v>
      </c>
    </row>
    <row r="4616">
      <c r="A4616" s="1">
        <v>403.0</v>
      </c>
      <c r="B4616" s="1">
        <v>1846596.0</v>
      </c>
      <c r="C4616" s="1">
        <v>2.82955561E8</v>
      </c>
      <c r="D4616" s="1" t="s">
        <v>5061</v>
      </c>
    </row>
    <row r="4617">
      <c r="A4617" s="1">
        <v>571.0</v>
      </c>
      <c r="B4617" s="1">
        <v>1835578.0</v>
      </c>
      <c r="C4617" s="1">
        <v>2.83138233E8</v>
      </c>
      <c r="D4617" s="1" t="s">
        <v>471</v>
      </c>
    </row>
    <row r="4618">
      <c r="A4618" s="1">
        <v>142.0</v>
      </c>
      <c r="B4618" s="1">
        <v>1827588.0</v>
      </c>
      <c r="C4618" s="1">
        <v>8034297.0</v>
      </c>
      <c r="D4618" s="1" t="s">
        <v>3645</v>
      </c>
    </row>
    <row r="4619">
      <c r="A4619" s="1">
        <v>215.0</v>
      </c>
      <c r="B4619" s="1">
        <v>1820412.0</v>
      </c>
      <c r="C4619" s="1">
        <v>7974091.0</v>
      </c>
      <c r="D4619" s="1" t="s">
        <v>1989</v>
      </c>
    </row>
    <row r="4620">
      <c r="A4620" s="1">
        <v>326.0</v>
      </c>
      <c r="B4620" s="1">
        <v>1815152.0</v>
      </c>
      <c r="C4620" s="1">
        <v>7927150.0</v>
      </c>
      <c r="D4620" s="1" t="s">
        <v>5055</v>
      </c>
    </row>
    <row r="4621">
      <c r="A4621" s="1">
        <v>504.0</v>
      </c>
      <c r="B4621" s="1">
        <v>1813413.0</v>
      </c>
      <c r="C4621" s="1">
        <v>7919881.0</v>
      </c>
      <c r="D4621" s="1" t="s">
        <v>1896</v>
      </c>
    </row>
    <row r="4622">
      <c r="A4622" s="1">
        <v>602.0</v>
      </c>
      <c r="B4622" s="1">
        <v>1803198.0</v>
      </c>
      <c r="C4622" s="1">
        <v>8017398.0</v>
      </c>
      <c r="D4622" s="1" t="s">
        <v>135</v>
      </c>
    </row>
    <row r="4623">
      <c r="A4623" s="1">
        <v>503.0</v>
      </c>
      <c r="B4623" s="1">
        <v>1789782.0</v>
      </c>
      <c r="C4623" s="1">
        <v>1.82915012E8</v>
      </c>
      <c r="D4623" s="1" t="s">
        <v>3366</v>
      </c>
    </row>
    <row r="4624">
      <c r="A4624" s="1">
        <v>341.0</v>
      </c>
      <c r="B4624" s="1">
        <v>1777298.0</v>
      </c>
      <c r="C4624" s="1">
        <v>7763803.0</v>
      </c>
      <c r="D4624" s="1" t="s">
        <v>3313</v>
      </c>
    </row>
    <row r="4625">
      <c r="A4625" s="1">
        <v>12.0</v>
      </c>
      <c r="B4625" s="1">
        <v>1773380.0</v>
      </c>
      <c r="C4625" s="1">
        <v>7727505.0</v>
      </c>
      <c r="D4625" s="1" t="s">
        <v>5062</v>
      </c>
    </row>
    <row r="4626">
      <c r="A4626" s="1">
        <v>460.0</v>
      </c>
      <c r="B4626" s="1">
        <v>1773007.0</v>
      </c>
      <c r="C4626" s="1">
        <v>7732258.0</v>
      </c>
      <c r="D4626" s="1" t="s">
        <v>154</v>
      </c>
    </row>
    <row r="4627">
      <c r="A4627" s="1">
        <v>215.0</v>
      </c>
      <c r="B4627" s="1">
        <v>1764821.0</v>
      </c>
      <c r="C4627" s="1">
        <v>1.9852399E7</v>
      </c>
      <c r="D4627" s="1" t="s">
        <v>3840</v>
      </c>
    </row>
    <row r="4628">
      <c r="A4628" s="1">
        <v>564.0</v>
      </c>
      <c r="B4628" s="1">
        <v>1753735.0</v>
      </c>
      <c r="C4628" s="1">
        <v>7656895.0</v>
      </c>
      <c r="D4628" s="1" t="s">
        <v>151</v>
      </c>
    </row>
    <row r="4629">
      <c r="A4629" s="1">
        <v>212.0</v>
      </c>
      <c r="B4629" s="1">
        <v>1741715.0</v>
      </c>
      <c r="C4629" s="1">
        <v>7591599.0</v>
      </c>
      <c r="D4629" s="1" t="s">
        <v>4275</v>
      </c>
    </row>
    <row r="4630">
      <c r="A4630" s="1">
        <v>484.0</v>
      </c>
      <c r="B4630" s="1">
        <v>1736134.0</v>
      </c>
      <c r="C4630" s="1">
        <v>7560569.0</v>
      </c>
      <c r="D4630" s="1" t="s">
        <v>5063</v>
      </c>
    </row>
    <row r="4631">
      <c r="A4631" s="1">
        <v>601.0</v>
      </c>
      <c r="B4631" s="1">
        <v>1732452.0</v>
      </c>
      <c r="C4631" s="1">
        <v>2.8531409E7</v>
      </c>
      <c r="D4631" s="1" t="s">
        <v>3466</v>
      </c>
    </row>
    <row r="4632">
      <c r="A4632" s="1">
        <v>571.0</v>
      </c>
      <c r="B4632" s="1">
        <v>1725920.0</v>
      </c>
      <c r="C4632" s="1">
        <v>7.0681927E7</v>
      </c>
      <c r="D4632" s="1" t="s">
        <v>615</v>
      </c>
    </row>
    <row r="4633">
      <c r="A4633" s="1">
        <v>337.0</v>
      </c>
      <c r="B4633" s="1">
        <v>1724035.0</v>
      </c>
      <c r="C4633" s="1">
        <v>7536923.0</v>
      </c>
      <c r="D4633" s="1" t="s">
        <v>144</v>
      </c>
    </row>
    <row r="4634">
      <c r="A4634" s="1">
        <v>406.0</v>
      </c>
      <c r="B4634" s="1">
        <v>1719647.0</v>
      </c>
      <c r="C4634" s="1">
        <v>7510445.0</v>
      </c>
      <c r="D4634" s="1" t="s">
        <v>4685</v>
      </c>
    </row>
    <row r="4635">
      <c r="A4635" s="1">
        <v>645.0</v>
      </c>
      <c r="B4635" s="1">
        <v>1718701.0</v>
      </c>
      <c r="C4635" s="1">
        <v>7506207.0</v>
      </c>
      <c r="D4635" s="1" t="s">
        <v>373</v>
      </c>
    </row>
    <row r="4636">
      <c r="A4636" s="1">
        <v>481.0</v>
      </c>
      <c r="B4636" s="1">
        <v>1718662.0</v>
      </c>
      <c r="C4636" s="1">
        <v>7502827.0</v>
      </c>
      <c r="D4636" s="1" t="s">
        <v>4190</v>
      </c>
    </row>
    <row r="4637">
      <c r="A4637" s="1">
        <v>602.0</v>
      </c>
      <c r="B4637" s="1">
        <v>1716556.0</v>
      </c>
      <c r="C4637" s="1">
        <v>7.654259E7</v>
      </c>
      <c r="D4637" s="1" t="s">
        <v>5064</v>
      </c>
    </row>
    <row r="4638">
      <c r="A4638" s="1">
        <v>571.0</v>
      </c>
      <c r="B4638" s="1">
        <v>1713862.0</v>
      </c>
      <c r="C4638" s="1">
        <v>1.52727891E8</v>
      </c>
      <c r="D4638" s="1" t="s">
        <v>5065</v>
      </c>
    </row>
    <row r="4639">
      <c r="A4639" s="1">
        <v>321.0</v>
      </c>
      <c r="B4639" s="1">
        <v>1704346.0</v>
      </c>
      <c r="C4639" s="1">
        <v>1.1531052E7</v>
      </c>
      <c r="D4639" s="1" t="s">
        <v>774</v>
      </c>
    </row>
    <row r="4640">
      <c r="A4640" s="1">
        <v>321.0</v>
      </c>
      <c r="B4640" s="1">
        <v>1704346.0</v>
      </c>
      <c r="C4640" s="1">
        <v>1.597999E7</v>
      </c>
      <c r="D4640" s="1" t="s">
        <v>4409</v>
      </c>
    </row>
    <row r="4641">
      <c r="A4641" s="1">
        <v>321.0</v>
      </c>
      <c r="B4641" s="1">
        <v>1704346.0</v>
      </c>
      <c r="C4641" s="1">
        <v>7441449.0</v>
      </c>
      <c r="D4641" s="1" t="s">
        <v>5068</v>
      </c>
    </row>
    <row r="4642">
      <c r="A4642" s="1">
        <v>602.0</v>
      </c>
      <c r="B4642" s="1">
        <v>1696976.0</v>
      </c>
      <c r="C4642" s="1">
        <v>1.2044519E7</v>
      </c>
      <c r="D4642" s="1" t="s">
        <v>3226</v>
      </c>
    </row>
    <row r="4643">
      <c r="A4643" s="1">
        <v>380.0</v>
      </c>
      <c r="B4643" s="1">
        <v>1695715.0</v>
      </c>
      <c r="C4643" s="1">
        <v>7412833.0</v>
      </c>
      <c r="D4643" s="1" t="s">
        <v>2878</v>
      </c>
    </row>
    <row r="4644">
      <c r="A4644" s="1">
        <v>379.0</v>
      </c>
      <c r="B4644" s="1">
        <v>1680870.0</v>
      </c>
      <c r="C4644" s="1">
        <v>7353773.0</v>
      </c>
      <c r="D4644" s="1" t="s">
        <v>145</v>
      </c>
    </row>
    <row r="4645">
      <c r="A4645" s="1">
        <v>484.0</v>
      </c>
      <c r="B4645" s="1">
        <v>1678982.0</v>
      </c>
      <c r="C4645" s="1">
        <v>8.1842976E7</v>
      </c>
      <c r="D4645" s="1" t="s">
        <v>4774</v>
      </c>
    </row>
    <row r="4646">
      <c r="A4646" s="1">
        <v>172.0</v>
      </c>
      <c r="B4646" s="1">
        <v>1671887.0</v>
      </c>
      <c r="C4646" s="1">
        <v>7302648.0</v>
      </c>
      <c r="D4646" s="1" t="s">
        <v>911</v>
      </c>
    </row>
    <row r="4647">
      <c r="A4647" s="1">
        <v>243.0</v>
      </c>
      <c r="B4647" s="1">
        <v>1671548.0</v>
      </c>
      <c r="C4647" s="1">
        <v>7304119.0</v>
      </c>
      <c r="D4647" s="1" t="s">
        <v>3981</v>
      </c>
    </row>
    <row r="4648">
      <c r="A4648" s="1">
        <v>570.0</v>
      </c>
      <c r="B4648" s="1">
        <v>1668216.0</v>
      </c>
      <c r="C4648" s="1">
        <v>4.16190553E8</v>
      </c>
      <c r="D4648" s="1" t="s">
        <v>4848</v>
      </c>
    </row>
    <row r="4649">
      <c r="A4649" s="1">
        <v>627.0</v>
      </c>
      <c r="B4649" s="1">
        <v>1660596.0</v>
      </c>
      <c r="C4649" s="1">
        <v>7267360.0</v>
      </c>
      <c r="D4649" s="1" t="s">
        <v>5069</v>
      </c>
    </row>
    <row r="4650">
      <c r="A4650" s="1">
        <v>244.0</v>
      </c>
      <c r="B4650" s="1">
        <v>1631990.0</v>
      </c>
      <c r="C4650" s="1">
        <v>7140764.0</v>
      </c>
      <c r="D4650" s="1" t="s">
        <v>5070</v>
      </c>
    </row>
    <row r="4651">
      <c r="A4651" s="1">
        <v>525.0</v>
      </c>
      <c r="B4651" s="1">
        <v>1622727.0</v>
      </c>
      <c r="C4651" s="1">
        <v>7114476.0</v>
      </c>
      <c r="D4651" s="1" t="s">
        <v>4936</v>
      </c>
    </row>
    <row r="4652">
      <c r="A4652" s="1">
        <v>564.0</v>
      </c>
      <c r="B4652" s="1">
        <v>1622633.0</v>
      </c>
      <c r="C4652" s="1">
        <v>7115261.0</v>
      </c>
      <c r="D4652" s="1" t="s">
        <v>2028</v>
      </c>
    </row>
    <row r="4653">
      <c r="A4653" s="1">
        <v>564.0</v>
      </c>
      <c r="B4653" s="1">
        <v>1602515.0</v>
      </c>
      <c r="C4653" s="1">
        <v>7030510.0</v>
      </c>
      <c r="D4653" s="1" t="s">
        <v>5073</v>
      </c>
    </row>
    <row r="4654">
      <c r="A4654" s="1">
        <v>225.0</v>
      </c>
      <c r="B4654" s="1">
        <v>1590412.0</v>
      </c>
      <c r="C4654" s="1">
        <v>8492985.0</v>
      </c>
      <c r="D4654" s="1" t="s">
        <v>1105</v>
      </c>
    </row>
    <row r="4655">
      <c r="A4655" s="1">
        <v>414.0</v>
      </c>
      <c r="B4655" s="1">
        <v>1572725.0</v>
      </c>
      <c r="C4655" s="1">
        <v>6.3806518E7</v>
      </c>
      <c r="D4655" s="1" t="s">
        <v>4653</v>
      </c>
    </row>
    <row r="4656">
      <c r="A4656" s="1">
        <v>665.0</v>
      </c>
      <c r="B4656" s="1">
        <v>1571787.0</v>
      </c>
      <c r="C4656" s="1">
        <v>6912536.0</v>
      </c>
      <c r="D4656" s="1" t="s">
        <v>549</v>
      </c>
    </row>
    <row r="4657">
      <c r="A4657" s="1">
        <v>12.0</v>
      </c>
      <c r="B4657" s="1">
        <v>1564808.0</v>
      </c>
      <c r="C4657" s="1">
        <v>6877090.0</v>
      </c>
      <c r="D4657" s="1" t="s">
        <v>1194</v>
      </c>
    </row>
    <row r="4658">
      <c r="A4658" s="1">
        <v>587.0</v>
      </c>
      <c r="B4658" s="1">
        <v>1560229.0</v>
      </c>
      <c r="C4658" s="1">
        <v>6848941.0</v>
      </c>
      <c r="D4658" s="1" t="s">
        <v>5076</v>
      </c>
    </row>
    <row r="4659">
      <c r="A4659" s="1">
        <v>243.0</v>
      </c>
      <c r="B4659" s="1">
        <v>1547570.0</v>
      </c>
      <c r="C4659" s="1">
        <v>7510732.0</v>
      </c>
      <c r="D4659" s="1" t="s">
        <v>3580</v>
      </c>
    </row>
    <row r="4660">
      <c r="A4660" s="1">
        <v>645.0</v>
      </c>
      <c r="B4660" s="1">
        <v>1541469.0</v>
      </c>
      <c r="C4660" s="1">
        <v>6778960.0</v>
      </c>
      <c r="D4660" s="1" t="s">
        <v>4604</v>
      </c>
    </row>
    <row r="4661">
      <c r="A4661" s="1">
        <v>403.0</v>
      </c>
      <c r="B4661" s="1">
        <v>1539669.0</v>
      </c>
      <c r="C4661" s="1">
        <v>6777908.0</v>
      </c>
      <c r="D4661" s="1" t="s">
        <v>533</v>
      </c>
    </row>
    <row r="4662">
      <c r="A4662" s="1">
        <v>473.0</v>
      </c>
      <c r="B4662" s="1">
        <v>1539552.0</v>
      </c>
      <c r="C4662" s="1">
        <v>6779233.0</v>
      </c>
      <c r="D4662" s="1" t="s">
        <v>874</v>
      </c>
    </row>
    <row r="4663">
      <c r="A4663" s="1">
        <v>157.0</v>
      </c>
      <c r="B4663" s="1">
        <v>1539442.0</v>
      </c>
      <c r="C4663" s="1">
        <v>6779034.0</v>
      </c>
      <c r="D4663" s="1" t="s">
        <v>5077</v>
      </c>
    </row>
    <row r="4664">
      <c r="A4664" s="1">
        <v>666.0</v>
      </c>
      <c r="B4664" s="1">
        <v>1525528.0</v>
      </c>
      <c r="C4664" s="1">
        <v>6715226.0</v>
      </c>
      <c r="D4664" s="1" t="s">
        <v>2613</v>
      </c>
    </row>
    <row r="4665">
      <c r="A4665" s="1">
        <v>571.0</v>
      </c>
      <c r="B4665" s="1">
        <v>1523926.0</v>
      </c>
      <c r="C4665" s="1">
        <v>6746135.0</v>
      </c>
      <c r="D4665" s="1" t="s">
        <v>5078</v>
      </c>
    </row>
    <row r="4666">
      <c r="A4666" s="1">
        <v>481.0</v>
      </c>
      <c r="B4666" s="1">
        <v>1521417.0</v>
      </c>
      <c r="C4666" s="1">
        <v>6682242.0</v>
      </c>
      <c r="D4666" s="1" t="s">
        <v>5079</v>
      </c>
    </row>
    <row r="4667">
      <c r="A4667" s="1">
        <v>601.0</v>
      </c>
      <c r="B4667" s="1">
        <v>1519224.0</v>
      </c>
      <c r="C4667" s="1">
        <v>6683746.0</v>
      </c>
      <c r="D4667" s="1" t="s">
        <v>5080</v>
      </c>
    </row>
    <row r="4668">
      <c r="A4668" s="1">
        <v>395.0</v>
      </c>
      <c r="B4668" s="1">
        <v>1517444.0</v>
      </c>
      <c r="C4668" s="1">
        <v>6682217.0</v>
      </c>
      <c r="D4668" s="1" t="s">
        <v>5081</v>
      </c>
    </row>
    <row r="4669">
      <c r="A4669" s="1">
        <v>228.0</v>
      </c>
      <c r="B4669" s="1">
        <v>1500522.0</v>
      </c>
      <c r="C4669" s="1">
        <v>6616466.0</v>
      </c>
      <c r="D4669" s="1" t="s">
        <v>5082</v>
      </c>
    </row>
    <row r="4670">
      <c r="A4670" s="1">
        <v>206.0</v>
      </c>
      <c r="B4670" s="1">
        <v>1498006.0</v>
      </c>
      <c r="C4670" s="1">
        <v>6587905.0</v>
      </c>
      <c r="D4670" s="1" t="s">
        <v>5083</v>
      </c>
    </row>
    <row r="4671">
      <c r="A4671" s="1">
        <v>602.0</v>
      </c>
      <c r="B4671" s="1">
        <v>1497037.0</v>
      </c>
      <c r="C4671" s="1">
        <v>6608214.0</v>
      </c>
      <c r="D4671" s="1" t="s">
        <v>4423</v>
      </c>
    </row>
    <row r="4672">
      <c r="A4672" s="1">
        <v>484.0</v>
      </c>
      <c r="B4672" s="1">
        <v>1486094.0</v>
      </c>
      <c r="C4672" s="1">
        <v>2.4765197E7</v>
      </c>
      <c r="D4672" s="1" t="s">
        <v>1745</v>
      </c>
    </row>
    <row r="4673">
      <c r="A4673" s="1">
        <v>238.0</v>
      </c>
      <c r="B4673" s="1">
        <v>1485353.0</v>
      </c>
      <c r="C4673" s="1">
        <v>6557859.0</v>
      </c>
      <c r="D4673" s="1" t="s">
        <v>1054</v>
      </c>
    </row>
    <row r="4674">
      <c r="A4674" s="1">
        <v>403.0</v>
      </c>
      <c r="B4674" s="1">
        <v>1481183.0</v>
      </c>
      <c r="C4674" s="1">
        <v>6516391.0</v>
      </c>
      <c r="D4674" s="1" t="s">
        <v>5084</v>
      </c>
    </row>
    <row r="4675">
      <c r="A4675" s="1">
        <v>243.0</v>
      </c>
      <c r="B4675" s="1">
        <v>1476781.0</v>
      </c>
      <c r="C4675" s="1">
        <v>6504919.0</v>
      </c>
      <c r="D4675" s="1" t="s">
        <v>2562</v>
      </c>
    </row>
    <row r="4676">
      <c r="A4676" s="1">
        <v>602.0</v>
      </c>
      <c r="B4676" s="1">
        <v>1464278.0</v>
      </c>
      <c r="C4676" s="1">
        <v>2.5418588E7</v>
      </c>
      <c r="D4676" s="1" t="s">
        <v>5085</v>
      </c>
    </row>
    <row r="4677">
      <c r="A4677" s="1">
        <v>403.0</v>
      </c>
      <c r="B4677" s="1">
        <v>1461082.0</v>
      </c>
      <c r="C4677" s="1">
        <v>2.60868994E8</v>
      </c>
      <c r="D4677" s="1" t="s">
        <v>1388</v>
      </c>
    </row>
    <row r="4678">
      <c r="A4678" s="1">
        <v>456.0</v>
      </c>
      <c r="B4678" s="1">
        <v>1451862.0</v>
      </c>
      <c r="C4678" s="1">
        <v>6399444.0</v>
      </c>
      <c r="D4678" s="1" t="s">
        <v>3696</v>
      </c>
    </row>
    <row r="4679">
      <c r="A4679" s="1">
        <v>504.0</v>
      </c>
      <c r="B4679" s="1">
        <v>1446491.0</v>
      </c>
      <c r="C4679" s="1">
        <v>6395644.0</v>
      </c>
      <c r="D4679" s="1" t="s">
        <v>143</v>
      </c>
    </row>
    <row r="4680">
      <c r="A4680" s="1">
        <v>571.0</v>
      </c>
      <c r="B4680" s="1">
        <v>1445207.0</v>
      </c>
      <c r="C4680" s="1">
        <v>4.3640999E7</v>
      </c>
      <c r="D4680" s="1" t="s">
        <v>2263</v>
      </c>
    </row>
    <row r="4681">
      <c r="A4681" s="1">
        <v>210.0</v>
      </c>
      <c r="B4681" s="1">
        <v>1440849.0</v>
      </c>
      <c r="C4681" s="1">
        <v>6369252.0</v>
      </c>
      <c r="D4681" s="1" t="s">
        <v>4326</v>
      </c>
    </row>
    <row r="4682">
      <c r="A4682" s="1">
        <v>571.0</v>
      </c>
      <c r="B4682" s="1">
        <v>1433164.0</v>
      </c>
      <c r="C4682" s="1">
        <v>6349965.0</v>
      </c>
      <c r="D4682" s="1" t="s">
        <v>5087</v>
      </c>
    </row>
    <row r="4683">
      <c r="A4683" s="1">
        <v>571.0</v>
      </c>
      <c r="B4683" s="1">
        <v>1430849.0</v>
      </c>
      <c r="C4683" s="1">
        <v>6345648.0</v>
      </c>
      <c r="D4683" s="1" t="s">
        <v>3839</v>
      </c>
    </row>
    <row r="4684">
      <c r="A4684" s="1">
        <v>395.0</v>
      </c>
      <c r="B4684" s="1">
        <v>1414792.0</v>
      </c>
      <c r="C4684" s="1">
        <v>6267695.0</v>
      </c>
      <c r="D4684" s="1" t="s">
        <v>1905</v>
      </c>
    </row>
    <row r="4685">
      <c r="A4685" s="1">
        <v>120.0</v>
      </c>
      <c r="B4685" s="1">
        <v>1413250.0</v>
      </c>
      <c r="C4685" s="1">
        <v>6242863.0</v>
      </c>
      <c r="D4685" s="1" t="s">
        <v>4889</v>
      </c>
    </row>
    <row r="4686">
      <c r="A4686" s="1">
        <v>120.0</v>
      </c>
      <c r="B4686" s="1">
        <v>1411897.0</v>
      </c>
      <c r="C4686" s="1">
        <v>6245460.0</v>
      </c>
      <c r="D4686" s="1" t="s">
        <v>3461</v>
      </c>
    </row>
    <row r="4687">
      <c r="A4687" s="1">
        <v>321.0</v>
      </c>
      <c r="B4687" s="1">
        <v>1410585.0</v>
      </c>
      <c r="C4687" s="1">
        <v>6244680.0</v>
      </c>
      <c r="D4687" s="1" t="s">
        <v>5089</v>
      </c>
    </row>
    <row r="4688">
      <c r="A4688" s="1">
        <v>587.0</v>
      </c>
      <c r="B4688" s="1">
        <v>1407379.0</v>
      </c>
      <c r="C4688" s="1">
        <v>2.0608338E8</v>
      </c>
      <c r="D4688" s="1" t="s">
        <v>5090</v>
      </c>
    </row>
    <row r="4689">
      <c r="A4689" s="1">
        <v>460.0</v>
      </c>
      <c r="B4689" s="1">
        <v>1399022.0</v>
      </c>
      <c r="C4689" s="1">
        <v>6186811.0</v>
      </c>
      <c r="D4689" s="1" t="s">
        <v>5091</v>
      </c>
    </row>
    <row r="4690">
      <c r="A4690" s="1">
        <v>378.0</v>
      </c>
      <c r="B4690" s="1">
        <v>1388016.0</v>
      </c>
      <c r="C4690" s="1">
        <v>6152718.0</v>
      </c>
      <c r="D4690" s="1" t="s">
        <v>141</v>
      </c>
    </row>
    <row r="4691">
      <c r="A4691" s="1">
        <v>518.0</v>
      </c>
      <c r="B4691" s="1">
        <v>1354110.0</v>
      </c>
      <c r="C4691" s="1">
        <v>6014590.0</v>
      </c>
      <c r="D4691" s="1" t="s">
        <v>138</v>
      </c>
    </row>
    <row r="4692">
      <c r="A4692" s="1">
        <v>120.0</v>
      </c>
      <c r="B4692" s="1">
        <v>1346782.0</v>
      </c>
      <c r="C4692" s="1">
        <v>5999346.0</v>
      </c>
      <c r="D4692" s="1" t="s">
        <v>4847</v>
      </c>
    </row>
    <row r="4693">
      <c r="A4693" s="1">
        <v>120.0</v>
      </c>
      <c r="B4693" s="1">
        <v>1334028.0</v>
      </c>
      <c r="C4693" s="1">
        <v>5958608.0</v>
      </c>
      <c r="D4693" s="1" t="s">
        <v>4772</v>
      </c>
    </row>
    <row r="4694">
      <c r="A4694" s="1">
        <v>403.0</v>
      </c>
      <c r="B4694" s="1">
        <v>1330401.0</v>
      </c>
      <c r="C4694" s="1">
        <v>5936631.0</v>
      </c>
      <c r="D4694" s="1" t="s">
        <v>1278</v>
      </c>
    </row>
    <row r="4695">
      <c r="A4695" s="1">
        <v>630.0</v>
      </c>
      <c r="B4695" s="1">
        <v>1328947.0</v>
      </c>
      <c r="C4695" s="1">
        <v>3.2304326E8</v>
      </c>
      <c r="D4695" s="1" t="s">
        <v>5092</v>
      </c>
    </row>
    <row r="4696">
      <c r="A4696" s="1">
        <v>522.0</v>
      </c>
      <c r="B4696" s="1">
        <v>1328634.0</v>
      </c>
      <c r="C4696" s="1">
        <v>5925006.0</v>
      </c>
      <c r="D4696" s="1" t="s">
        <v>5075</v>
      </c>
    </row>
    <row r="4697">
      <c r="A4697" s="1">
        <v>228.0</v>
      </c>
      <c r="B4697" s="1">
        <v>1324065.0</v>
      </c>
      <c r="C4697" s="1">
        <v>5927604.0</v>
      </c>
      <c r="D4697" s="1" t="s">
        <v>5093</v>
      </c>
    </row>
    <row r="4698">
      <c r="A4698" s="1">
        <v>142.0</v>
      </c>
      <c r="B4698" s="1">
        <v>1322422.0</v>
      </c>
      <c r="C4698" s="1">
        <v>1.9375196E7</v>
      </c>
      <c r="D4698" s="1" t="s">
        <v>4165</v>
      </c>
    </row>
    <row r="4699">
      <c r="A4699" s="1">
        <v>518.0</v>
      </c>
      <c r="B4699" s="1">
        <v>1318983.0</v>
      </c>
      <c r="C4699" s="1">
        <v>5887515.0</v>
      </c>
      <c r="D4699" s="1" t="s">
        <v>3913</v>
      </c>
    </row>
    <row r="4700">
      <c r="A4700" s="1">
        <v>12.0</v>
      </c>
      <c r="B4700" s="1">
        <v>1314903.0</v>
      </c>
      <c r="C4700" s="1">
        <v>5870072.0</v>
      </c>
      <c r="D4700" s="1" t="s">
        <v>906</v>
      </c>
    </row>
    <row r="4701">
      <c r="A4701" s="1">
        <v>353.0</v>
      </c>
      <c r="B4701" s="1">
        <v>1313898.0</v>
      </c>
      <c r="C4701" s="1">
        <v>5872447.0</v>
      </c>
      <c r="D4701" s="1" t="s">
        <v>5094</v>
      </c>
    </row>
    <row r="4702">
      <c r="A4702" s="1">
        <v>504.0</v>
      </c>
      <c r="B4702" s="1">
        <v>1311632.0</v>
      </c>
      <c r="C4702" s="1">
        <v>5865932.0</v>
      </c>
      <c r="D4702" s="1" t="s">
        <v>5067</v>
      </c>
    </row>
    <row r="4703">
      <c r="A4703" s="1">
        <v>228.0</v>
      </c>
      <c r="B4703" s="1">
        <v>1310594.0</v>
      </c>
      <c r="C4703" s="1">
        <v>5889284.0</v>
      </c>
      <c r="D4703" s="1" t="s">
        <v>5074</v>
      </c>
    </row>
    <row r="4704">
      <c r="A4704" s="1">
        <v>522.0</v>
      </c>
      <c r="B4704" s="1">
        <v>1307233.0</v>
      </c>
      <c r="C4704" s="1">
        <v>2.23797322E8</v>
      </c>
      <c r="D4704" s="1" t="s">
        <v>1184</v>
      </c>
    </row>
    <row r="4705">
      <c r="A4705" s="1">
        <v>142.0</v>
      </c>
      <c r="B4705" s="1">
        <v>1305348.0</v>
      </c>
      <c r="C4705" s="1">
        <v>5877611.0</v>
      </c>
      <c r="D4705" s="1" t="s">
        <v>2190</v>
      </c>
    </row>
    <row r="4706">
      <c r="A4706" s="1">
        <v>353.0</v>
      </c>
      <c r="B4706" s="1">
        <v>1304368.0</v>
      </c>
      <c r="C4706" s="1">
        <v>2.7742918E7</v>
      </c>
      <c r="D4706" s="1" t="s">
        <v>4226</v>
      </c>
    </row>
    <row r="4707">
      <c r="A4707" s="1">
        <v>173.0</v>
      </c>
      <c r="B4707" s="1">
        <v>1301511.0</v>
      </c>
      <c r="C4707" s="1">
        <v>5810032.0</v>
      </c>
      <c r="D4707" s="1" t="s">
        <v>136</v>
      </c>
    </row>
    <row r="4708">
      <c r="A4708" s="1">
        <v>120.0</v>
      </c>
      <c r="B4708" s="1">
        <v>1296475.0</v>
      </c>
      <c r="C4708" s="1">
        <v>5786154.0</v>
      </c>
      <c r="D4708" s="1" t="s">
        <v>3838</v>
      </c>
    </row>
    <row r="4709">
      <c r="A4709" s="1">
        <v>388.0</v>
      </c>
      <c r="B4709" s="1">
        <v>1287638.0</v>
      </c>
      <c r="C4709" s="1">
        <v>5743652.0</v>
      </c>
      <c r="D4709" s="1" t="s">
        <v>134</v>
      </c>
    </row>
    <row r="4710">
      <c r="A4710" s="1">
        <v>326.0</v>
      </c>
      <c r="B4710" s="1">
        <v>1286335.0</v>
      </c>
      <c r="C4710" s="1">
        <v>5743962.0</v>
      </c>
      <c r="D4710" s="1" t="s">
        <v>5095</v>
      </c>
    </row>
    <row r="4711">
      <c r="A4711" s="1">
        <v>154.0</v>
      </c>
      <c r="B4711" s="1">
        <v>1282851.0</v>
      </c>
      <c r="C4711" s="1">
        <v>5729079.0</v>
      </c>
      <c r="D4711" s="1" t="s">
        <v>4666</v>
      </c>
    </row>
    <row r="4712">
      <c r="A4712" s="1">
        <v>107.0</v>
      </c>
      <c r="B4712" s="1">
        <v>1281448.0</v>
      </c>
      <c r="C4712" s="1">
        <v>5727543.0</v>
      </c>
      <c r="D4712" s="1" t="s">
        <v>304</v>
      </c>
    </row>
    <row r="4713">
      <c r="A4713" s="1">
        <v>120.0</v>
      </c>
      <c r="B4713" s="1">
        <v>1276175.0</v>
      </c>
      <c r="C4713" s="1">
        <v>5696970.0</v>
      </c>
      <c r="D4713" s="1" t="s">
        <v>4845</v>
      </c>
    </row>
    <row r="4714">
      <c r="A4714" s="1">
        <v>601.0</v>
      </c>
      <c r="B4714" s="1">
        <v>1269683.0</v>
      </c>
      <c r="C4714" s="1">
        <v>5672083.0</v>
      </c>
      <c r="D4714" s="1" t="s">
        <v>1316</v>
      </c>
    </row>
    <row r="4715">
      <c r="A4715" s="1">
        <v>473.0</v>
      </c>
      <c r="B4715" s="1">
        <v>1262508.0</v>
      </c>
      <c r="C4715" s="1">
        <v>5630226.0</v>
      </c>
      <c r="D4715" s="1" t="s">
        <v>5096</v>
      </c>
    </row>
    <row r="4716">
      <c r="A4716" s="1">
        <v>395.0</v>
      </c>
      <c r="B4716" s="1">
        <v>1260463.0</v>
      </c>
      <c r="C4716" s="1">
        <v>5637308.0</v>
      </c>
      <c r="D4716" s="1" t="s">
        <v>2877</v>
      </c>
    </row>
    <row r="4717">
      <c r="A4717" s="1">
        <v>504.0</v>
      </c>
      <c r="B4717" s="1">
        <v>1260329.0</v>
      </c>
      <c r="C4717" s="1">
        <v>5631140.0</v>
      </c>
      <c r="D4717" s="1" t="s">
        <v>5097</v>
      </c>
    </row>
    <row r="4718">
      <c r="A4718" s="1">
        <v>410.0</v>
      </c>
      <c r="B4718" s="1">
        <v>1257903.0</v>
      </c>
      <c r="C4718" s="1">
        <v>5614133.0</v>
      </c>
      <c r="D4718" s="1" t="s">
        <v>5098</v>
      </c>
    </row>
    <row r="4719">
      <c r="A4719" s="1">
        <v>476.0</v>
      </c>
      <c r="B4719" s="1">
        <v>1254418.0</v>
      </c>
      <c r="C4719" s="1">
        <v>5639992.0</v>
      </c>
      <c r="D4719" s="1" t="s">
        <v>5099</v>
      </c>
    </row>
    <row r="4720">
      <c r="A4720" s="1">
        <v>285.0</v>
      </c>
      <c r="B4720" s="1">
        <v>1233062.0</v>
      </c>
      <c r="C4720" s="1">
        <v>5501681.0</v>
      </c>
      <c r="D4720" s="1" t="s">
        <v>4958</v>
      </c>
    </row>
    <row r="4721">
      <c r="A4721" s="1">
        <v>571.0</v>
      </c>
      <c r="B4721" s="1">
        <v>1232172.0</v>
      </c>
      <c r="C4721" s="1">
        <v>2.3974052E7</v>
      </c>
      <c r="D4721" s="1" t="s">
        <v>1111</v>
      </c>
    </row>
    <row r="4722">
      <c r="A4722" s="1">
        <v>524.0</v>
      </c>
      <c r="B4722" s="1">
        <v>1220045.0</v>
      </c>
      <c r="C4722" s="1">
        <v>5468244.0</v>
      </c>
      <c r="D4722" s="1" t="s">
        <v>4916</v>
      </c>
    </row>
    <row r="4723">
      <c r="A4723" s="1">
        <v>410.0</v>
      </c>
      <c r="B4723" s="1">
        <v>1217066.0</v>
      </c>
      <c r="C4723" s="1">
        <v>5447038.0</v>
      </c>
      <c r="D4723" s="1" t="s">
        <v>4122</v>
      </c>
    </row>
    <row r="4724">
      <c r="A4724" s="1">
        <v>401.0</v>
      </c>
      <c r="B4724" s="1">
        <v>1210285.0</v>
      </c>
      <c r="C4724" s="1">
        <v>5408740.0</v>
      </c>
      <c r="D4724" s="1" t="s">
        <v>5103</v>
      </c>
    </row>
    <row r="4725">
      <c r="A4725" s="1">
        <v>555.0</v>
      </c>
      <c r="B4725" s="1">
        <v>1207466.0</v>
      </c>
      <c r="C4725" s="1">
        <v>5409900.0</v>
      </c>
      <c r="D4725" s="1" t="s">
        <v>131</v>
      </c>
    </row>
    <row r="4726">
      <c r="A4726" s="1">
        <v>173.0</v>
      </c>
      <c r="B4726" s="1">
        <v>1201307.0</v>
      </c>
      <c r="C4726" s="1">
        <v>3.18244359E8</v>
      </c>
      <c r="D4726" s="1" t="s">
        <v>4750</v>
      </c>
    </row>
    <row r="4727">
      <c r="A4727" s="1">
        <v>550.0</v>
      </c>
      <c r="B4727" s="1">
        <v>1200877.0</v>
      </c>
      <c r="C4727" s="1">
        <v>5377202.0</v>
      </c>
      <c r="D4727" s="1" t="s">
        <v>5088</v>
      </c>
    </row>
    <row r="4728">
      <c r="A4728" s="1">
        <v>484.0</v>
      </c>
      <c r="B4728" s="1">
        <v>1199138.0</v>
      </c>
      <c r="C4728" s="1">
        <v>4.2533975E8</v>
      </c>
      <c r="D4728" s="1" t="s">
        <v>5107</v>
      </c>
    </row>
    <row r="4729">
      <c r="A4729" s="1">
        <v>120.0</v>
      </c>
      <c r="B4729" s="1">
        <v>1198439.0</v>
      </c>
      <c r="C4729" s="1">
        <v>5375857.0</v>
      </c>
      <c r="D4729" s="1" t="s">
        <v>3912</v>
      </c>
    </row>
    <row r="4730">
      <c r="A4730" s="1">
        <v>572.0</v>
      </c>
      <c r="B4730" s="1">
        <v>1196795.0</v>
      </c>
      <c r="C4730" s="1">
        <v>5361717.0</v>
      </c>
      <c r="D4730" s="1" t="s">
        <v>5110</v>
      </c>
    </row>
    <row r="4731">
      <c r="A4731" s="1">
        <v>484.0</v>
      </c>
      <c r="B4731" s="1">
        <v>1194237.0</v>
      </c>
      <c r="C4731" s="1">
        <v>2.3889621E7</v>
      </c>
      <c r="D4731" s="1" t="s">
        <v>2363</v>
      </c>
    </row>
    <row r="4732">
      <c r="A4732" s="1">
        <v>410.0</v>
      </c>
      <c r="B4732" s="1">
        <v>1194075.0</v>
      </c>
      <c r="C4732" s="1">
        <v>5362750.0</v>
      </c>
      <c r="D4732" s="1" t="s">
        <v>4989</v>
      </c>
    </row>
    <row r="4733">
      <c r="A4733" s="1">
        <v>173.0</v>
      </c>
      <c r="B4733" s="1">
        <v>1182493.0</v>
      </c>
      <c r="C4733" s="1">
        <v>5343606.0</v>
      </c>
      <c r="D4733" s="1" t="s">
        <v>1048</v>
      </c>
    </row>
    <row r="4734">
      <c r="A4734" s="1">
        <v>602.0</v>
      </c>
      <c r="B4734" s="1">
        <v>1180944.0</v>
      </c>
      <c r="C4734" s="1">
        <v>5316121.0</v>
      </c>
      <c r="D4734" s="1" t="s">
        <v>4066</v>
      </c>
    </row>
    <row r="4735">
      <c r="A4735" s="1">
        <v>571.0</v>
      </c>
      <c r="B4735" s="1">
        <v>1180832.0</v>
      </c>
      <c r="C4735" s="1">
        <v>5319458.0</v>
      </c>
      <c r="D4735" s="1" t="s">
        <v>4637</v>
      </c>
    </row>
    <row r="4736">
      <c r="A4736" s="1">
        <v>571.0</v>
      </c>
      <c r="B4736" s="1">
        <v>1177183.0</v>
      </c>
      <c r="C4736" s="1">
        <v>2.4411524E7</v>
      </c>
      <c r="D4736" s="1" t="s">
        <v>5054</v>
      </c>
    </row>
    <row r="4737">
      <c r="A4737" s="1">
        <v>154.0</v>
      </c>
      <c r="B4737" s="1">
        <v>1173246.0</v>
      </c>
      <c r="C4737" s="1">
        <v>5273959.0</v>
      </c>
      <c r="D4737" s="1" t="s">
        <v>4965</v>
      </c>
    </row>
    <row r="4738">
      <c r="A4738" s="1">
        <v>504.0</v>
      </c>
      <c r="B4738" s="1">
        <v>1168997.0</v>
      </c>
      <c r="C4738" s="1">
        <v>5253397.0</v>
      </c>
      <c r="D4738" s="1" t="s">
        <v>5118</v>
      </c>
    </row>
    <row r="4739">
      <c r="A4739" s="1">
        <v>500.0</v>
      </c>
      <c r="B4739" s="1">
        <v>1154038.0</v>
      </c>
      <c r="C4739" s="1">
        <v>5186058.0</v>
      </c>
      <c r="D4739" s="1" t="s">
        <v>1545</v>
      </c>
    </row>
    <row r="4740">
      <c r="A4740" s="1">
        <v>401.0</v>
      </c>
      <c r="B4740" s="1">
        <v>1151763.0</v>
      </c>
      <c r="C4740" s="1">
        <v>5184642.0</v>
      </c>
      <c r="D4740" s="1" t="s">
        <v>2260</v>
      </c>
    </row>
    <row r="4741">
      <c r="A4741" s="1">
        <v>120.0</v>
      </c>
      <c r="B4741" s="1">
        <v>1150940.0</v>
      </c>
      <c r="C4741" s="1">
        <v>3.03446462E8</v>
      </c>
      <c r="D4741" s="1" t="s">
        <v>5121</v>
      </c>
    </row>
    <row r="4742">
      <c r="A4742" s="1">
        <v>228.0</v>
      </c>
      <c r="B4742" s="1">
        <v>1149841.0</v>
      </c>
      <c r="C4742" s="1">
        <v>5210779.0</v>
      </c>
      <c r="D4742" s="1" t="s">
        <v>5122</v>
      </c>
    </row>
    <row r="4743">
      <c r="A4743" s="1">
        <v>527.0</v>
      </c>
      <c r="B4743" s="1">
        <v>1145540.0</v>
      </c>
      <c r="C4743" s="1">
        <v>5153546.0</v>
      </c>
      <c r="D4743" s="1" t="s">
        <v>129</v>
      </c>
    </row>
    <row r="4744">
      <c r="A4744" s="1">
        <v>518.0</v>
      </c>
      <c r="B4744" s="1">
        <v>1141383.0</v>
      </c>
      <c r="C4744" s="1">
        <v>5126588.0</v>
      </c>
      <c r="D4744" s="1" t="s">
        <v>5125</v>
      </c>
    </row>
    <row r="4745">
      <c r="A4745" s="1">
        <v>388.0</v>
      </c>
      <c r="B4745" s="1">
        <v>1138284.0</v>
      </c>
      <c r="C4745" s="1">
        <v>2.1086049E7</v>
      </c>
      <c r="D4745" s="1" t="s">
        <v>5127</v>
      </c>
    </row>
    <row r="4746">
      <c r="A4746" s="1">
        <v>571.0</v>
      </c>
      <c r="B4746" s="1">
        <v>1130060.0</v>
      </c>
      <c r="C4746" s="1">
        <v>1.09894806E8</v>
      </c>
      <c r="D4746" s="1" t="s">
        <v>4488</v>
      </c>
    </row>
    <row r="4747">
      <c r="A4747" s="1">
        <v>410.0</v>
      </c>
      <c r="B4747" s="1">
        <v>1128197.0</v>
      </c>
      <c r="C4747" s="1">
        <v>5095713.0</v>
      </c>
      <c r="D4747" s="1" t="s">
        <v>377</v>
      </c>
    </row>
    <row r="4748">
      <c r="A4748" s="1">
        <v>401.0</v>
      </c>
      <c r="B4748" s="1">
        <v>1122501.0</v>
      </c>
      <c r="C4748" s="1">
        <v>5060999.0</v>
      </c>
      <c r="D4748" s="1" t="s">
        <v>4014</v>
      </c>
    </row>
    <row r="4749">
      <c r="A4749" s="1">
        <v>401.0</v>
      </c>
      <c r="B4749" s="1">
        <v>1118717.0</v>
      </c>
      <c r="C4749" s="1">
        <v>5045418.0</v>
      </c>
      <c r="D4749" s="1" t="s">
        <v>5132</v>
      </c>
    </row>
    <row r="4750">
      <c r="A4750" s="1">
        <v>142.0</v>
      </c>
      <c r="B4750" s="1">
        <v>1118330.0</v>
      </c>
      <c r="C4750" s="1">
        <v>5067908.0</v>
      </c>
      <c r="D4750" s="1" t="s">
        <v>126</v>
      </c>
    </row>
    <row r="4751">
      <c r="A4751" s="1">
        <v>396.0</v>
      </c>
      <c r="B4751" s="1">
        <v>1112108.0</v>
      </c>
      <c r="C4751" s="1">
        <v>5018638.0</v>
      </c>
      <c r="D4751" s="1" t="s">
        <v>5135</v>
      </c>
    </row>
    <row r="4752">
      <c r="A4752" s="1">
        <v>180.0</v>
      </c>
      <c r="B4752" s="1">
        <v>1108827.0</v>
      </c>
      <c r="C4752" s="1">
        <v>5032808.0</v>
      </c>
      <c r="D4752" s="1" t="s">
        <v>5002</v>
      </c>
    </row>
    <row r="4753">
      <c r="A4753" s="1">
        <v>403.0</v>
      </c>
      <c r="B4753" s="1">
        <v>1104494.0</v>
      </c>
      <c r="C4753" s="1">
        <v>5044918.0</v>
      </c>
      <c r="D4753" s="1" t="s">
        <v>4807</v>
      </c>
    </row>
    <row r="4754">
      <c r="A4754" s="1">
        <v>387.0</v>
      </c>
      <c r="B4754" s="1">
        <v>1103033.0</v>
      </c>
      <c r="C4754" s="1">
        <v>4985274.0</v>
      </c>
      <c r="D4754" s="1" t="s">
        <v>966</v>
      </c>
    </row>
    <row r="4755">
      <c r="A4755" s="1">
        <v>410.0</v>
      </c>
      <c r="B4755" s="1">
        <v>1097547.0</v>
      </c>
      <c r="C4755" s="1">
        <v>4968673.0</v>
      </c>
      <c r="D4755" s="1" t="s">
        <v>3909</v>
      </c>
    </row>
    <row r="4756">
      <c r="A4756" s="1">
        <v>173.0</v>
      </c>
      <c r="B4756" s="1">
        <v>1092263.0</v>
      </c>
      <c r="C4756" s="1">
        <v>2.18293619E8</v>
      </c>
      <c r="D4756" s="1" t="s">
        <v>5134</v>
      </c>
    </row>
    <row r="4757">
      <c r="A4757" s="1">
        <v>285.0</v>
      </c>
      <c r="B4757" s="1">
        <v>1076558.0</v>
      </c>
      <c r="C4757" s="1">
        <v>4882833.0</v>
      </c>
      <c r="D4757" s="1" t="s">
        <v>2776</v>
      </c>
    </row>
    <row r="4758">
      <c r="A4758" s="1">
        <v>157.0</v>
      </c>
      <c r="B4758" s="1">
        <v>1071557.0</v>
      </c>
      <c r="C4758" s="1">
        <v>4865507.0</v>
      </c>
      <c r="D4758" s="1" t="s">
        <v>337</v>
      </c>
    </row>
    <row r="4759">
      <c r="A4759" s="1">
        <v>159.0</v>
      </c>
      <c r="B4759" s="1">
        <v>1053125.0</v>
      </c>
      <c r="C4759" s="1">
        <v>4797464.0</v>
      </c>
      <c r="D4759" s="1" t="s">
        <v>5136</v>
      </c>
    </row>
    <row r="4760">
      <c r="A4760" s="1">
        <v>476.0</v>
      </c>
      <c r="B4760" s="1">
        <v>1050688.0</v>
      </c>
      <c r="C4760" s="1">
        <v>4813794.0</v>
      </c>
      <c r="D4760" s="1" t="s">
        <v>4718</v>
      </c>
    </row>
    <row r="4761">
      <c r="A4761" s="1">
        <v>120.0</v>
      </c>
      <c r="B4761" s="1">
        <v>1046472.0</v>
      </c>
      <c r="C4761" s="1">
        <v>4767677.0</v>
      </c>
      <c r="D4761" s="1" t="s">
        <v>5137</v>
      </c>
    </row>
    <row r="4762">
      <c r="A4762" s="1">
        <v>410.0</v>
      </c>
      <c r="B4762" s="1">
        <v>1043954.0</v>
      </c>
      <c r="C4762" s="1">
        <v>4788097.0</v>
      </c>
      <c r="D4762" s="1" t="s">
        <v>5133</v>
      </c>
    </row>
    <row r="4763">
      <c r="A4763" s="1">
        <v>476.0</v>
      </c>
      <c r="B4763" s="1">
        <v>1043580.0</v>
      </c>
      <c r="C4763" s="1">
        <v>4788270.0</v>
      </c>
      <c r="D4763" s="1" t="s">
        <v>881</v>
      </c>
    </row>
    <row r="4764">
      <c r="A4764" s="1">
        <v>395.0</v>
      </c>
      <c r="B4764" s="1">
        <v>1015200.0</v>
      </c>
      <c r="C4764" s="1">
        <v>4669519.0</v>
      </c>
      <c r="D4764" s="1" t="s">
        <v>5138</v>
      </c>
    </row>
    <row r="4765">
      <c r="A4765" s="1">
        <v>243.0</v>
      </c>
      <c r="B4765" s="1">
        <v>1014717.0</v>
      </c>
      <c r="C4765" s="1">
        <v>4644561.0</v>
      </c>
      <c r="D4765" s="1" t="s">
        <v>5131</v>
      </c>
    </row>
    <row r="4766">
      <c r="A4766" s="1">
        <v>120.0</v>
      </c>
      <c r="B4766" s="1">
        <v>1008085.0</v>
      </c>
      <c r="C4766" s="1">
        <v>4613661.0</v>
      </c>
      <c r="D4766" s="1" t="s">
        <v>5139</v>
      </c>
    </row>
    <row r="4767">
      <c r="A4767" s="1">
        <v>410.0</v>
      </c>
      <c r="B4767" s="1">
        <v>1006784.0</v>
      </c>
      <c r="C4767" s="1">
        <v>4617489.0</v>
      </c>
      <c r="D4767" s="1" t="s">
        <v>4689</v>
      </c>
    </row>
    <row r="4768">
      <c r="A4768" s="1">
        <v>476.0</v>
      </c>
      <c r="B4768" s="1">
        <v>1004084.0</v>
      </c>
      <c r="C4768" s="1">
        <v>4634823.0</v>
      </c>
      <c r="D4768" s="17" t="s">
        <v>1070</v>
      </c>
    </row>
    <row r="4769">
      <c r="A4769" s="1">
        <v>501.0</v>
      </c>
      <c r="B4769" s="1">
        <v>991924.0</v>
      </c>
      <c r="C4769" s="1">
        <v>4558336.0</v>
      </c>
      <c r="D4769" s="1" t="s">
        <v>122</v>
      </c>
    </row>
    <row r="4770">
      <c r="A4770" s="1">
        <v>403.0</v>
      </c>
      <c r="B4770" s="1">
        <v>984365.0</v>
      </c>
      <c r="C4770" s="1">
        <v>3.61312561E8</v>
      </c>
      <c r="D4770" s="1" t="s">
        <v>4572</v>
      </c>
    </row>
    <row r="4771">
      <c r="A4771" s="1">
        <v>223.0</v>
      </c>
      <c r="B4771" s="1">
        <v>983380.0</v>
      </c>
      <c r="C4771" s="1">
        <v>4528844.0</v>
      </c>
      <c r="D4771" s="1" t="s">
        <v>3478</v>
      </c>
    </row>
    <row r="4772">
      <c r="A4772" s="1">
        <v>326.0</v>
      </c>
      <c r="B4772" s="1">
        <v>980852.0</v>
      </c>
      <c r="C4772" s="1">
        <v>4516627.0</v>
      </c>
      <c r="D4772" s="1" t="s">
        <v>2058</v>
      </c>
    </row>
    <row r="4773">
      <c r="A4773" s="1">
        <v>120.0</v>
      </c>
      <c r="B4773" s="1">
        <v>969175.0</v>
      </c>
      <c r="C4773" s="1">
        <v>4488557.0</v>
      </c>
      <c r="D4773" s="1" t="s">
        <v>1520</v>
      </c>
    </row>
    <row r="4774">
      <c r="A4774" s="1">
        <v>203.0</v>
      </c>
      <c r="B4774" s="1">
        <v>967666.0</v>
      </c>
      <c r="C4774" s="1">
        <v>4469634.0</v>
      </c>
      <c r="D4774" s="1" t="s">
        <v>2763</v>
      </c>
    </row>
    <row r="4775">
      <c r="A4775" s="1">
        <v>395.0</v>
      </c>
      <c r="B4775" s="1">
        <v>963543.0</v>
      </c>
      <c r="C4775" s="1">
        <v>4469854.0</v>
      </c>
      <c r="D4775" s="1" t="s">
        <v>4751</v>
      </c>
    </row>
    <row r="4776">
      <c r="A4776" s="1">
        <v>120.0</v>
      </c>
      <c r="B4776" s="1">
        <v>956436.0</v>
      </c>
      <c r="C4776" s="1">
        <v>4427533.0</v>
      </c>
      <c r="D4776" s="1" t="s">
        <v>791</v>
      </c>
    </row>
    <row r="4777">
      <c r="A4777" s="1">
        <v>173.0</v>
      </c>
      <c r="B4777" s="1">
        <v>948098.0</v>
      </c>
      <c r="C4777" s="1">
        <v>4389488.0</v>
      </c>
      <c r="D4777" s="1" t="s">
        <v>5066</v>
      </c>
    </row>
    <row r="4778">
      <c r="A4778" s="1">
        <v>120.0</v>
      </c>
      <c r="B4778" s="1">
        <v>948007.0</v>
      </c>
      <c r="C4778" s="1">
        <v>4385736.0</v>
      </c>
      <c r="D4778" s="1" t="s">
        <v>5140</v>
      </c>
    </row>
    <row r="4779">
      <c r="A4779" s="1">
        <v>488.0</v>
      </c>
      <c r="B4779" s="1">
        <v>924696.0</v>
      </c>
      <c r="C4779" s="1">
        <v>4.25421363E8</v>
      </c>
      <c r="D4779" s="1" t="s">
        <v>528</v>
      </c>
    </row>
    <row r="4780">
      <c r="A4780" s="1">
        <v>216.0</v>
      </c>
      <c r="B4780" s="1">
        <v>914908.0</v>
      </c>
      <c r="C4780" s="1">
        <v>4274301.0</v>
      </c>
      <c r="D4780" s="17" t="s">
        <v>5130</v>
      </c>
    </row>
    <row r="4781">
      <c r="A4781" s="1">
        <v>157.0</v>
      </c>
      <c r="B4781" s="1">
        <v>910868.0</v>
      </c>
      <c r="C4781" s="1">
        <v>4245832.0</v>
      </c>
      <c r="D4781" s="1" t="s">
        <v>4868</v>
      </c>
    </row>
    <row r="4782">
      <c r="A4782" s="1">
        <v>228.0</v>
      </c>
      <c r="B4782" s="1">
        <v>907602.0</v>
      </c>
      <c r="C4782" s="1">
        <v>4251237.0</v>
      </c>
      <c r="D4782" s="1" t="s">
        <v>5141</v>
      </c>
    </row>
    <row r="4783">
      <c r="A4783" s="1">
        <v>403.0</v>
      </c>
      <c r="B4783" s="1">
        <v>906141.0</v>
      </c>
      <c r="C4783" s="1">
        <v>2.30163136E8</v>
      </c>
      <c r="D4783" s="1" t="s">
        <v>2048</v>
      </c>
    </row>
    <row r="4784">
      <c r="A4784" s="1">
        <v>173.0</v>
      </c>
      <c r="B4784" s="1">
        <v>900136.0</v>
      </c>
      <c r="C4784" s="1">
        <v>4248588.0</v>
      </c>
      <c r="D4784" s="1" t="s">
        <v>118</v>
      </c>
    </row>
    <row r="4785">
      <c r="A4785" s="1">
        <v>120.0</v>
      </c>
      <c r="B4785" s="1">
        <v>893355.0</v>
      </c>
      <c r="C4785" s="1">
        <v>4179254.0</v>
      </c>
      <c r="D4785" s="1" t="s">
        <v>3220</v>
      </c>
    </row>
    <row r="4786">
      <c r="A4786" s="1">
        <v>476.0</v>
      </c>
      <c r="B4786" s="1">
        <v>886419.0</v>
      </c>
      <c r="C4786" s="1">
        <v>4183204.0</v>
      </c>
      <c r="D4786" s="1" t="s">
        <v>5142</v>
      </c>
    </row>
    <row r="4787">
      <c r="A4787" s="1">
        <v>459.0</v>
      </c>
      <c r="B4787" s="1">
        <v>885681.0</v>
      </c>
      <c r="C4787" s="1">
        <v>4164807.0</v>
      </c>
      <c r="D4787" s="1" t="s">
        <v>4408</v>
      </c>
    </row>
    <row r="4788">
      <c r="A4788" s="1">
        <v>425.0</v>
      </c>
      <c r="B4788" s="1">
        <v>883461.0</v>
      </c>
      <c r="C4788" s="1">
        <v>4141830.0</v>
      </c>
      <c r="D4788" s="1" t="s">
        <v>5053</v>
      </c>
    </row>
    <row r="4789">
      <c r="A4789" s="1">
        <v>285.0</v>
      </c>
      <c r="B4789" s="1">
        <v>880142.0</v>
      </c>
      <c r="C4789" s="1">
        <v>4129412.0</v>
      </c>
      <c r="D4789" s="1" t="s">
        <v>116</v>
      </c>
    </row>
    <row r="4790">
      <c r="A4790" s="1">
        <v>403.0</v>
      </c>
      <c r="B4790" s="1">
        <v>879627.0</v>
      </c>
      <c r="C4790" s="1">
        <v>3.19015915E8</v>
      </c>
      <c r="D4790" s="1" t="s">
        <v>5143</v>
      </c>
    </row>
    <row r="4791">
      <c r="A4791" s="1">
        <v>210.0</v>
      </c>
      <c r="B4791" s="1">
        <v>875412.0</v>
      </c>
      <c r="C4791" s="1">
        <v>1.69190775E8</v>
      </c>
      <c r="D4791" s="1" t="s">
        <v>4571</v>
      </c>
    </row>
    <row r="4792">
      <c r="A4792" s="1">
        <v>223.0</v>
      </c>
      <c r="B4792" s="1">
        <v>875223.0</v>
      </c>
      <c r="C4792" s="1">
        <v>4119396.0</v>
      </c>
      <c r="D4792" s="1" t="s">
        <v>114</v>
      </c>
    </row>
    <row r="4793">
      <c r="A4793" s="1">
        <v>120.0</v>
      </c>
      <c r="B4793" s="1">
        <v>874383.0</v>
      </c>
      <c r="C4793" s="1">
        <v>4106845.0</v>
      </c>
      <c r="D4793" s="1" t="s">
        <v>1122</v>
      </c>
    </row>
    <row r="4794">
      <c r="A4794" s="1">
        <v>484.0</v>
      </c>
      <c r="B4794" s="1">
        <v>866039.0</v>
      </c>
      <c r="C4794" s="1">
        <v>4079073.0</v>
      </c>
      <c r="D4794" s="1" t="s">
        <v>2018</v>
      </c>
    </row>
    <row r="4795">
      <c r="A4795" s="1">
        <v>228.0</v>
      </c>
      <c r="B4795" s="1">
        <v>862832.0</v>
      </c>
      <c r="C4795" s="1">
        <v>4059496.0</v>
      </c>
      <c r="D4795" s="1" t="s">
        <v>111</v>
      </c>
    </row>
    <row r="4796">
      <c r="A4796" s="1">
        <v>228.0</v>
      </c>
      <c r="B4796" s="1">
        <v>862066.0</v>
      </c>
      <c r="C4796" s="1">
        <v>3.4965975E7</v>
      </c>
      <c r="D4796" s="1" t="s">
        <v>4984</v>
      </c>
    </row>
    <row r="4797">
      <c r="A4797" s="1">
        <v>223.0</v>
      </c>
      <c r="B4797" s="1">
        <v>862006.0</v>
      </c>
      <c r="C4797" s="1">
        <v>4058401.0</v>
      </c>
      <c r="D4797" s="1" t="s">
        <v>4602</v>
      </c>
    </row>
    <row r="4798">
      <c r="A4798" s="1">
        <v>120.0</v>
      </c>
      <c r="B4798" s="1">
        <v>859862.0</v>
      </c>
      <c r="C4798" s="1">
        <v>4056309.0</v>
      </c>
      <c r="D4798" s="1" t="s">
        <v>4053</v>
      </c>
    </row>
    <row r="4799">
      <c r="A4799" s="1">
        <v>173.0</v>
      </c>
      <c r="B4799" s="1">
        <v>856808.0</v>
      </c>
      <c r="C4799" s="1">
        <v>4045253.0</v>
      </c>
      <c r="D4799" s="1" t="s">
        <v>4805</v>
      </c>
    </row>
    <row r="4800">
      <c r="A4800" s="1">
        <v>157.0</v>
      </c>
      <c r="B4800" s="1">
        <v>847203.0</v>
      </c>
      <c r="C4800" s="1">
        <v>3998914.0</v>
      </c>
      <c r="D4800" s="1" t="s">
        <v>4032</v>
      </c>
    </row>
    <row r="4801">
      <c r="A4801" s="1">
        <v>410.0</v>
      </c>
      <c r="B4801" s="1">
        <v>840120.0</v>
      </c>
      <c r="C4801" s="1">
        <v>3971407.0</v>
      </c>
      <c r="D4801" s="1" t="s">
        <v>916</v>
      </c>
    </row>
    <row r="4802">
      <c r="A4802" s="1">
        <v>410.0</v>
      </c>
      <c r="B4802" s="1">
        <v>836205.0</v>
      </c>
      <c r="C4802" s="1">
        <v>3961571.0</v>
      </c>
      <c r="D4802" s="1" t="s">
        <v>871</v>
      </c>
    </row>
    <row r="4803">
      <c r="A4803" s="1">
        <v>410.0</v>
      </c>
      <c r="B4803" s="1">
        <v>827972.0</v>
      </c>
      <c r="C4803" s="1">
        <v>3924228.0</v>
      </c>
      <c r="D4803" s="17" t="s">
        <v>5144</v>
      </c>
    </row>
    <row r="4804">
      <c r="A4804" s="1">
        <v>484.0</v>
      </c>
      <c r="B4804" s="1">
        <v>821719.0</v>
      </c>
      <c r="C4804" s="1">
        <v>3.8387531E7</v>
      </c>
      <c r="D4804" s="1" t="s">
        <v>4990</v>
      </c>
    </row>
    <row r="4805">
      <c r="A4805" s="1">
        <v>404.0</v>
      </c>
      <c r="B4805" s="1">
        <v>820388.0</v>
      </c>
      <c r="C4805" s="1">
        <v>2.0535923E7</v>
      </c>
      <c r="D4805" s="1" t="s">
        <v>5145</v>
      </c>
    </row>
    <row r="4806">
      <c r="A4806" s="1">
        <v>120.0</v>
      </c>
      <c r="B4806" s="1">
        <v>817145.0</v>
      </c>
      <c r="C4806" s="1">
        <v>3880078.0</v>
      </c>
      <c r="D4806" s="1" t="s">
        <v>5146</v>
      </c>
    </row>
    <row r="4807">
      <c r="A4807" s="1">
        <v>120.0</v>
      </c>
      <c r="B4807" s="1">
        <v>814032.0</v>
      </c>
      <c r="C4807" s="1">
        <v>3868258.0</v>
      </c>
      <c r="D4807" s="17" t="s">
        <v>4640</v>
      </c>
    </row>
    <row r="4808">
      <c r="A4808" s="1">
        <v>247.0</v>
      </c>
      <c r="B4808" s="1">
        <v>796342.0</v>
      </c>
      <c r="C4808" s="1">
        <v>3796727.0</v>
      </c>
      <c r="D4808" s="1" t="s">
        <v>5129</v>
      </c>
    </row>
    <row r="4809">
      <c r="A4809" s="1">
        <v>172.0</v>
      </c>
      <c r="B4809" s="1">
        <v>793889.0</v>
      </c>
      <c r="C4809" s="1">
        <v>3784227.0</v>
      </c>
      <c r="D4809" s="1" t="s">
        <v>852</v>
      </c>
    </row>
    <row r="4810">
      <c r="A4810" s="1">
        <v>285.0</v>
      </c>
      <c r="B4810" s="1">
        <v>786534.0</v>
      </c>
      <c r="C4810" s="1">
        <v>3754637.0</v>
      </c>
      <c r="D4810" s="1" t="s">
        <v>4951</v>
      </c>
    </row>
    <row r="4811">
      <c r="A4811" s="1">
        <v>228.0</v>
      </c>
      <c r="B4811" s="1">
        <v>779619.0</v>
      </c>
      <c r="C4811" s="1">
        <v>3733122.0</v>
      </c>
      <c r="D4811" s="1" t="s">
        <v>5147</v>
      </c>
    </row>
    <row r="4812">
      <c r="A4812" s="1">
        <v>403.0</v>
      </c>
      <c r="B4812" s="1">
        <v>776887.0</v>
      </c>
      <c r="C4812" s="1">
        <v>3718824.0</v>
      </c>
      <c r="D4812" s="1" t="s">
        <v>797</v>
      </c>
    </row>
    <row r="4813">
      <c r="A4813" s="1">
        <v>157.0</v>
      </c>
      <c r="B4813" s="1">
        <v>768742.0</v>
      </c>
      <c r="C4813" s="1">
        <v>3677573.0</v>
      </c>
      <c r="D4813" s="1" t="s">
        <v>1141</v>
      </c>
    </row>
    <row r="4814">
      <c r="A4814" s="1">
        <v>403.0</v>
      </c>
      <c r="B4814" s="1">
        <v>756220.0</v>
      </c>
      <c r="C4814" s="1">
        <v>4.81260773E8</v>
      </c>
      <c r="D4814" s="1" t="s">
        <v>4771</v>
      </c>
    </row>
    <row r="4815">
      <c r="A4815" s="1">
        <v>339.0</v>
      </c>
      <c r="B4815" s="1">
        <v>745626.0</v>
      </c>
      <c r="C4815" s="1">
        <v>1.3574239E7</v>
      </c>
      <c r="D4815" s="1" t="s">
        <v>5128</v>
      </c>
    </row>
    <row r="4816">
      <c r="A4816" s="1">
        <v>339.0</v>
      </c>
      <c r="B4816" s="1">
        <v>737045.0</v>
      </c>
      <c r="C4816" s="1">
        <v>3544872.0</v>
      </c>
      <c r="D4816" s="1" t="s">
        <v>5148</v>
      </c>
    </row>
    <row r="4817">
      <c r="A4817" s="1">
        <v>173.0</v>
      </c>
      <c r="B4817" s="1">
        <v>729981.0</v>
      </c>
      <c r="C4817" s="1">
        <v>3521178.0</v>
      </c>
      <c r="D4817" s="1" t="s">
        <v>5126</v>
      </c>
    </row>
    <row r="4818">
      <c r="A4818" s="1">
        <v>173.0</v>
      </c>
      <c r="B4818" s="1">
        <v>729978.0</v>
      </c>
      <c r="C4818" s="1">
        <v>3520839.0</v>
      </c>
      <c r="D4818" s="1" t="s">
        <v>3691</v>
      </c>
    </row>
    <row r="4819">
      <c r="A4819" s="1">
        <v>403.0</v>
      </c>
      <c r="B4819" s="1">
        <v>729850.0</v>
      </c>
      <c r="C4819" s="1">
        <v>3518354.0</v>
      </c>
      <c r="D4819" s="1" t="s">
        <v>637</v>
      </c>
    </row>
    <row r="4820">
      <c r="A4820" s="1">
        <v>120.0</v>
      </c>
      <c r="B4820" s="1">
        <v>725654.0</v>
      </c>
      <c r="C4820" s="1">
        <v>3502892.0</v>
      </c>
      <c r="D4820" s="1" t="s">
        <v>800</v>
      </c>
    </row>
    <row r="4821">
      <c r="A4821" s="1">
        <v>216.0</v>
      </c>
      <c r="B4821" s="1">
        <v>722767.0</v>
      </c>
      <c r="C4821" s="1">
        <v>3493841.0</v>
      </c>
      <c r="D4821" s="1" t="s">
        <v>979</v>
      </c>
    </row>
    <row r="4822">
      <c r="A4822" s="1">
        <v>173.0</v>
      </c>
      <c r="B4822" s="1">
        <v>721566.0</v>
      </c>
      <c r="C4822" s="1">
        <v>3484867.0</v>
      </c>
      <c r="D4822" s="1" t="s">
        <v>2605</v>
      </c>
    </row>
    <row r="4823">
      <c r="A4823" s="1">
        <v>157.0</v>
      </c>
      <c r="B4823" s="1">
        <v>717848.0</v>
      </c>
      <c r="C4823" s="1">
        <v>3518129.0</v>
      </c>
      <c r="D4823" s="1" t="s">
        <v>3399</v>
      </c>
    </row>
    <row r="4824">
      <c r="A4824" s="1">
        <v>120.0</v>
      </c>
      <c r="B4824" s="1">
        <v>711507.0</v>
      </c>
      <c r="C4824" s="1">
        <v>3448266.0</v>
      </c>
      <c r="D4824" s="1" t="s">
        <v>3684</v>
      </c>
    </row>
    <row r="4825">
      <c r="A4825" s="1">
        <v>228.0</v>
      </c>
      <c r="B4825" s="1">
        <v>710562.0</v>
      </c>
      <c r="C4825" s="1">
        <v>3438978.0</v>
      </c>
      <c r="D4825" s="1" t="s">
        <v>4095</v>
      </c>
    </row>
    <row r="4826">
      <c r="A4826" s="1">
        <v>216.0</v>
      </c>
      <c r="B4826" s="1">
        <v>698102.0</v>
      </c>
      <c r="C4826" s="1">
        <v>3387262.0</v>
      </c>
      <c r="D4826" s="1" t="s">
        <v>2702</v>
      </c>
    </row>
    <row r="4827">
      <c r="A4827" s="1">
        <v>340.0</v>
      </c>
      <c r="B4827" s="1">
        <v>692256.0</v>
      </c>
      <c r="C4827" s="1">
        <v>3375729.0</v>
      </c>
      <c r="D4827" s="1" t="s">
        <v>105</v>
      </c>
    </row>
    <row r="4828">
      <c r="A4828" s="1">
        <v>340.0</v>
      </c>
      <c r="B4828" s="1">
        <v>684643.0</v>
      </c>
      <c r="C4828" s="1">
        <v>3324681.0</v>
      </c>
      <c r="D4828" s="1" t="s">
        <v>3323</v>
      </c>
    </row>
    <row r="4829">
      <c r="A4829" s="1">
        <v>403.0</v>
      </c>
      <c r="B4829" s="1">
        <v>679370.0</v>
      </c>
      <c r="C4829" s="1">
        <v>3291340.0</v>
      </c>
      <c r="D4829" s="1" t="s">
        <v>102</v>
      </c>
    </row>
    <row r="4830">
      <c r="A4830" s="1">
        <v>228.0</v>
      </c>
      <c r="B4830" s="1">
        <v>678105.0</v>
      </c>
      <c r="C4830" s="1">
        <v>3294408.0</v>
      </c>
      <c r="D4830" s="1" t="s">
        <v>5124</v>
      </c>
    </row>
    <row r="4831">
      <c r="A4831" s="1">
        <v>403.0</v>
      </c>
      <c r="B4831" s="1">
        <v>676017.0</v>
      </c>
      <c r="C4831" s="1">
        <v>3277605.0</v>
      </c>
      <c r="D4831" s="1" t="s">
        <v>5149</v>
      </c>
    </row>
    <row r="4832">
      <c r="A4832" s="1">
        <v>120.0</v>
      </c>
      <c r="B4832" s="1">
        <v>675036.0</v>
      </c>
      <c r="C4832" s="1">
        <v>3265489.0</v>
      </c>
      <c r="D4832" s="1" t="s">
        <v>496</v>
      </c>
    </row>
    <row r="4833">
      <c r="A4833" s="1">
        <v>157.0</v>
      </c>
      <c r="B4833" s="1">
        <v>669626.0</v>
      </c>
      <c r="C4833" s="1">
        <v>3238765.0</v>
      </c>
      <c r="D4833" s="1" t="s">
        <v>2378</v>
      </c>
    </row>
    <row r="4834">
      <c r="A4834" s="1">
        <v>159.0</v>
      </c>
      <c r="B4834" s="1">
        <v>666559.0</v>
      </c>
      <c r="C4834" s="1">
        <v>3231860.0</v>
      </c>
      <c r="D4834" s="1" t="s">
        <v>99</v>
      </c>
    </row>
    <row r="4835">
      <c r="A4835" s="1">
        <v>173.0</v>
      </c>
      <c r="B4835" s="1">
        <v>660648.0</v>
      </c>
      <c r="C4835" s="1">
        <v>3202910.0</v>
      </c>
      <c r="D4835" s="1" t="s">
        <v>4003</v>
      </c>
    </row>
    <row r="4836">
      <c r="A4836" s="1">
        <v>120.0</v>
      </c>
      <c r="B4836" s="1">
        <v>656536.0</v>
      </c>
      <c r="C4836" s="1">
        <v>3185046.0</v>
      </c>
      <c r="D4836" s="1" t="s">
        <v>5150</v>
      </c>
    </row>
    <row r="4837">
      <c r="A4837" s="1">
        <v>204.0</v>
      </c>
      <c r="B4837" s="1">
        <v>654770.0</v>
      </c>
      <c r="C4837" s="1">
        <v>3171044.0</v>
      </c>
      <c r="D4837" s="1" t="s">
        <v>1062</v>
      </c>
    </row>
    <row r="4838">
      <c r="A4838" s="1">
        <v>285.0</v>
      </c>
      <c r="B4838" s="1">
        <v>654616.0</v>
      </c>
      <c r="C4838" s="1">
        <v>3168113.0</v>
      </c>
      <c r="D4838" s="1" t="s">
        <v>4509</v>
      </c>
    </row>
    <row r="4839">
      <c r="A4839" s="1">
        <v>129.0</v>
      </c>
      <c r="B4839" s="1">
        <v>651210.0</v>
      </c>
      <c r="C4839" s="1">
        <v>3156318.0</v>
      </c>
      <c r="D4839" s="1" t="s">
        <v>5151</v>
      </c>
    </row>
    <row r="4840">
      <c r="A4840" s="1">
        <v>223.0</v>
      </c>
      <c r="B4840" s="1">
        <v>648236.0</v>
      </c>
      <c r="C4840" s="1">
        <v>3146242.0</v>
      </c>
      <c r="D4840" s="1" t="s">
        <v>5123</v>
      </c>
    </row>
    <row r="4841">
      <c r="A4841" s="1">
        <v>120.0</v>
      </c>
      <c r="B4841" s="1">
        <v>643409.0</v>
      </c>
      <c r="C4841" s="1">
        <v>3115145.0</v>
      </c>
      <c r="D4841" s="1" t="s">
        <v>4518</v>
      </c>
    </row>
    <row r="4842">
      <c r="A4842" s="1">
        <v>228.0</v>
      </c>
      <c r="B4842" s="1">
        <v>643142.0</v>
      </c>
      <c r="C4842" s="1">
        <v>3117249.0</v>
      </c>
      <c r="D4842" s="1" t="s">
        <v>1846</v>
      </c>
    </row>
    <row r="4843">
      <c r="A4843" s="1">
        <v>228.0</v>
      </c>
      <c r="B4843" s="1">
        <v>643142.0</v>
      </c>
      <c r="C4843" s="1">
        <v>3681304.0</v>
      </c>
      <c r="D4843" s="1" t="s">
        <v>4825</v>
      </c>
    </row>
    <row r="4844">
      <c r="A4844" s="1">
        <v>225.0</v>
      </c>
      <c r="B4844" s="1">
        <v>640211.0</v>
      </c>
      <c r="C4844" s="1">
        <v>7.8118852E7</v>
      </c>
      <c r="D4844" s="1" t="s">
        <v>5152</v>
      </c>
    </row>
    <row r="4845">
      <c r="A4845" s="1">
        <v>120.0</v>
      </c>
      <c r="B4845" s="1">
        <v>637827.0</v>
      </c>
      <c r="C4845" s="1">
        <v>3090900.0</v>
      </c>
      <c r="D4845" s="1" t="s">
        <v>5153</v>
      </c>
    </row>
    <row r="4846">
      <c r="A4846" s="1">
        <v>403.0</v>
      </c>
      <c r="B4846" s="1">
        <v>635218.0</v>
      </c>
      <c r="C4846" s="1">
        <v>3078322.0</v>
      </c>
      <c r="D4846" s="1" t="s">
        <v>1128</v>
      </c>
    </row>
    <row r="4847">
      <c r="A4847" s="1">
        <v>403.0</v>
      </c>
      <c r="B4847" s="1">
        <v>635218.0</v>
      </c>
      <c r="C4847" s="1">
        <v>2.8598295E7</v>
      </c>
      <c r="D4847" s="1" t="s">
        <v>1038</v>
      </c>
    </row>
    <row r="4848">
      <c r="A4848" s="1">
        <v>326.0</v>
      </c>
      <c r="B4848" s="1">
        <v>629872.0</v>
      </c>
      <c r="C4848" s="1">
        <v>3056687.0</v>
      </c>
      <c r="D4848" s="1" t="s">
        <v>2557</v>
      </c>
    </row>
    <row r="4849">
      <c r="A4849" s="1">
        <v>120.0</v>
      </c>
      <c r="B4849" s="1">
        <v>629207.0</v>
      </c>
      <c r="C4849" s="1">
        <v>3068567.0</v>
      </c>
      <c r="D4849" s="1" t="s">
        <v>601</v>
      </c>
    </row>
    <row r="4850">
      <c r="A4850" s="1">
        <v>396.0</v>
      </c>
      <c r="B4850" s="1">
        <v>629000.0</v>
      </c>
      <c r="C4850" s="1">
        <v>3057790.0</v>
      </c>
      <c r="D4850" s="1" t="s">
        <v>4600</v>
      </c>
    </row>
    <row r="4851">
      <c r="A4851" s="1">
        <v>157.0</v>
      </c>
      <c r="B4851" s="1">
        <v>627443.0</v>
      </c>
      <c r="C4851" s="1">
        <v>3045284.0</v>
      </c>
      <c r="D4851" s="1" t="s">
        <v>1517</v>
      </c>
    </row>
    <row r="4852">
      <c r="A4852" s="1">
        <v>129.0</v>
      </c>
      <c r="B4852" s="1">
        <v>627008.0</v>
      </c>
      <c r="C4852" s="1">
        <v>3046066.0</v>
      </c>
      <c r="D4852" s="1" t="s">
        <v>5154</v>
      </c>
    </row>
    <row r="4853">
      <c r="A4853" s="1">
        <v>203.0</v>
      </c>
      <c r="B4853" s="1">
        <v>622224.0</v>
      </c>
      <c r="C4853" s="1">
        <v>3034788.0</v>
      </c>
      <c r="D4853" s="1" t="s">
        <v>949</v>
      </c>
    </row>
    <row r="4854">
      <c r="A4854" s="1">
        <v>228.0</v>
      </c>
      <c r="B4854" s="1">
        <v>620851.0</v>
      </c>
      <c r="C4854" s="1">
        <v>3014689.0</v>
      </c>
      <c r="D4854" s="1" t="s">
        <v>3009</v>
      </c>
    </row>
    <row r="4855">
      <c r="A4855" s="1">
        <v>228.0</v>
      </c>
      <c r="B4855" s="1">
        <v>615045.0</v>
      </c>
      <c r="C4855" s="1">
        <v>3017702.0</v>
      </c>
      <c r="D4855" s="1" t="s">
        <v>2442</v>
      </c>
    </row>
    <row r="4856">
      <c r="A4856" s="1">
        <v>212.0</v>
      </c>
      <c r="B4856" s="1">
        <v>606304.0</v>
      </c>
      <c r="C4856" s="1">
        <v>2946408.0</v>
      </c>
      <c r="D4856" s="1" t="s">
        <v>4996</v>
      </c>
    </row>
    <row r="4857">
      <c r="A4857" s="1">
        <v>157.0</v>
      </c>
      <c r="B4857" s="1">
        <v>603783.0</v>
      </c>
      <c r="C4857" s="1">
        <v>2929137.0</v>
      </c>
      <c r="D4857" s="1" t="s">
        <v>3575</v>
      </c>
    </row>
    <row r="4858">
      <c r="A4858" s="1">
        <v>157.0</v>
      </c>
      <c r="B4858" s="1">
        <v>599098.0</v>
      </c>
      <c r="C4858" s="1">
        <v>2902275.0</v>
      </c>
      <c r="D4858" s="1" t="s">
        <v>2354</v>
      </c>
    </row>
    <row r="4859">
      <c r="A4859" s="1">
        <v>173.0</v>
      </c>
      <c r="B4859" s="1">
        <v>592313.0</v>
      </c>
      <c r="C4859" s="1">
        <v>1.2848035E7</v>
      </c>
      <c r="D4859" s="1" t="s">
        <v>3907</v>
      </c>
    </row>
    <row r="4860">
      <c r="A4860" s="1">
        <v>120.0</v>
      </c>
      <c r="B4860" s="1">
        <v>568289.0</v>
      </c>
      <c r="C4860" s="1">
        <v>2752562.0</v>
      </c>
      <c r="D4860" s="1" t="s">
        <v>5120</v>
      </c>
    </row>
    <row r="4861">
      <c r="A4861" s="1">
        <v>120.0</v>
      </c>
      <c r="B4861" s="1">
        <v>567664.0</v>
      </c>
      <c r="C4861" s="1">
        <v>2741458.0</v>
      </c>
      <c r="D4861" s="1" t="s">
        <v>2486</v>
      </c>
    </row>
    <row r="4862">
      <c r="A4862" s="1">
        <v>160.0</v>
      </c>
      <c r="B4862" s="1">
        <v>566256.0</v>
      </c>
      <c r="C4862" s="1">
        <v>2734096.0</v>
      </c>
      <c r="D4862" s="1" t="s">
        <v>5072</v>
      </c>
    </row>
    <row r="4863">
      <c r="A4863" s="1">
        <v>225.0</v>
      </c>
      <c r="B4863" s="1">
        <v>561982.0</v>
      </c>
      <c r="C4863" s="1">
        <v>2709189.0</v>
      </c>
      <c r="D4863" s="1" t="s">
        <v>2175</v>
      </c>
    </row>
    <row r="4864">
      <c r="A4864" s="1">
        <v>120.0</v>
      </c>
      <c r="B4864" s="1">
        <v>558201.0</v>
      </c>
      <c r="C4864" s="1">
        <v>2686933.0</v>
      </c>
      <c r="D4864" s="1" t="s">
        <v>97</v>
      </c>
    </row>
    <row r="4865">
      <c r="A4865" s="1">
        <v>120.0</v>
      </c>
      <c r="B4865" s="1">
        <v>551026.0</v>
      </c>
      <c r="C4865" s="1">
        <v>2655640.0</v>
      </c>
      <c r="D4865" s="1" t="s">
        <v>4704</v>
      </c>
    </row>
    <row r="4866">
      <c r="A4866" s="1">
        <v>235.0</v>
      </c>
      <c r="B4866" s="1">
        <v>549215.0</v>
      </c>
      <c r="C4866" s="1">
        <v>3.2052237E7</v>
      </c>
      <c r="D4866" s="1" t="s">
        <v>313</v>
      </c>
    </row>
    <row r="4867">
      <c r="A4867" s="1">
        <v>216.0</v>
      </c>
      <c r="B4867" s="1">
        <v>548362.0</v>
      </c>
      <c r="C4867" s="1">
        <v>2639089.0</v>
      </c>
      <c r="D4867" s="1" t="s">
        <v>618</v>
      </c>
    </row>
    <row r="4868">
      <c r="A4868" s="1">
        <v>154.0</v>
      </c>
      <c r="B4868" s="1">
        <v>544337.0</v>
      </c>
      <c r="C4868" s="1">
        <v>2620388.0</v>
      </c>
      <c r="D4868" s="1" t="s">
        <v>2106</v>
      </c>
    </row>
    <row r="4869">
      <c r="A4869" s="1">
        <v>12.0</v>
      </c>
      <c r="B4869" s="1">
        <v>542015.0</v>
      </c>
      <c r="C4869" s="1">
        <v>2611763.0</v>
      </c>
      <c r="D4869" s="1" t="s">
        <v>5155</v>
      </c>
    </row>
    <row r="4870">
      <c r="A4870" s="1">
        <v>157.0</v>
      </c>
      <c r="B4870" s="1">
        <v>540937.0</v>
      </c>
      <c r="C4870" s="1">
        <v>2599906.0</v>
      </c>
      <c r="D4870" s="1" t="s">
        <v>4724</v>
      </c>
    </row>
    <row r="4871">
      <c r="A4871" s="1">
        <v>205.0</v>
      </c>
      <c r="B4871" s="1">
        <v>532242.0</v>
      </c>
      <c r="C4871" s="1">
        <v>2558774.0</v>
      </c>
      <c r="D4871" s="1" t="s">
        <v>2602</v>
      </c>
    </row>
    <row r="4872">
      <c r="A4872" s="1">
        <v>172.0</v>
      </c>
      <c r="B4872" s="1">
        <v>524653.0</v>
      </c>
      <c r="C4872" s="1">
        <v>2508064.0</v>
      </c>
      <c r="D4872" s="1" t="s">
        <v>4289</v>
      </c>
    </row>
    <row r="4873">
      <c r="A4873" s="1">
        <v>120.0</v>
      </c>
      <c r="B4873" s="1">
        <v>522313.0</v>
      </c>
      <c r="C4873" s="1">
        <v>2500162.0</v>
      </c>
      <c r="D4873" s="25" t="str">
        <f>+Very much. However service last night in the palm terrace was very poor-I sat for 15 minutes and was never aporoached. I finally left and went to the su</f>
        <v>#ERROR!</v>
      </c>
    </row>
    <row r="4874">
      <c r="A4874" s="1">
        <v>93.0</v>
      </c>
      <c r="B4874" s="1">
        <v>521277.0</v>
      </c>
      <c r="C4874" s="1">
        <v>2490262.0</v>
      </c>
      <c r="D4874" s="1" t="s">
        <v>5156</v>
      </c>
    </row>
    <row r="4875">
      <c r="A4875" s="1">
        <v>339.0</v>
      </c>
      <c r="B4875" s="1">
        <v>515489.0</v>
      </c>
      <c r="C4875" s="1">
        <v>2459827.0</v>
      </c>
      <c r="D4875" s="1" t="s">
        <v>5157</v>
      </c>
    </row>
    <row r="4876">
      <c r="A4876" s="1">
        <v>216.0</v>
      </c>
      <c r="B4876" s="1">
        <v>508835.0</v>
      </c>
      <c r="C4876" s="1">
        <v>2432937.0</v>
      </c>
      <c r="D4876" s="1" t="s">
        <v>3128</v>
      </c>
    </row>
    <row r="4877">
      <c r="A4877" s="1">
        <v>120.0</v>
      </c>
      <c r="B4877" s="1">
        <v>503786.0</v>
      </c>
      <c r="C4877" s="1">
        <v>2403156.0</v>
      </c>
      <c r="D4877" s="1" t="s">
        <v>5158</v>
      </c>
    </row>
    <row r="4878">
      <c r="A4878" s="1">
        <v>120.0</v>
      </c>
      <c r="B4878" s="1">
        <v>503497.0</v>
      </c>
      <c r="C4878" s="1">
        <v>2398587.0</v>
      </c>
      <c r="D4878" s="1" t="s">
        <v>2737</v>
      </c>
    </row>
    <row r="4879">
      <c r="A4879" s="1">
        <v>120.0</v>
      </c>
      <c r="B4879" s="1">
        <v>498621.0</v>
      </c>
      <c r="C4879" s="1">
        <v>2357069.0</v>
      </c>
      <c r="D4879" s="1" t="s">
        <v>1594</v>
      </c>
    </row>
    <row r="4880">
      <c r="A4880" s="1">
        <v>216.0</v>
      </c>
      <c r="B4880" s="1">
        <v>493999.0</v>
      </c>
      <c r="C4880" s="1">
        <v>2338336.0</v>
      </c>
      <c r="D4880" s="1" t="s">
        <v>3291</v>
      </c>
    </row>
    <row r="4881">
      <c r="A4881" s="1">
        <v>223.0</v>
      </c>
      <c r="B4881" s="1">
        <v>491951.0</v>
      </c>
      <c r="C4881" s="1">
        <v>2324817.0</v>
      </c>
      <c r="D4881" s="1" t="s">
        <v>5119</v>
      </c>
    </row>
    <row r="4882">
      <c r="A4882" s="1">
        <v>120.0</v>
      </c>
      <c r="B4882" s="1">
        <v>490409.0</v>
      </c>
      <c r="C4882" s="1">
        <v>2310257.0</v>
      </c>
      <c r="D4882" s="1" t="s">
        <v>3960</v>
      </c>
    </row>
    <row r="4883">
      <c r="A4883" s="1">
        <v>122.0</v>
      </c>
      <c r="B4883" s="1">
        <v>487224.0</v>
      </c>
      <c r="C4883" s="1">
        <v>2283981.0</v>
      </c>
      <c r="D4883" s="1" t="s">
        <v>5159</v>
      </c>
    </row>
    <row r="4884">
      <c r="A4884" s="1">
        <v>326.0</v>
      </c>
      <c r="B4884" s="1">
        <v>471850.0</v>
      </c>
      <c r="C4884" s="1">
        <v>2190252.0</v>
      </c>
      <c r="D4884" s="1" t="s">
        <v>5000</v>
      </c>
    </row>
    <row r="4885">
      <c r="A4885" s="1">
        <v>204.0</v>
      </c>
      <c r="B4885" s="1">
        <v>461094.0</v>
      </c>
      <c r="C4885" s="1">
        <v>2129050.0</v>
      </c>
      <c r="D4885" s="1" t="s">
        <v>5117</v>
      </c>
    </row>
    <row r="4886">
      <c r="A4886" s="1">
        <v>120.0</v>
      </c>
      <c r="B4886" s="1">
        <v>455788.0</v>
      </c>
      <c r="C4886" s="1">
        <v>2103783.0</v>
      </c>
      <c r="D4886" s="1" t="s">
        <v>1865</v>
      </c>
    </row>
    <row r="4887">
      <c r="A4887" s="1">
        <v>158.0</v>
      </c>
      <c r="B4887" s="1">
        <v>443546.0</v>
      </c>
      <c r="C4887" s="1">
        <v>2039146.0</v>
      </c>
      <c r="D4887" s="25" t="str">
        <f>+ location, + having a free breakfast &amp; wi-fi. - TV 2 small in bedroom, need a box spring for sleep comfort</f>
        <v>#ERROR!</v>
      </c>
    </row>
    <row r="4888">
      <c r="A4888" s="1">
        <v>178.0</v>
      </c>
      <c r="B4888" s="1">
        <v>442204.0</v>
      </c>
      <c r="C4888" s="1">
        <v>2032321.0</v>
      </c>
      <c r="D4888" s="1" t="s">
        <v>4412</v>
      </c>
    </row>
    <row r="4889">
      <c r="A4889" s="1">
        <v>120.0</v>
      </c>
      <c r="B4889" s="1">
        <v>442202.0</v>
      </c>
      <c r="C4889" s="1">
        <v>2032872.0</v>
      </c>
      <c r="D4889" s="1" t="s">
        <v>1300</v>
      </c>
    </row>
    <row r="4890">
      <c r="A4890" s="1">
        <v>238.0</v>
      </c>
      <c r="B4890" s="1">
        <v>440308.0</v>
      </c>
      <c r="C4890" s="1">
        <v>2028747.0</v>
      </c>
      <c r="D4890" s="1" t="s">
        <v>1982</v>
      </c>
    </row>
    <row r="4891">
      <c r="A4891" s="1">
        <v>180.0</v>
      </c>
      <c r="B4891" s="1">
        <v>433177.0</v>
      </c>
      <c r="C4891" s="1">
        <v>1986527.0</v>
      </c>
      <c r="D4891" s="1" t="s">
        <v>5160</v>
      </c>
    </row>
    <row r="4892">
      <c r="A4892" s="1">
        <v>173.0</v>
      </c>
      <c r="B4892" s="1">
        <v>432565.0</v>
      </c>
      <c r="C4892" s="1">
        <v>1979172.0</v>
      </c>
      <c r="D4892" s="1" t="s">
        <v>95</v>
      </c>
    </row>
    <row r="4893">
      <c r="A4893" s="1">
        <v>285.0</v>
      </c>
      <c r="B4893" s="1">
        <v>428521.0</v>
      </c>
      <c r="C4893" s="1">
        <v>1958265.0</v>
      </c>
      <c r="D4893" s="1" t="s">
        <v>3836</v>
      </c>
    </row>
    <row r="4894">
      <c r="A4894" s="1">
        <v>129.0</v>
      </c>
      <c r="B4894" s="1">
        <v>427982.0</v>
      </c>
      <c r="C4894" s="1">
        <v>1958259.0</v>
      </c>
      <c r="D4894" s="1" t="s">
        <v>2774</v>
      </c>
    </row>
    <row r="4895">
      <c r="A4895" s="1">
        <v>120.0</v>
      </c>
      <c r="B4895" s="1">
        <v>427087.0</v>
      </c>
      <c r="C4895" s="1">
        <v>1948555.0</v>
      </c>
      <c r="D4895" s="1" t="s">
        <v>1349</v>
      </c>
    </row>
    <row r="4896">
      <c r="A4896" s="1">
        <v>120.0</v>
      </c>
      <c r="B4896" s="1">
        <v>423812.0</v>
      </c>
      <c r="C4896" s="1">
        <v>1931775.0</v>
      </c>
      <c r="D4896" s="1" t="s">
        <v>1693</v>
      </c>
    </row>
    <row r="4897">
      <c r="A4897" s="1">
        <v>129.0</v>
      </c>
      <c r="B4897" s="1">
        <v>422671.0</v>
      </c>
      <c r="C4897" s="1">
        <v>1924031.0</v>
      </c>
      <c r="D4897" s="1" t="s">
        <v>5161</v>
      </c>
    </row>
    <row r="4898">
      <c r="A4898" s="1">
        <v>120.0</v>
      </c>
      <c r="B4898" s="1">
        <v>419189.0</v>
      </c>
      <c r="C4898" s="1">
        <v>1902128.0</v>
      </c>
      <c r="D4898" s="1" t="s">
        <v>1636</v>
      </c>
    </row>
    <row r="4899">
      <c r="A4899" s="1">
        <v>120.0</v>
      </c>
      <c r="B4899" s="1">
        <v>417556.0</v>
      </c>
      <c r="C4899" s="1">
        <v>5691849.0</v>
      </c>
      <c r="D4899" s="1" t="s">
        <v>4096</v>
      </c>
    </row>
    <row r="4900">
      <c r="A4900" s="1">
        <v>120.0</v>
      </c>
      <c r="B4900" s="1">
        <v>416979.0</v>
      </c>
      <c r="C4900" s="1">
        <v>1886050.0</v>
      </c>
      <c r="D4900" s="1" t="s">
        <v>5162</v>
      </c>
    </row>
    <row r="4901">
      <c r="A4901" s="1">
        <v>223.0</v>
      </c>
      <c r="B4901" s="1">
        <v>410420.0</v>
      </c>
      <c r="C4901" s="1">
        <v>1849293.0</v>
      </c>
      <c r="D4901" s="1" t="s">
        <v>5163</v>
      </c>
    </row>
    <row r="4902">
      <c r="A4902" s="1">
        <v>120.0</v>
      </c>
      <c r="B4902" s="1">
        <v>408998.0</v>
      </c>
      <c r="C4902" s="1">
        <v>1842973.0</v>
      </c>
      <c r="D4902" s="1" t="s">
        <v>3224</v>
      </c>
    </row>
    <row r="4903">
      <c r="A4903" s="1">
        <v>120.0</v>
      </c>
      <c r="B4903" s="1">
        <v>404684.0</v>
      </c>
      <c r="C4903" s="1">
        <v>1825987.0</v>
      </c>
      <c r="D4903" s="1" t="s">
        <v>4164</v>
      </c>
    </row>
    <row r="4904">
      <c r="A4904" s="1">
        <v>238.0</v>
      </c>
      <c r="B4904" s="1">
        <v>396475.0</v>
      </c>
      <c r="C4904" s="1">
        <v>1758811.0</v>
      </c>
      <c r="D4904" s="1" t="s">
        <v>4940</v>
      </c>
    </row>
    <row r="4905">
      <c r="A4905" s="1">
        <v>223.0</v>
      </c>
      <c r="B4905" s="1">
        <v>396461.0</v>
      </c>
      <c r="C4905" s="1">
        <v>1756129.0</v>
      </c>
      <c r="D4905" s="1" t="s">
        <v>5164</v>
      </c>
    </row>
    <row r="4906">
      <c r="A4906" s="1">
        <v>223.0</v>
      </c>
      <c r="B4906" s="1">
        <v>386338.0</v>
      </c>
      <c r="C4906" s="1">
        <v>1711043.0</v>
      </c>
      <c r="D4906" s="1" t="s">
        <v>88</v>
      </c>
    </row>
    <row r="4907">
      <c r="A4907" s="1">
        <v>122.0</v>
      </c>
      <c r="B4907" s="1">
        <v>383117.0</v>
      </c>
      <c r="C4907" s="1">
        <v>1687914.0</v>
      </c>
      <c r="D4907" s="1" t="s">
        <v>5116</v>
      </c>
    </row>
    <row r="4908">
      <c r="A4908" s="1">
        <v>216.0</v>
      </c>
      <c r="B4908" s="1">
        <v>381697.0</v>
      </c>
      <c r="C4908" s="1">
        <v>1673222.0</v>
      </c>
      <c r="D4908" s="1" t="s">
        <v>1613</v>
      </c>
    </row>
    <row r="4909">
      <c r="A4909" s="1">
        <v>223.0</v>
      </c>
      <c r="B4909" s="1">
        <v>371630.0</v>
      </c>
      <c r="C4909" s="1">
        <v>1618796.0</v>
      </c>
      <c r="D4909" s="1" t="s">
        <v>5165</v>
      </c>
    </row>
    <row r="4910">
      <c r="A4910" s="1">
        <v>120.0</v>
      </c>
      <c r="B4910" s="1">
        <v>371061.0</v>
      </c>
      <c r="C4910" s="1">
        <v>1618675.0</v>
      </c>
      <c r="D4910" s="1" t="s">
        <v>5166</v>
      </c>
    </row>
    <row r="4911">
      <c r="A4911" s="1">
        <v>223.0</v>
      </c>
      <c r="B4911" s="1">
        <v>370741.0</v>
      </c>
      <c r="C4911" s="1">
        <v>1618676.0</v>
      </c>
      <c r="D4911" s="1" t="s">
        <v>5071</v>
      </c>
    </row>
    <row r="4912">
      <c r="A4912" s="1">
        <v>120.0</v>
      </c>
      <c r="B4912" s="1">
        <v>370020.0</v>
      </c>
      <c r="C4912" s="1">
        <v>2068025.0</v>
      </c>
      <c r="D4912" s="1" t="s">
        <v>4769</v>
      </c>
    </row>
    <row r="4913">
      <c r="A4913" s="1">
        <v>120.0</v>
      </c>
      <c r="B4913" s="1">
        <v>367958.0</v>
      </c>
      <c r="C4913" s="1">
        <v>1603297.0</v>
      </c>
      <c r="D4913" s="17" t="s">
        <v>1717</v>
      </c>
    </row>
    <row r="4914">
      <c r="A4914" s="1">
        <v>120.0</v>
      </c>
      <c r="B4914" s="1">
        <v>367793.0</v>
      </c>
      <c r="C4914" s="1">
        <v>1603302.0</v>
      </c>
      <c r="D4914" s="1" t="s">
        <v>1934</v>
      </c>
    </row>
    <row r="4915">
      <c r="A4915" s="1">
        <v>120.0</v>
      </c>
      <c r="B4915" s="1">
        <v>364067.0</v>
      </c>
      <c r="C4915" s="1">
        <v>1580492.0</v>
      </c>
      <c r="D4915" s="1" t="s">
        <v>2154</v>
      </c>
    </row>
    <row r="4916">
      <c r="A4916" s="1">
        <v>120.0</v>
      </c>
      <c r="B4916" s="1">
        <v>363264.0</v>
      </c>
      <c r="C4916" s="1">
        <v>1580474.0</v>
      </c>
      <c r="D4916" s="1" t="s">
        <v>5167</v>
      </c>
    </row>
    <row r="4917">
      <c r="A4917" s="1">
        <v>249.0</v>
      </c>
      <c r="B4917" s="1">
        <v>362720.0</v>
      </c>
      <c r="C4917" s="1">
        <v>1580943.0</v>
      </c>
      <c r="D4917" s="1" t="s">
        <v>4161</v>
      </c>
    </row>
    <row r="4918">
      <c r="A4918" s="1">
        <v>12.0</v>
      </c>
      <c r="B4918" s="1">
        <v>361721.0</v>
      </c>
      <c r="C4918" s="1">
        <v>1572762.0</v>
      </c>
      <c r="D4918" s="17" t="s">
        <v>4843</v>
      </c>
    </row>
    <row r="4919">
      <c r="A4919" s="1">
        <v>216.0</v>
      </c>
      <c r="B4919" s="1">
        <v>355561.0</v>
      </c>
      <c r="C4919" s="1">
        <v>1547124.0</v>
      </c>
      <c r="D4919" s="1" t="s">
        <v>5168</v>
      </c>
    </row>
    <row r="4920">
      <c r="A4920" s="1">
        <v>120.0</v>
      </c>
      <c r="B4920" s="1">
        <v>349285.0</v>
      </c>
      <c r="C4920" s="1">
        <v>1508980.0</v>
      </c>
      <c r="D4920" s="1" t="s">
        <v>5042</v>
      </c>
    </row>
    <row r="4921">
      <c r="A4921" s="1">
        <v>120.0</v>
      </c>
      <c r="B4921" s="1">
        <v>344656.0</v>
      </c>
      <c r="C4921" s="1">
        <v>1489310.0</v>
      </c>
      <c r="D4921" s="1" t="s">
        <v>4720</v>
      </c>
    </row>
    <row r="4922">
      <c r="A4922" s="1">
        <v>12.0</v>
      </c>
      <c r="B4922" s="1">
        <v>340091.0</v>
      </c>
      <c r="C4922" s="1">
        <v>1463700.0</v>
      </c>
      <c r="D4922" s="1" t="s">
        <v>1648</v>
      </c>
    </row>
    <row r="4923">
      <c r="A4923" s="1">
        <v>120.0</v>
      </c>
      <c r="B4923" s="1">
        <v>335848.0</v>
      </c>
      <c r="C4923" s="1">
        <v>5154305.0</v>
      </c>
      <c r="D4923" s="1" t="s">
        <v>4513</v>
      </c>
    </row>
    <row r="4924">
      <c r="A4924" s="1">
        <v>120.0</v>
      </c>
      <c r="B4924" s="1">
        <v>335116.0</v>
      </c>
      <c r="C4924" s="1">
        <v>1439520.0</v>
      </c>
      <c r="D4924" s="1" t="s">
        <v>4818</v>
      </c>
    </row>
    <row r="4925">
      <c r="A4925" s="1">
        <v>239.0</v>
      </c>
      <c r="B4925" s="1">
        <v>327749.0</v>
      </c>
      <c r="C4925" s="1">
        <v>1404492.0</v>
      </c>
      <c r="D4925" s="1" t="s">
        <v>2761</v>
      </c>
    </row>
    <row r="4926">
      <c r="A4926" s="1">
        <v>120.0</v>
      </c>
      <c r="B4926" s="1">
        <v>311048.0</v>
      </c>
      <c r="C4926" s="1">
        <v>1328511.0</v>
      </c>
      <c r="D4926" s="1" t="s">
        <v>5169</v>
      </c>
    </row>
    <row r="4927">
      <c r="A4927" s="1">
        <v>120.0</v>
      </c>
      <c r="B4927" s="1">
        <v>310388.0</v>
      </c>
      <c r="C4927" s="1">
        <v>1.91841056E8</v>
      </c>
      <c r="D4927" s="1" t="s">
        <v>442</v>
      </c>
    </row>
    <row r="4928">
      <c r="A4928" s="1">
        <v>112.0</v>
      </c>
      <c r="B4928" s="1">
        <v>309007.0</v>
      </c>
      <c r="C4928" s="1">
        <v>1323196.0</v>
      </c>
      <c r="D4928" s="1" t="s">
        <v>767</v>
      </c>
    </row>
    <row r="4929">
      <c r="A4929" s="1">
        <v>120.0</v>
      </c>
      <c r="B4929" s="1">
        <v>306429.0</v>
      </c>
      <c r="C4929" s="1">
        <v>1307563.0</v>
      </c>
      <c r="D4929" s="17" t="s">
        <v>5170</v>
      </c>
    </row>
    <row r="4930">
      <c r="A4930" s="1">
        <v>120.0</v>
      </c>
      <c r="B4930" s="1">
        <v>306395.0</v>
      </c>
      <c r="C4930" s="1">
        <v>1.82544857E8</v>
      </c>
      <c r="D4930" s="1" t="s">
        <v>1184</v>
      </c>
    </row>
    <row r="4931">
      <c r="A4931" s="1">
        <v>257.0</v>
      </c>
      <c r="B4931" s="1">
        <v>300839.0</v>
      </c>
      <c r="C4931" s="1">
        <v>1277862.0</v>
      </c>
      <c r="D4931" s="1" t="s">
        <v>3414</v>
      </c>
    </row>
    <row r="4932">
      <c r="A4932" s="1">
        <v>120.0</v>
      </c>
      <c r="B4932" s="1">
        <v>298611.0</v>
      </c>
      <c r="C4932" s="1">
        <v>4933221.0</v>
      </c>
      <c r="D4932" s="1" t="s">
        <v>4876</v>
      </c>
    </row>
    <row r="4933">
      <c r="A4933" s="1">
        <v>120.0</v>
      </c>
      <c r="B4933" s="1">
        <v>286515.0</v>
      </c>
      <c r="C4933" s="1">
        <v>4673632.0</v>
      </c>
      <c r="D4933" s="1" t="s">
        <v>124</v>
      </c>
    </row>
    <row r="4934">
      <c r="A4934" s="1">
        <v>120.0</v>
      </c>
      <c r="B4934" s="1">
        <v>284767.0</v>
      </c>
      <c r="C4934" s="1">
        <v>1211933.0</v>
      </c>
      <c r="D4934" s="1" t="s">
        <v>4413</v>
      </c>
    </row>
    <row r="4935">
      <c r="A4935" s="1">
        <v>120.0</v>
      </c>
      <c r="B4935" s="1">
        <v>284310.0</v>
      </c>
      <c r="C4935" s="1">
        <v>1221691.0</v>
      </c>
      <c r="D4935" s="1" t="s">
        <v>3223</v>
      </c>
    </row>
    <row r="4936">
      <c r="A4936" s="1">
        <v>228.0</v>
      </c>
      <c r="B4936" s="1">
        <v>276960.0</v>
      </c>
      <c r="C4936" s="1">
        <v>3416745.0</v>
      </c>
      <c r="D4936" s="1" t="s">
        <v>109</v>
      </c>
    </row>
    <row r="4937">
      <c r="A4937" s="1">
        <v>120.0</v>
      </c>
      <c r="B4937" s="1">
        <v>271930.0</v>
      </c>
      <c r="C4937" s="1">
        <v>1161123.0</v>
      </c>
      <c r="D4937" s="25" t="str">
        <f>+10. Resort is beautiful, staff was suburb! Love the TM option.</f>
        <v>#ERROR!</v>
      </c>
    </row>
    <row r="4938">
      <c r="A4938" s="1">
        <v>206.0</v>
      </c>
      <c r="B4938" s="1">
        <v>270117.0</v>
      </c>
      <c r="C4938" s="1">
        <v>1143853.0</v>
      </c>
      <c r="D4938" s="1" t="s">
        <v>5115</v>
      </c>
    </row>
    <row r="4939">
      <c r="A4939" s="1">
        <v>53.0</v>
      </c>
      <c r="B4939" s="1">
        <v>269256.0</v>
      </c>
      <c r="C4939" s="1">
        <v>1148658.0</v>
      </c>
      <c r="D4939" s="1" t="s">
        <v>4245</v>
      </c>
    </row>
    <row r="4940">
      <c r="A4940" s="1">
        <v>120.0</v>
      </c>
      <c r="B4940" s="1">
        <v>268886.0</v>
      </c>
      <c r="C4940" s="1">
        <v>1154614.0</v>
      </c>
      <c r="D4940" s="1" t="s">
        <v>4888</v>
      </c>
    </row>
    <row r="4941">
      <c r="A4941" s="1">
        <v>157.0</v>
      </c>
      <c r="B4941" s="1">
        <v>266755.0</v>
      </c>
      <c r="C4941" s="1">
        <v>1126957.0</v>
      </c>
      <c r="D4941" s="1" t="s">
        <v>3905</v>
      </c>
    </row>
    <row r="4942">
      <c r="A4942" s="1">
        <v>206.0</v>
      </c>
      <c r="B4942" s="1">
        <v>264480.0</v>
      </c>
      <c r="C4942" s="1">
        <v>3034648.0</v>
      </c>
      <c r="D4942" s="1" t="s">
        <v>1600</v>
      </c>
    </row>
    <row r="4943">
      <c r="A4943" s="1">
        <v>120.0</v>
      </c>
      <c r="B4943" s="1">
        <v>255362.0</v>
      </c>
      <c r="C4943" s="1">
        <v>1075501.0</v>
      </c>
      <c r="D4943" s="1" t="s">
        <v>1525</v>
      </c>
    </row>
    <row r="4944">
      <c r="A4944" s="1">
        <v>120.0</v>
      </c>
      <c r="B4944" s="1">
        <v>254953.0</v>
      </c>
      <c r="C4944" s="1">
        <v>1076045.0</v>
      </c>
      <c r="D4944" s="1" t="s">
        <v>4767</v>
      </c>
    </row>
    <row r="4945">
      <c r="A4945" s="1">
        <v>216.0</v>
      </c>
      <c r="B4945" s="1">
        <v>251078.0</v>
      </c>
      <c r="C4945" s="1">
        <v>1054797.0</v>
      </c>
      <c r="D4945" s="1" t="s">
        <v>5114</v>
      </c>
    </row>
    <row r="4946">
      <c r="A4946" s="1">
        <v>120.0</v>
      </c>
      <c r="B4946" s="1">
        <v>248281.0</v>
      </c>
      <c r="C4946" s="1">
        <v>1044024.0</v>
      </c>
      <c r="D4946" s="1" t="s">
        <v>4000</v>
      </c>
    </row>
    <row r="4947">
      <c r="A4947" s="1">
        <v>157.0</v>
      </c>
      <c r="B4947" s="1">
        <v>229997.0</v>
      </c>
      <c r="C4947" s="1">
        <v>964968.0</v>
      </c>
      <c r="D4947" s="1" t="s">
        <v>4225</v>
      </c>
    </row>
    <row r="4948">
      <c r="A4948" s="1">
        <v>154.0</v>
      </c>
      <c r="B4948" s="1">
        <v>229235.0</v>
      </c>
      <c r="C4948" s="1">
        <v>952270.0</v>
      </c>
      <c r="D4948" s="1" t="s">
        <v>5171</v>
      </c>
    </row>
    <row r="4949">
      <c r="A4949" s="1">
        <v>157.0</v>
      </c>
      <c r="B4949" s="1">
        <v>227703.0</v>
      </c>
      <c r="C4949" s="1">
        <v>946170.0</v>
      </c>
      <c r="D4949" s="1" t="s">
        <v>2693</v>
      </c>
    </row>
    <row r="4950">
      <c r="A4950" s="1">
        <v>120.0</v>
      </c>
      <c r="B4950" s="1">
        <v>224812.0</v>
      </c>
      <c r="C4950" s="1">
        <v>941736.0</v>
      </c>
      <c r="D4950" s="1" t="s">
        <v>5172</v>
      </c>
    </row>
    <row r="4951">
      <c r="A4951" s="1">
        <v>238.0</v>
      </c>
      <c r="B4951" s="1">
        <v>223780.0</v>
      </c>
      <c r="C4951" s="1">
        <v>928384.0</v>
      </c>
      <c r="D4951" s="1" t="s">
        <v>1240</v>
      </c>
    </row>
    <row r="4952">
      <c r="A4952" s="1">
        <v>93.0</v>
      </c>
      <c r="B4952" s="1">
        <v>222770.0</v>
      </c>
      <c r="C4952" s="1">
        <v>922826.0</v>
      </c>
      <c r="D4952" s="1" t="s">
        <v>5113</v>
      </c>
    </row>
    <row r="4953">
      <c r="A4953" s="1">
        <v>197.0</v>
      </c>
      <c r="B4953" s="1">
        <v>221642.0</v>
      </c>
      <c r="C4953" s="1">
        <v>919068.0</v>
      </c>
      <c r="D4953" s="1" t="s">
        <v>83</v>
      </c>
    </row>
    <row r="4954">
      <c r="A4954" s="1">
        <v>120.0</v>
      </c>
      <c r="B4954" s="1">
        <v>217436.0</v>
      </c>
      <c r="C4954" s="1">
        <v>898532.0</v>
      </c>
      <c r="D4954" s="1" t="s">
        <v>81</v>
      </c>
    </row>
    <row r="4955">
      <c r="A4955" s="1">
        <v>162.0</v>
      </c>
      <c r="B4955" s="1">
        <v>215400.0</v>
      </c>
      <c r="C4955" s="1">
        <v>887030.0</v>
      </c>
      <c r="D4955" s="1" t="s">
        <v>4829</v>
      </c>
    </row>
    <row r="4956">
      <c r="A4956" s="1">
        <v>247.0</v>
      </c>
      <c r="B4956" s="1">
        <v>212948.0</v>
      </c>
      <c r="C4956" s="1">
        <v>1716893.0</v>
      </c>
      <c r="D4956" s="1" t="s">
        <v>3300</v>
      </c>
    </row>
    <row r="4957">
      <c r="A4957" s="1">
        <v>247.0</v>
      </c>
      <c r="B4957" s="1">
        <v>212948.0</v>
      </c>
      <c r="C4957" s="1">
        <v>5886272.0</v>
      </c>
      <c r="D4957" s="1" t="s">
        <v>5112</v>
      </c>
    </row>
    <row r="4958">
      <c r="A4958" s="1">
        <v>120.0</v>
      </c>
      <c r="B4958" s="1">
        <v>211860.0</v>
      </c>
      <c r="C4958" s="1">
        <v>9.1647204E7</v>
      </c>
      <c r="D4958" s="1" t="s">
        <v>5111</v>
      </c>
    </row>
    <row r="4959">
      <c r="A4959" s="1">
        <v>212.0</v>
      </c>
      <c r="B4959" s="1">
        <v>211510.0</v>
      </c>
      <c r="C4959" s="1">
        <v>872785.0</v>
      </c>
      <c r="D4959" s="1" t="s">
        <v>5109</v>
      </c>
    </row>
    <row r="4960">
      <c r="A4960" s="1">
        <v>207.0</v>
      </c>
      <c r="B4960" s="1">
        <v>204917.0</v>
      </c>
      <c r="C4960" s="1">
        <v>840078.0</v>
      </c>
      <c r="D4960" s="1" t="s">
        <v>1269</v>
      </c>
    </row>
    <row r="4961">
      <c r="A4961" s="1">
        <v>257.0</v>
      </c>
      <c r="B4961" s="1">
        <v>202032.0</v>
      </c>
      <c r="C4961" s="1">
        <v>822951.0</v>
      </c>
      <c r="D4961" s="1" t="s">
        <v>4842</v>
      </c>
    </row>
    <row r="4962">
      <c r="A4962" s="1">
        <v>120.0</v>
      </c>
      <c r="B4962" s="1">
        <v>200234.0</v>
      </c>
      <c r="C4962" s="1">
        <v>2.00075212E8</v>
      </c>
      <c r="D4962" s="1" t="s">
        <v>5108</v>
      </c>
    </row>
    <row r="4963">
      <c r="A4963" s="1">
        <v>93.0</v>
      </c>
      <c r="B4963" s="1">
        <v>198129.0</v>
      </c>
      <c r="C4963" s="1">
        <v>809826.0</v>
      </c>
      <c r="D4963" s="1" t="s">
        <v>4076</v>
      </c>
    </row>
    <row r="4964">
      <c r="A4964" s="1">
        <v>204.0</v>
      </c>
      <c r="B4964" s="1">
        <v>192061.0</v>
      </c>
      <c r="C4964" s="1">
        <v>779509.0</v>
      </c>
      <c r="D4964" s="1" t="s">
        <v>5173</v>
      </c>
    </row>
    <row r="4965">
      <c r="A4965" s="1">
        <v>93.0</v>
      </c>
      <c r="B4965" s="1">
        <v>186267.0</v>
      </c>
      <c r="C4965" s="1">
        <v>750181.0</v>
      </c>
      <c r="D4965" s="1" t="s">
        <v>5106</v>
      </c>
    </row>
    <row r="4966">
      <c r="A4966" s="1">
        <v>173.0</v>
      </c>
      <c r="B4966" s="1">
        <v>184161.0</v>
      </c>
      <c r="C4966" s="1">
        <v>738244.0</v>
      </c>
      <c r="D4966" s="1" t="s">
        <v>5028</v>
      </c>
    </row>
    <row r="4967">
      <c r="A4967" s="1">
        <v>107.0</v>
      </c>
      <c r="B4967" s="1">
        <v>174473.0</v>
      </c>
      <c r="C4967" s="1">
        <v>694855.0</v>
      </c>
      <c r="D4967" s="1" t="s">
        <v>5174</v>
      </c>
    </row>
    <row r="4968">
      <c r="A4968" s="1">
        <v>120.0</v>
      </c>
      <c r="B4968" s="1">
        <v>173382.0</v>
      </c>
      <c r="C4968" s="1">
        <v>984067.0</v>
      </c>
      <c r="D4968" s="1" t="s">
        <v>85</v>
      </c>
    </row>
    <row r="4969">
      <c r="A4969" s="1">
        <v>210.0</v>
      </c>
      <c r="B4969" s="1">
        <v>165022.0</v>
      </c>
      <c r="C4969" s="1">
        <v>8.3954371E7</v>
      </c>
      <c r="D4969" s="1" t="s">
        <v>3386</v>
      </c>
    </row>
    <row r="4970">
      <c r="A4970" s="1">
        <v>93.0</v>
      </c>
      <c r="B4970" s="1">
        <v>161958.0</v>
      </c>
      <c r="C4970" s="1">
        <v>636121.0</v>
      </c>
      <c r="D4970" s="1" t="s">
        <v>5175</v>
      </c>
    </row>
    <row r="4971">
      <c r="A4971" s="1">
        <v>120.0</v>
      </c>
      <c r="B4971" s="1">
        <v>142137.0</v>
      </c>
      <c r="C4971" s="1">
        <v>551922.0</v>
      </c>
      <c r="D4971" s="1" t="s">
        <v>5176</v>
      </c>
    </row>
    <row r="4972">
      <c r="A4972" s="1">
        <v>212.0</v>
      </c>
      <c r="B4972" s="1">
        <v>133432.0</v>
      </c>
      <c r="C4972" s="1">
        <v>830557.0</v>
      </c>
      <c r="D4972" s="1" t="s">
        <v>1552</v>
      </c>
    </row>
    <row r="4973">
      <c r="A4973" s="1">
        <v>115.0</v>
      </c>
      <c r="B4973" s="1">
        <v>131147.0</v>
      </c>
      <c r="C4973" s="1">
        <v>504028.0</v>
      </c>
      <c r="D4973" s="1" t="s">
        <v>954</v>
      </c>
    </row>
    <row r="4974">
      <c r="A4974" s="1">
        <v>120.0</v>
      </c>
      <c r="B4974" s="1">
        <v>127387.0</v>
      </c>
      <c r="C4974" s="1">
        <v>2478193.0</v>
      </c>
      <c r="D4974" s="1" t="s">
        <v>5177</v>
      </c>
    </row>
    <row r="4975">
      <c r="A4975" s="1">
        <v>157.0</v>
      </c>
      <c r="B4975" s="1">
        <v>122503.0</v>
      </c>
      <c r="C4975" s="1">
        <v>2.1730425E7</v>
      </c>
      <c r="D4975" s="1" t="s">
        <v>1276</v>
      </c>
    </row>
    <row r="4976">
      <c r="A4976" s="1">
        <v>120.0</v>
      </c>
      <c r="B4976" s="1">
        <v>112100.0</v>
      </c>
      <c r="C4976" s="1">
        <v>426276.0</v>
      </c>
      <c r="D4976" s="1" t="s">
        <v>5178</v>
      </c>
    </row>
    <row r="4977">
      <c r="A4977" s="1">
        <v>120.0</v>
      </c>
      <c r="B4977" s="1">
        <v>111535.0</v>
      </c>
      <c r="C4977" s="1">
        <v>423426.0</v>
      </c>
      <c r="D4977" s="1" t="s">
        <v>4499</v>
      </c>
    </row>
    <row r="4978">
      <c r="A4978" s="1">
        <v>157.0</v>
      </c>
      <c r="B4978" s="1">
        <v>110486.0</v>
      </c>
      <c r="C4978" s="1">
        <v>419955.0</v>
      </c>
      <c r="D4978" s="1" t="s">
        <v>2320</v>
      </c>
    </row>
    <row r="4979">
      <c r="A4979" s="1">
        <v>120.0</v>
      </c>
      <c r="B4979" s="1">
        <v>108219.0</v>
      </c>
      <c r="C4979" s="1">
        <v>410334.0</v>
      </c>
      <c r="D4979" s="1" t="s">
        <v>2772</v>
      </c>
    </row>
    <row r="4980">
      <c r="A4980" s="1">
        <v>93.0</v>
      </c>
      <c r="B4980" s="1">
        <v>105546.0</v>
      </c>
      <c r="C4980" s="1">
        <v>8878792.0</v>
      </c>
      <c r="D4980" s="1" t="s">
        <v>5086</v>
      </c>
    </row>
    <row r="4981">
      <c r="A4981" s="1">
        <v>186.0</v>
      </c>
      <c r="B4981" s="1">
        <v>92225.0</v>
      </c>
      <c r="C4981" s="1">
        <v>339816.0</v>
      </c>
      <c r="D4981" s="1" t="s">
        <v>687</v>
      </c>
    </row>
    <row r="4982">
      <c r="A4982" s="1">
        <v>159.0</v>
      </c>
      <c r="B4982" s="1">
        <v>89680.0</v>
      </c>
      <c r="C4982" s="1">
        <v>332520.0</v>
      </c>
      <c r="D4982" s="1" t="s">
        <v>2580</v>
      </c>
    </row>
    <row r="4983">
      <c r="A4983" s="1">
        <v>172.0</v>
      </c>
      <c r="B4983" s="1">
        <v>87689.0</v>
      </c>
      <c r="C4983" s="1">
        <v>2492269.0</v>
      </c>
      <c r="D4983" s="1" t="s">
        <v>4736</v>
      </c>
    </row>
    <row r="4984">
      <c r="A4984" s="1">
        <v>120.0</v>
      </c>
      <c r="B4984" s="1">
        <v>85319.0</v>
      </c>
      <c r="C4984" s="1">
        <v>311515.0</v>
      </c>
      <c r="D4984" s="1" t="s">
        <v>1337</v>
      </c>
    </row>
    <row r="4985">
      <c r="A4985" s="1">
        <v>119.0</v>
      </c>
      <c r="B4985" s="1">
        <v>84803.0</v>
      </c>
      <c r="C4985" s="1">
        <v>1995379.0</v>
      </c>
      <c r="D4985" s="1" t="s">
        <v>1335</v>
      </c>
    </row>
    <row r="4986">
      <c r="A4986" s="1">
        <v>157.0</v>
      </c>
      <c r="B4986" s="1">
        <v>79244.0</v>
      </c>
      <c r="C4986" s="1">
        <v>289669.0</v>
      </c>
      <c r="D4986" s="1" t="s">
        <v>4828</v>
      </c>
    </row>
    <row r="4987">
      <c r="A4987" s="1">
        <v>157.0</v>
      </c>
      <c r="B4987" s="1">
        <v>76947.0</v>
      </c>
      <c r="C4987" s="1">
        <v>279618.0</v>
      </c>
      <c r="D4987" s="1" t="s">
        <v>743</v>
      </c>
    </row>
    <row r="4988">
      <c r="A4988" s="1">
        <v>108.0</v>
      </c>
      <c r="B4988" s="1">
        <v>74973.0</v>
      </c>
      <c r="C4988" s="1">
        <v>273349.0</v>
      </c>
      <c r="D4988" s="1" t="s">
        <v>1735</v>
      </c>
    </row>
    <row r="4989">
      <c r="A4989" s="1">
        <v>120.0</v>
      </c>
      <c r="B4989" s="1">
        <v>70728.0</v>
      </c>
      <c r="C4989" s="1">
        <v>255454.0</v>
      </c>
      <c r="D4989" s="1" t="s">
        <v>1205</v>
      </c>
    </row>
    <row r="4990">
      <c r="A4990" s="1">
        <v>126.0</v>
      </c>
      <c r="B4990" s="1">
        <v>68485.0</v>
      </c>
      <c r="C4990" s="1">
        <v>249517.0</v>
      </c>
      <c r="D4990" s="1" t="s">
        <v>5105</v>
      </c>
    </row>
    <row r="4991">
      <c r="A4991" s="1">
        <v>120.0</v>
      </c>
      <c r="B4991" s="1">
        <v>57125.0</v>
      </c>
      <c r="C4991" s="1">
        <v>202682.0</v>
      </c>
      <c r="D4991" s="1" t="s">
        <v>1199</v>
      </c>
    </row>
    <row r="4992">
      <c r="A4992" s="1">
        <v>107.0</v>
      </c>
      <c r="B4992" s="1">
        <v>52494.0</v>
      </c>
      <c r="C4992" s="1">
        <v>184240.0</v>
      </c>
      <c r="D4992" s="1" t="s">
        <v>77</v>
      </c>
    </row>
    <row r="4993">
      <c r="A4993" s="1">
        <v>120.0</v>
      </c>
      <c r="B4993" s="1">
        <v>52201.0</v>
      </c>
      <c r="C4993" s="1">
        <v>183731.0</v>
      </c>
      <c r="D4993" s="1" t="s">
        <v>5104</v>
      </c>
    </row>
    <row r="4994">
      <c r="A4994" s="1">
        <v>120.0</v>
      </c>
      <c r="B4994" s="1">
        <v>52089.0</v>
      </c>
      <c r="C4994" s="1">
        <v>183751.0</v>
      </c>
      <c r="D4994" s="1" t="s">
        <v>4231</v>
      </c>
    </row>
    <row r="4995">
      <c r="A4995" s="1">
        <v>115.0</v>
      </c>
      <c r="B4995" s="1">
        <v>48041.0</v>
      </c>
      <c r="C4995" s="1">
        <v>166664.0</v>
      </c>
      <c r="D4995" s="1" t="s">
        <v>5179</v>
      </c>
    </row>
    <row r="4996">
      <c r="A4996" s="1">
        <v>120.0</v>
      </c>
      <c r="B4996" s="1">
        <v>46514.0</v>
      </c>
      <c r="C4996" s="1">
        <v>162170.0</v>
      </c>
      <c r="D4996" s="1" t="s">
        <v>5102</v>
      </c>
    </row>
    <row r="4997">
      <c r="A4997" s="1">
        <v>12.0</v>
      </c>
      <c r="B4997" s="1">
        <v>41417.0</v>
      </c>
      <c r="C4997" s="1">
        <v>965083.0</v>
      </c>
      <c r="D4997" s="1" t="s">
        <v>3465</v>
      </c>
    </row>
    <row r="4998">
      <c r="A4998" s="1">
        <v>103.0</v>
      </c>
      <c r="B4998" s="1">
        <v>36526.0</v>
      </c>
      <c r="C4998" s="1">
        <v>886994.0</v>
      </c>
      <c r="D4998" s="1" t="s">
        <v>5101</v>
      </c>
    </row>
    <row r="4999">
      <c r="A4999" s="1">
        <v>101.0</v>
      </c>
      <c r="B4999" s="1">
        <v>33277.0</v>
      </c>
      <c r="C4999" s="1">
        <v>107580.0</v>
      </c>
      <c r="D4999" s="1" t="s">
        <v>2555</v>
      </c>
    </row>
    <row r="5000">
      <c r="A5000" s="1">
        <v>93.0</v>
      </c>
      <c r="B5000" s="1">
        <v>31484.0</v>
      </c>
      <c r="C5000" s="1">
        <v>99259.0</v>
      </c>
      <c r="D5000" s="1" t="s">
        <v>4309</v>
      </c>
    </row>
    <row r="5001">
      <c r="A5001" s="1">
        <v>93.0</v>
      </c>
      <c r="B5001" s="1">
        <v>31416.0</v>
      </c>
      <c r="C5001" s="1">
        <v>98927.0</v>
      </c>
      <c r="D5001" s="1" t="s">
        <v>5100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79.13"/>
    <col customWidth="1" min="7" max="7" width="2.63"/>
    <col customWidth="1" min="8" max="9" width="11.25"/>
  </cols>
  <sheetData>
    <row r="1" ht="43.5" customHeight="1">
      <c r="A1" s="1"/>
      <c r="B1" s="1"/>
      <c r="C1" s="1"/>
      <c r="D1" s="2"/>
      <c r="E1" s="1"/>
      <c r="F1" s="1"/>
      <c r="G1" s="4"/>
      <c r="H1" s="6" t="s">
        <v>71</v>
      </c>
    </row>
    <row r="2">
      <c r="A2" s="1" t="s">
        <v>0</v>
      </c>
      <c r="B2" s="1" t="s">
        <v>1</v>
      </c>
      <c r="C2" s="1" t="s">
        <v>2</v>
      </c>
      <c r="D2" s="2" t="s">
        <v>3</v>
      </c>
      <c r="E2" s="1" t="s">
        <v>79</v>
      </c>
      <c r="F2" s="1" t="s">
        <v>86</v>
      </c>
      <c r="G2" s="9"/>
      <c r="H2" s="11" t="s">
        <v>90</v>
      </c>
      <c r="I2" s="13"/>
    </row>
    <row r="3">
      <c r="A3" s="14">
        <v>572.0</v>
      </c>
      <c r="B3" s="14">
        <v>3145961.0</v>
      </c>
      <c r="C3" s="14">
        <v>1.3363445E7</v>
      </c>
      <c r="D3" s="2" t="s">
        <v>104</v>
      </c>
      <c r="E3" s="1" t="s">
        <v>107</v>
      </c>
      <c r="F3" s="14">
        <v>0.9954</v>
      </c>
      <c r="G3" s="15"/>
      <c r="H3" s="16"/>
      <c r="I3" s="14"/>
    </row>
    <row r="4">
      <c r="A4" s="14">
        <v>339.0</v>
      </c>
      <c r="B4" s="14">
        <v>6.3127167E7</v>
      </c>
      <c r="C4" s="14">
        <v>2.55774182E8</v>
      </c>
      <c r="D4" s="2" t="s">
        <v>113</v>
      </c>
      <c r="E4" s="1" t="s">
        <v>107</v>
      </c>
      <c r="F4" s="14">
        <v>0.9952</v>
      </c>
      <c r="G4" s="15"/>
      <c r="H4" s="16"/>
      <c r="I4" s="14"/>
    </row>
    <row r="5">
      <c r="A5" s="14">
        <v>654.0</v>
      </c>
      <c r="B5" s="14">
        <v>9.2122326E7</v>
      </c>
      <c r="C5" s="14">
        <v>3.91599279E8</v>
      </c>
      <c r="D5" s="2" t="s">
        <v>119</v>
      </c>
      <c r="E5" s="1" t="s">
        <v>121</v>
      </c>
      <c r="F5" s="14">
        <v>0.9938</v>
      </c>
      <c r="G5" s="15"/>
      <c r="H5" s="16"/>
      <c r="I5" s="14"/>
    </row>
    <row r="6">
      <c r="A6" s="14">
        <v>602.0</v>
      </c>
      <c r="B6" s="14">
        <v>5288241.0</v>
      </c>
      <c r="C6" s="14">
        <v>2.2572974E7</v>
      </c>
      <c r="D6" s="2" t="s">
        <v>127</v>
      </c>
      <c r="E6" s="1" t="s">
        <v>121</v>
      </c>
      <c r="F6" s="14">
        <v>0.9937</v>
      </c>
      <c r="G6" s="15"/>
      <c r="H6" s="16"/>
      <c r="I6" s="14"/>
    </row>
    <row r="7">
      <c r="A7" s="14">
        <v>602.0</v>
      </c>
      <c r="B7" s="14">
        <v>1803198.0</v>
      </c>
      <c r="C7" s="14">
        <v>8017398.0</v>
      </c>
      <c r="D7" s="2" t="s">
        <v>135</v>
      </c>
      <c r="E7" s="1" t="s">
        <v>121</v>
      </c>
      <c r="F7" s="14">
        <v>0.99</v>
      </c>
      <c r="G7" s="15"/>
      <c r="H7" s="16"/>
      <c r="I7" s="14"/>
    </row>
    <row r="8">
      <c r="A8" s="14">
        <v>488.0</v>
      </c>
      <c r="B8" s="14">
        <v>4763690.0</v>
      </c>
      <c r="C8" s="14">
        <v>2.022792E7</v>
      </c>
      <c r="D8" s="2" t="s">
        <v>139</v>
      </c>
      <c r="E8" s="1" t="s">
        <v>107</v>
      </c>
      <c r="F8" s="14">
        <v>0.9898</v>
      </c>
      <c r="G8" s="15"/>
      <c r="H8" s="16"/>
      <c r="I8" s="14"/>
    </row>
    <row r="9">
      <c r="A9" s="14">
        <v>337.0</v>
      </c>
      <c r="B9" s="14">
        <v>1724035.0</v>
      </c>
      <c r="C9" s="14">
        <v>7536923.0</v>
      </c>
      <c r="D9" s="2" t="s">
        <v>144</v>
      </c>
      <c r="E9" s="1" t="s">
        <v>107</v>
      </c>
      <c r="F9" s="14">
        <v>0.9897</v>
      </c>
      <c r="G9" s="15"/>
      <c r="H9" s="16"/>
      <c r="I9" s="14"/>
    </row>
    <row r="10">
      <c r="A10" s="14">
        <v>578.0</v>
      </c>
      <c r="B10" s="14">
        <v>6.5498841E7</v>
      </c>
      <c r="C10" s="14">
        <v>2.66926831E8</v>
      </c>
      <c r="D10" s="2" t="s">
        <v>149</v>
      </c>
      <c r="E10" s="1" t="s">
        <v>121</v>
      </c>
      <c r="F10" s="14">
        <v>0.9887</v>
      </c>
      <c r="G10" s="15"/>
      <c r="H10" s="16"/>
      <c r="I10" s="14"/>
    </row>
    <row r="11">
      <c r="A11" s="14">
        <v>173.0</v>
      </c>
      <c r="B11" s="14">
        <v>8.75059E7</v>
      </c>
      <c r="C11" s="14">
        <v>3.70148448E8</v>
      </c>
      <c r="D11" s="2" t="s">
        <v>157</v>
      </c>
      <c r="E11" s="1" t="s">
        <v>107</v>
      </c>
      <c r="F11" s="14">
        <v>0.9886</v>
      </c>
      <c r="G11" s="15"/>
      <c r="H11" s="16"/>
      <c r="I11" s="14"/>
    </row>
    <row r="12">
      <c r="A12" s="14">
        <v>570.0</v>
      </c>
      <c r="B12" s="14">
        <v>3540689.0</v>
      </c>
      <c r="C12" s="14">
        <v>1.4974823E7</v>
      </c>
      <c r="D12" s="2" t="s">
        <v>162</v>
      </c>
      <c r="E12" s="1" t="s">
        <v>107</v>
      </c>
      <c r="F12" s="14">
        <v>0.9884</v>
      </c>
      <c r="G12" s="15"/>
      <c r="H12" s="16"/>
      <c r="I12" s="14"/>
    </row>
    <row r="13">
      <c r="A13" s="14">
        <v>172.0</v>
      </c>
      <c r="B13" s="14">
        <v>5.7370771E7</v>
      </c>
      <c r="C13" s="14">
        <v>2.28571927E8</v>
      </c>
      <c r="D13" s="2" t="s">
        <v>166</v>
      </c>
      <c r="E13" s="1" t="s">
        <v>121</v>
      </c>
      <c r="F13" s="14">
        <v>0.9868</v>
      </c>
      <c r="G13" s="15"/>
      <c r="H13" s="16"/>
      <c r="I13" s="14"/>
    </row>
    <row r="14">
      <c r="A14" s="14">
        <v>715.0</v>
      </c>
      <c r="B14" s="14">
        <v>9019320.0</v>
      </c>
      <c r="C14" s="14">
        <v>3.8268203E7</v>
      </c>
      <c r="D14" s="2" t="s">
        <v>172</v>
      </c>
      <c r="E14" s="1" t="s">
        <v>107</v>
      </c>
      <c r="F14" s="14">
        <v>0.9847</v>
      </c>
      <c r="G14" s="15"/>
      <c r="H14" s="16"/>
      <c r="I14" s="14"/>
    </row>
    <row r="15">
      <c r="A15" s="14">
        <v>578.0</v>
      </c>
      <c r="B15" s="14">
        <v>6319103.0</v>
      </c>
      <c r="C15" s="14">
        <v>2.6912791E7</v>
      </c>
      <c r="D15" s="2" t="s">
        <v>177</v>
      </c>
      <c r="E15" s="1" t="s">
        <v>121</v>
      </c>
      <c r="F15" s="14">
        <v>0.9844</v>
      </c>
      <c r="G15" s="15"/>
      <c r="H15" s="16"/>
      <c r="I15" s="14"/>
    </row>
    <row r="16">
      <c r="A16" s="14">
        <v>124.0</v>
      </c>
      <c r="B16" s="14">
        <v>2003242.0</v>
      </c>
      <c r="C16" s="14">
        <v>8661711.0</v>
      </c>
      <c r="D16" s="2" t="s">
        <v>165</v>
      </c>
      <c r="E16" s="1" t="s">
        <v>107</v>
      </c>
      <c r="F16" s="14">
        <v>0.9823</v>
      </c>
      <c r="G16" s="15"/>
      <c r="H16" s="16"/>
      <c r="I16" s="14"/>
    </row>
    <row r="17">
      <c r="A17" s="14">
        <v>671.0</v>
      </c>
      <c r="B17" s="14">
        <v>4021275.0</v>
      </c>
      <c r="C17" s="14">
        <v>1.7025317E7</v>
      </c>
      <c r="D17" s="2" t="s">
        <v>183</v>
      </c>
      <c r="E17" s="1" t="s">
        <v>107</v>
      </c>
      <c r="F17" s="14">
        <v>0.9818</v>
      </c>
      <c r="G17" s="15"/>
      <c r="H17" s="16"/>
      <c r="I17" s="14"/>
    </row>
    <row r="18">
      <c r="A18" s="14">
        <v>602.0</v>
      </c>
      <c r="B18" s="14">
        <v>6.8031438E7</v>
      </c>
      <c r="C18" s="14">
        <v>2.79141159E8</v>
      </c>
      <c r="D18" s="2" t="s">
        <v>188</v>
      </c>
      <c r="E18" s="1" t="s">
        <v>121</v>
      </c>
      <c r="F18" s="14">
        <v>0.9811</v>
      </c>
      <c r="G18" s="15"/>
      <c r="H18" s="16"/>
      <c r="I18" s="14"/>
    </row>
    <row r="19">
      <c r="A19" s="14">
        <v>671.0</v>
      </c>
      <c r="B19" s="14">
        <v>2.0340641E7</v>
      </c>
      <c r="C19" s="14">
        <v>8.5209457E7</v>
      </c>
      <c r="D19" s="2" t="s">
        <v>191</v>
      </c>
      <c r="E19" s="1" t="s">
        <v>107</v>
      </c>
      <c r="F19" s="14">
        <v>0.9809</v>
      </c>
      <c r="G19" s="15"/>
      <c r="H19" s="16"/>
      <c r="I19" s="14"/>
    </row>
    <row r="20">
      <c r="A20" s="14">
        <v>673.0</v>
      </c>
      <c r="B20" s="14">
        <v>8804845.0</v>
      </c>
      <c r="C20" s="14">
        <v>3.7285431E7</v>
      </c>
      <c r="D20" s="2" t="s">
        <v>193</v>
      </c>
      <c r="E20" s="1" t="s">
        <v>107</v>
      </c>
      <c r="F20" s="14">
        <v>0.9798</v>
      </c>
      <c r="G20" s="15"/>
      <c r="H20" s="16"/>
      <c r="I20" s="14"/>
    </row>
    <row r="21">
      <c r="A21" s="14">
        <v>676.0</v>
      </c>
      <c r="B21" s="14">
        <v>3076788.0</v>
      </c>
      <c r="C21" s="14">
        <v>1.3090188E7</v>
      </c>
      <c r="D21" s="2" t="s">
        <v>198</v>
      </c>
      <c r="E21" s="1" t="s">
        <v>121</v>
      </c>
      <c r="F21" s="14">
        <v>0.9795</v>
      </c>
      <c r="G21" s="15"/>
      <c r="H21" s="16"/>
      <c r="I21" s="14"/>
    </row>
    <row r="22">
      <c r="A22" s="14">
        <v>476.0</v>
      </c>
      <c r="B22" s="14">
        <v>6537433.0</v>
      </c>
      <c r="C22" s="14">
        <v>2.7924577E7</v>
      </c>
      <c r="D22" s="2" t="s">
        <v>201</v>
      </c>
      <c r="E22" s="1" t="s">
        <v>107</v>
      </c>
      <c r="F22" s="14">
        <v>0.9789</v>
      </c>
      <c r="G22" s="15"/>
      <c r="H22" s="16"/>
      <c r="I22" s="14"/>
    </row>
    <row r="23">
      <c r="A23" s="14">
        <v>425.0</v>
      </c>
      <c r="B23" s="14">
        <v>4.9718134E7</v>
      </c>
      <c r="C23" s="14">
        <v>1.96689059E8</v>
      </c>
      <c r="D23" s="2" t="s">
        <v>206</v>
      </c>
      <c r="E23" s="1" t="s">
        <v>107</v>
      </c>
      <c r="F23" s="14">
        <v>0.9785</v>
      </c>
      <c r="G23" s="15"/>
      <c r="H23" s="16"/>
      <c r="I23" s="14"/>
    </row>
    <row r="24">
      <c r="A24" s="14">
        <v>485.0</v>
      </c>
      <c r="B24" s="14">
        <v>1.01320699E8</v>
      </c>
      <c r="C24" s="14">
        <v>4.34795606E8</v>
      </c>
      <c r="D24" s="2" t="s">
        <v>211</v>
      </c>
      <c r="E24" s="1" t="s">
        <v>121</v>
      </c>
      <c r="F24" s="14">
        <v>0.9783</v>
      </c>
      <c r="G24" s="15"/>
      <c r="H24" s="16"/>
      <c r="I24" s="14"/>
    </row>
    <row r="25">
      <c r="A25" s="14">
        <v>602.0</v>
      </c>
      <c r="B25" s="14">
        <v>3070569.0</v>
      </c>
      <c r="C25" s="14">
        <v>1.3076366E7</v>
      </c>
      <c r="D25" s="2" t="s">
        <v>212</v>
      </c>
      <c r="E25" s="1" t="s">
        <v>107</v>
      </c>
      <c r="F25" s="14">
        <v>0.9779</v>
      </c>
      <c r="G25" s="15"/>
      <c r="H25" s="16"/>
      <c r="I25" s="14"/>
    </row>
    <row r="26">
      <c r="A26" s="14">
        <v>228.0</v>
      </c>
      <c r="B26" s="14">
        <v>1.1271718E7</v>
      </c>
      <c r="C26" s="14">
        <v>4.8027994E7</v>
      </c>
      <c r="D26" s="2" t="s">
        <v>217</v>
      </c>
      <c r="E26" s="1" t="s">
        <v>107</v>
      </c>
      <c r="F26" s="14">
        <v>0.9776</v>
      </c>
      <c r="G26" s="15"/>
      <c r="H26" s="16"/>
      <c r="I26" s="14"/>
    </row>
    <row r="27">
      <c r="A27" s="14">
        <v>609.0</v>
      </c>
      <c r="B27" s="14">
        <v>9727781.0</v>
      </c>
      <c r="C27" s="14">
        <v>4.1354861E7</v>
      </c>
      <c r="D27" s="2" t="s">
        <v>220</v>
      </c>
      <c r="E27" s="1" t="s">
        <v>107</v>
      </c>
      <c r="F27" s="14">
        <v>0.977</v>
      </c>
      <c r="G27" s="15"/>
      <c r="H27" s="16"/>
      <c r="I27" s="14"/>
    </row>
    <row r="28">
      <c r="A28" s="14">
        <v>481.0</v>
      </c>
      <c r="B28" s="14">
        <v>5463011.0</v>
      </c>
      <c r="C28" s="14">
        <v>2.3389026E7</v>
      </c>
      <c r="D28" s="2" t="s">
        <v>223</v>
      </c>
      <c r="E28" s="1" t="s">
        <v>107</v>
      </c>
      <c r="F28" s="14">
        <v>0.9769</v>
      </c>
      <c r="G28" s="15"/>
      <c r="H28" s="16"/>
      <c r="I28" s="14"/>
    </row>
    <row r="29">
      <c r="A29" s="14">
        <v>194.0</v>
      </c>
      <c r="B29" s="14">
        <v>4.7804294E7</v>
      </c>
      <c r="C29" s="14">
        <v>1.88767942E8</v>
      </c>
      <c r="D29" s="2" t="s">
        <v>226</v>
      </c>
      <c r="E29" s="1" t="s">
        <v>107</v>
      </c>
      <c r="F29" s="14">
        <v>0.9768</v>
      </c>
      <c r="G29" s="15"/>
      <c r="H29" s="16"/>
      <c r="I29" s="14"/>
    </row>
    <row r="30">
      <c r="A30" s="14">
        <v>678.0</v>
      </c>
      <c r="B30" s="14">
        <v>1.2466288E7</v>
      </c>
      <c r="C30" s="14">
        <v>5.2961095E7</v>
      </c>
      <c r="D30" s="2" t="s">
        <v>230</v>
      </c>
      <c r="E30" s="1" t="s">
        <v>107</v>
      </c>
      <c r="F30" s="14">
        <v>0.9766</v>
      </c>
      <c r="G30" s="15"/>
      <c r="H30" s="16"/>
      <c r="I30" s="14"/>
    </row>
    <row r="31">
      <c r="A31" s="14">
        <v>571.0</v>
      </c>
      <c r="B31" s="14">
        <v>9.8601296E7</v>
      </c>
      <c r="C31" s="14">
        <v>4.22922528E8</v>
      </c>
      <c r="D31" s="2" t="s">
        <v>234</v>
      </c>
      <c r="E31" s="1" t="s">
        <v>107</v>
      </c>
      <c r="F31" s="14">
        <v>0.9765</v>
      </c>
      <c r="G31" s="15"/>
      <c r="H31" s="16"/>
      <c r="I31" s="14"/>
    </row>
    <row r="32">
      <c r="A32" s="14">
        <v>569.0</v>
      </c>
      <c r="B32" s="14">
        <v>1.1164032E7</v>
      </c>
      <c r="C32" s="14">
        <v>5.8497939E7</v>
      </c>
      <c r="D32" s="2" t="s">
        <v>237</v>
      </c>
      <c r="E32" s="1" t="s">
        <v>121</v>
      </c>
      <c r="F32" s="14">
        <v>0.9765</v>
      </c>
      <c r="G32" s="15"/>
      <c r="H32" s="16"/>
      <c r="I32" s="14"/>
    </row>
    <row r="33">
      <c r="A33" s="14">
        <v>403.0</v>
      </c>
      <c r="B33" s="14">
        <v>9814229.0</v>
      </c>
      <c r="C33" s="14">
        <v>4.1642509E7</v>
      </c>
      <c r="D33" s="2" t="s">
        <v>241</v>
      </c>
      <c r="E33" s="1" t="s">
        <v>107</v>
      </c>
      <c r="F33" s="14">
        <v>0.9764</v>
      </c>
      <c r="G33" s="15"/>
      <c r="H33" s="16"/>
      <c r="I33" s="14"/>
    </row>
    <row r="34">
      <c r="A34" s="14">
        <v>715.0</v>
      </c>
      <c r="B34" s="14">
        <v>8216534.0</v>
      </c>
      <c r="C34" s="14">
        <v>3.4843916E7</v>
      </c>
      <c r="D34" s="2" t="s">
        <v>244</v>
      </c>
      <c r="E34" s="1" t="s">
        <v>107</v>
      </c>
      <c r="F34" s="14">
        <v>0.9761</v>
      </c>
      <c r="G34" s="15"/>
      <c r="H34" s="16"/>
      <c r="I34" s="14"/>
    </row>
    <row r="35">
      <c r="A35" s="14">
        <v>701.0</v>
      </c>
      <c r="B35" s="14">
        <v>8.1992444E7</v>
      </c>
      <c r="C35" s="14">
        <v>3.43672848E8</v>
      </c>
      <c r="D35" s="2" t="s">
        <v>247</v>
      </c>
      <c r="E35" s="1" t="s">
        <v>121</v>
      </c>
      <c r="F35" s="14">
        <v>0.9756</v>
      </c>
      <c r="G35" s="15"/>
      <c r="H35" s="16"/>
      <c r="I35" s="14"/>
    </row>
    <row r="36">
      <c r="A36" s="14">
        <v>531.0</v>
      </c>
      <c r="B36" s="14">
        <v>1.9375397E7</v>
      </c>
      <c r="C36" s="14">
        <v>8.1028103E7</v>
      </c>
      <c r="D36" s="2" t="s">
        <v>250</v>
      </c>
      <c r="E36" s="1" t="s">
        <v>107</v>
      </c>
      <c r="F36" s="14">
        <v>0.9755</v>
      </c>
      <c r="G36" s="15"/>
      <c r="H36" s="16"/>
      <c r="I36" s="14"/>
    </row>
    <row r="37">
      <c r="A37" s="14">
        <v>676.0</v>
      </c>
      <c r="B37" s="14">
        <v>3863062.0</v>
      </c>
      <c r="C37" s="14">
        <v>1.6367752E7</v>
      </c>
      <c r="D37" s="2" t="s">
        <v>249</v>
      </c>
      <c r="E37" s="1" t="s">
        <v>107</v>
      </c>
      <c r="F37" s="14">
        <v>0.9752</v>
      </c>
      <c r="G37" s="15"/>
      <c r="H37" s="16"/>
      <c r="I37" s="14"/>
    </row>
    <row r="38">
      <c r="A38" s="14">
        <v>564.0</v>
      </c>
      <c r="B38" s="14">
        <v>3187115.0</v>
      </c>
      <c r="C38" s="14">
        <v>1.353247E7</v>
      </c>
      <c r="D38" s="2" t="s">
        <v>227</v>
      </c>
      <c r="E38" s="1" t="s">
        <v>107</v>
      </c>
      <c r="F38" s="14">
        <v>0.9743</v>
      </c>
      <c r="G38" s="15"/>
      <c r="H38" s="16"/>
      <c r="I38" s="14"/>
    </row>
    <row r="39">
      <c r="A39" s="14">
        <v>353.0</v>
      </c>
      <c r="B39" s="14">
        <v>2.3791149E7</v>
      </c>
      <c r="C39" s="14">
        <v>1.68113775E8</v>
      </c>
      <c r="D39" s="2" t="s">
        <v>262</v>
      </c>
      <c r="E39" s="1" t="s">
        <v>121</v>
      </c>
      <c r="F39" s="14">
        <v>0.9743</v>
      </c>
      <c r="G39" s="15"/>
      <c r="H39" s="16"/>
      <c r="I39" s="14"/>
    </row>
    <row r="40">
      <c r="A40" s="14">
        <v>228.0</v>
      </c>
      <c r="B40" s="14">
        <v>862832.0</v>
      </c>
      <c r="C40" s="14">
        <v>4059496.0</v>
      </c>
      <c r="D40" s="2" t="s">
        <v>111</v>
      </c>
      <c r="E40" s="1" t="s">
        <v>107</v>
      </c>
      <c r="F40" s="14">
        <v>0.9738</v>
      </c>
      <c r="G40" s="15"/>
      <c r="H40" s="16"/>
      <c r="I40" s="14"/>
    </row>
    <row r="41">
      <c r="A41" s="14">
        <v>571.0</v>
      </c>
      <c r="B41" s="14">
        <v>7689294.0</v>
      </c>
      <c r="C41" s="14">
        <v>3.284898E7</v>
      </c>
      <c r="D41" s="2" t="s">
        <v>269</v>
      </c>
      <c r="E41" s="1" t="s">
        <v>121</v>
      </c>
      <c r="F41" s="14">
        <v>0.9738</v>
      </c>
      <c r="G41" s="15"/>
      <c r="H41" s="16"/>
      <c r="I41" s="14"/>
    </row>
    <row r="42">
      <c r="A42" s="14">
        <v>380.0</v>
      </c>
      <c r="B42" s="14">
        <v>2643863.0</v>
      </c>
      <c r="C42" s="14">
        <v>1.1120604E7</v>
      </c>
      <c r="D42" s="2" t="s">
        <v>187</v>
      </c>
      <c r="E42" s="1" t="s">
        <v>107</v>
      </c>
      <c r="F42" s="14">
        <v>0.9735</v>
      </c>
      <c r="G42" s="15"/>
      <c r="H42" s="16"/>
      <c r="I42" s="14"/>
    </row>
    <row r="43">
      <c r="A43" s="14">
        <v>673.0</v>
      </c>
      <c r="B43" s="14">
        <v>4587170.0</v>
      </c>
      <c r="C43" s="14">
        <v>2.1506816E7</v>
      </c>
      <c r="D43" s="2" t="s">
        <v>278</v>
      </c>
      <c r="E43" s="1" t="s">
        <v>121</v>
      </c>
      <c r="F43" s="14">
        <v>0.9728</v>
      </c>
      <c r="G43" s="15"/>
      <c r="H43" s="16"/>
      <c r="I43" s="14"/>
    </row>
    <row r="44">
      <c r="A44" s="14">
        <v>159.0</v>
      </c>
      <c r="B44" s="14">
        <v>666559.0</v>
      </c>
      <c r="C44" s="14">
        <v>3231860.0</v>
      </c>
      <c r="D44" s="2" t="s">
        <v>99</v>
      </c>
      <c r="E44" s="1" t="s">
        <v>107</v>
      </c>
      <c r="F44" s="14">
        <v>0.9726</v>
      </c>
      <c r="G44" s="15"/>
      <c r="H44" s="16"/>
      <c r="I44" s="14"/>
    </row>
    <row r="45">
      <c r="A45" s="14">
        <v>676.0</v>
      </c>
      <c r="B45" s="14">
        <v>1.0567977E7</v>
      </c>
      <c r="C45" s="14">
        <v>4.4898883E7</v>
      </c>
      <c r="D45" s="2" t="s">
        <v>284</v>
      </c>
      <c r="E45" s="1" t="s">
        <v>107</v>
      </c>
      <c r="F45" s="14">
        <v>0.9725</v>
      </c>
      <c r="G45" s="15"/>
      <c r="H45" s="16"/>
      <c r="I45" s="14"/>
    </row>
    <row r="46">
      <c r="A46" s="14">
        <v>602.0</v>
      </c>
      <c r="B46" s="14">
        <v>6.1255499E7</v>
      </c>
      <c r="C46" s="14">
        <v>2.4643893E8</v>
      </c>
      <c r="D46" s="2" t="s">
        <v>287</v>
      </c>
      <c r="E46" s="1" t="s">
        <v>107</v>
      </c>
      <c r="F46" s="14">
        <v>0.9723</v>
      </c>
      <c r="G46" s="15"/>
      <c r="H46" s="16"/>
      <c r="I46" s="14"/>
    </row>
    <row r="47">
      <c r="A47" s="14">
        <v>414.0</v>
      </c>
      <c r="B47" s="14">
        <v>6573225.0</v>
      </c>
      <c r="C47" s="14">
        <v>2.797386E7</v>
      </c>
      <c r="D47" s="2" t="s">
        <v>292</v>
      </c>
      <c r="E47" s="1" t="s">
        <v>121</v>
      </c>
      <c r="F47" s="14">
        <v>0.9717</v>
      </c>
      <c r="G47" s="15"/>
      <c r="H47" s="16"/>
      <c r="I47" s="14"/>
    </row>
    <row r="48">
      <c r="A48" s="14">
        <v>173.0</v>
      </c>
      <c r="B48" s="14">
        <v>7.2942408E7</v>
      </c>
      <c r="C48" s="14">
        <v>3.01729949E8</v>
      </c>
      <c r="D48" s="2" t="s">
        <v>296</v>
      </c>
      <c r="E48" s="1" t="s">
        <v>107</v>
      </c>
      <c r="F48" s="14">
        <v>0.9714</v>
      </c>
      <c r="G48" s="15"/>
      <c r="H48" s="16"/>
      <c r="I48" s="14"/>
    </row>
    <row r="49">
      <c r="A49" s="14">
        <v>599.0</v>
      </c>
      <c r="B49" s="14">
        <v>1.7632201E7</v>
      </c>
      <c r="C49" s="14">
        <v>7.442675E7</v>
      </c>
      <c r="D49" s="2" t="s">
        <v>298</v>
      </c>
      <c r="E49" s="1" t="s">
        <v>107</v>
      </c>
      <c r="F49" s="14">
        <v>0.9711</v>
      </c>
      <c r="G49" s="15"/>
      <c r="H49" s="16"/>
      <c r="I49" s="14"/>
    </row>
    <row r="50">
      <c r="A50" s="14">
        <v>571.0</v>
      </c>
      <c r="B50" s="14">
        <v>2.2349633E7</v>
      </c>
      <c r="C50" s="14">
        <v>1.01544801E8</v>
      </c>
      <c r="D50" s="2" t="s">
        <v>302</v>
      </c>
      <c r="E50" s="1" t="s">
        <v>107</v>
      </c>
      <c r="F50" s="14">
        <v>0.9702</v>
      </c>
      <c r="G50" s="15"/>
      <c r="H50" s="16"/>
      <c r="I50" s="14"/>
    </row>
    <row r="51">
      <c r="A51" s="14">
        <v>107.0</v>
      </c>
      <c r="B51" s="14">
        <v>1281448.0</v>
      </c>
      <c r="C51" s="14">
        <v>5727543.0</v>
      </c>
      <c r="D51" s="2" t="s">
        <v>304</v>
      </c>
      <c r="E51" s="1" t="s">
        <v>107</v>
      </c>
      <c r="F51" s="14">
        <v>0.97</v>
      </c>
      <c r="G51" s="15"/>
      <c r="H51" s="16"/>
      <c r="I51" s="14"/>
    </row>
    <row r="52">
      <c r="A52" s="14">
        <v>173.0</v>
      </c>
      <c r="B52" s="14">
        <v>1922448.0</v>
      </c>
      <c r="C52" s="14">
        <v>1.0030101E7</v>
      </c>
      <c r="D52" s="2" t="s">
        <v>309</v>
      </c>
      <c r="E52" s="1" t="s">
        <v>121</v>
      </c>
      <c r="F52" s="14">
        <v>0.9695</v>
      </c>
      <c r="G52" s="15"/>
      <c r="H52" s="16"/>
      <c r="I52" s="14"/>
    </row>
    <row r="53">
      <c r="A53" s="14">
        <v>401.0</v>
      </c>
      <c r="B53" s="14">
        <v>4389969.0</v>
      </c>
      <c r="C53" s="14">
        <v>1.8593649E7</v>
      </c>
      <c r="D53" s="2" t="s">
        <v>314</v>
      </c>
      <c r="E53" s="1" t="s">
        <v>121</v>
      </c>
      <c r="F53" s="14">
        <v>0.9694</v>
      </c>
      <c r="G53" s="15"/>
      <c r="H53" s="16"/>
      <c r="I53" s="14"/>
    </row>
    <row r="54">
      <c r="A54" s="14">
        <v>481.0</v>
      </c>
      <c r="B54" s="14">
        <v>4055635.0</v>
      </c>
      <c r="C54" s="14">
        <v>1.7194973E7</v>
      </c>
      <c r="D54" s="2" t="s">
        <v>317</v>
      </c>
      <c r="E54" s="1" t="s">
        <v>121</v>
      </c>
      <c r="F54" s="14">
        <v>0.9693</v>
      </c>
      <c r="G54" s="15"/>
      <c r="H54" s="16"/>
      <c r="I54" s="14"/>
    </row>
    <row r="55">
      <c r="A55" s="14">
        <v>696.0</v>
      </c>
      <c r="B55" s="14">
        <v>4274281.0</v>
      </c>
      <c r="C55" s="14">
        <v>1.8134332E7</v>
      </c>
      <c r="D55" s="2" t="s">
        <v>321</v>
      </c>
      <c r="E55" s="1" t="s">
        <v>107</v>
      </c>
      <c r="F55" s="14">
        <v>0.9692</v>
      </c>
      <c r="G55" s="15"/>
      <c r="H55" s="16"/>
      <c r="I55" s="14"/>
    </row>
    <row r="56">
      <c r="A56" s="14">
        <v>609.0</v>
      </c>
      <c r="B56" s="14">
        <v>6763185.0</v>
      </c>
      <c r="C56" s="14">
        <v>2.8814864E7</v>
      </c>
      <c r="D56" s="2" t="s">
        <v>325</v>
      </c>
      <c r="E56" s="1" t="s">
        <v>107</v>
      </c>
      <c r="F56" s="14">
        <v>0.9691</v>
      </c>
      <c r="G56" s="15"/>
      <c r="H56" s="16"/>
      <c r="I56" s="14"/>
    </row>
    <row r="57">
      <c r="A57" s="14">
        <v>715.0</v>
      </c>
      <c r="B57" s="14">
        <v>9718481.0</v>
      </c>
      <c r="C57" s="14">
        <v>4.1190508E7</v>
      </c>
      <c r="D57" s="2" t="s">
        <v>328</v>
      </c>
      <c r="E57" s="1" t="s">
        <v>107</v>
      </c>
      <c r="F57" s="14">
        <v>0.969</v>
      </c>
      <c r="G57" s="15"/>
      <c r="H57" s="16"/>
      <c r="I57" s="14"/>
    </row>
    <row r="58">
      <c r="A58" s="14">
        <v>557.0</v>
      </c>
      <c r="B58" s="14">
        <v>6246580.0</v>
      </c>
      <c r="C58" s="14">
        <v>2.6578474E7</v>
      </c>
      <c r="D58" s="2" t="s">
        <v>332</v>
      </c>
      <c r="E58" s="1" t="s">
        <v>107</v>
      </c>
      <c r="F58" s="14">
        <v>0.9682</v>
      </c>
      <c r="G58" s="15"/>
      <c r="H58" s="16"/>
      <c r="I58" s="14"/>
    </row>
    <row r="59">
      <c r="A59" s="14">
        <v>157.0</v>
      </c>
      <c r="B59" s="14">
        <v>1071557.0</v>
      </c>
      <c r="C59" s="14">
        <v>4865507.0</v>
      </c>
      <c r="D59" s="2" t="s">
        <v>337</v>
      </c>
      <c r="E59" s="1" t="s">
        <v>107</v>
      </c>
      <c r="F59" s="14">
        <v>0.9678</v>
      </c>
      <c r="G59" s="15"/>
      <c r="H59" s="16"/>
      <c r="I59" s="14"/>
    </row>
    <row r="60">
      <c r="A60" s="14">
        <v>257.0</v>
      </c>
      <c r="B60" s="14">
        <v>5727594.0</v>
      </c>
      <c r="C60" s="14">
        <v>2.4490803E7</v>
      </c>
      <c r="D60" s="2" t="s">
        <v>342</v>
      </c>
      <c r="E60" s="1" t="s">
        <v>121</v>
      </c>
      <c r="F60" s="14">
        <v>0.967</v>
      </c>
      <c r="G60" s="15"/>
      <c r="H60" s="16"/>
      <c r="I60" s="14"/>
    </row>
    <row r="61">
      <c r="A61" s="14">
        <v>142.0</v>
      </c>
      <c r="B61" s="14">
        <v>4049823.0</v>
      </c>
      <c r="C61" s="14">
        <v>1.7204408E7</v>
      </c>
      <c r="D61" s="2" t="s">
        <v>345</v>
      </c>
      <c r="E61" s="1" t="s">
        <v>107</v>
      </c>
      <c r="F61" s="14">
        <v>0.9661</v>
      </c>
      <c r="G61" s="15"/>
      <c r="H61" s="16"/>
      <c r="I61" s="14"/>
    </row>
    <row r="62">
      <c r="A62" s="14">
        <v>215.0</v>
      </c>
      <c r="B62" s="14">
        <v>6.8278072E7</v>
      </c>
      <c r="C62" s="14">
        <v>2.8039547E8</v>
      </c>
      <c r="D62" s="2" t="s">
        <v>350</v>
      </c>
      <c r="E62" s="1" t="s">
        <v>107</v>
      </c>
      <c r="F62" s="14">
        <v>0.9661</v>
      </c>
      <c r="G62" s="15"/>
      <c r="H62" s="16"/>
      <c r="I62" s="14"/>
    </row>
    <row r="63">
      <c r="A63" s="14">
        <v>173.0</v>
      </c>
      <c r="B63" s="14">
        <v>2.8532061E7</v>
      </c>
      <c r="C63" s="14">
        <v>1.15012624E8</v>
      </c>
      <c r="D63" s="2" t="s">
        <v>352</v>
      </c>
      <c r="E63" s="1" t="s">
        <v>121</v>
      </c>
      <c r="F63" s="14">
        <v>0.9661</v>
      </c>
      <c r="G63" s="15"/>
      <c r="H63" s="16"/>
      <c r="I63" s="14"/>
    </row>
    <row r="64">
      <c r="A64" s="14">
        <v>470.0</v>
      </c>
      <c r="B64" s="14">
        <v>4242762.0</v>
      </c>
      <c r="C64" s="14">
        <v>1.8007636E7</v>
      </c>
      <c r="D64" s="2" t="s">
        <v>357</v>
      </c>
      <c r="E64" s="1" t="s">
        <v>107</v>
      </c>
      <c r="F64" s="14">
        <v>0.9659</v>
      </c>
      <c r="G64" s="15"/>
      <c r="H64" s="16"/>
      <c r="I64" s="14"/>
    </row>
    <row r="65">
      <c r="A65" s="14">
        <v>671.0</v>
      </c>
      <c r="B65" s="14">
        <v>9.5518803E7</v>
      </c>
      <c r="C65" s="14">
        <v>4.06828946E8</v>
      </c>
      <c r="D65" s="2" t="s">
        <v>361</v>
      </c>
      <c r="E65" s="1" t="s">
        <v>107</v>
      </c>
      <c r="F65" s="14">
        <v>0.9652</v>
      </c>
      <c r="G65" s="15"/>
      <c r="H65" s="16"/>
      <c r="I65" s="14"/>
    </row>
    <row r="66">
      <c r="A66" s="14">
        <v>504.0</v>
      </c>
      <c r="B66" s="14">
        <v>7.098397E7</v>
      </c>
      <c r="C66" s="14">
        <v>2.92894161E8</v>
      </c>
      <c r="D66" s="2" t="s">
        <v>364</v>
      </c>
      <c r="E66" s="1" t="s">
        <v>107</v>
      </c>
      <c r="F66" s="14">
        <v>0.9647</v>
      </c>
      <c r="G66" s="15"/>
      <c r="H66" s="16"/>
      <c r="I66" s="14"/>
    </row>
    <row r="67">
      <c r="A67" s="14">
        <v>319.0</v>
      </c>
      <c r="B67" s="14">
        <v>4.4350891E7</v>
      </c>
      <c r="C67" s="14">
        <v>1.75522549E8</v>
      </c>
      <c r="D67" s="2" t="s">
        <v>370</v>
      </c>
      <c r="E67" s="1" t="s">
        <v>107</v>
      </c>
      <c r="F67" s="14">
        <v>0.9643</v>
      </c>
      <c r="G67" s="15"/>
      <c r="H67" s="16"/>
      <c r="I67" s="14"/>
    </row>
    <row r="68">
      <c r="A68" s="14">
        <v>645.0</v>
      </c>
      <c r="B68" s="14">
        <v>1718701.0</v>
      </c>
      <c r="C68" s="14">
        <v>7506207.0</v>
      </c>
      <c r="D68" s="2" t="s">
        <v>373</v>
      </c>
      <c r="E68" s="1" t="s">
        <v>107</v>
      </c>
      <c r="F68" s="14">
        <v>0.9642</v>
      </c>
      <c r="G68" s="15"/>
      <c r="H68" s="16"/>
      <c r="I68" s="14"/>
    </row>
    <row r="69">
      <c r="A69" s="14">
        <v>410.0</v>
      </c>
      <c r="B69" s="14">
        <v>1128197.0</v>
      </c>
      <c r="C69" s="14">
        <v>5095713.0</v>
      </c>
      <c r="D69" s="2" t="s">
        <v>377</v>
      </c>
      <c r="E69" s="1" t="s">
        <v>107</v>
      </c>
      <c r="F69" s="14">
        <v>0.9635</v>
      </c>
      <c r="G69" s="15"/>
      <c r="H69" s="16"/>
      <c r="I69" s="14"/>
    </row>
    <row r="70">
      <c r="A70" s="14">
        <v>414.0</v>
      </c>
      <c r="B70" s="14">
        <v>1.4198821E7</v>
      </c>
      <c r="C70" s="14">
        <v>6.0434956E7</v>
      </c>
      <c r="D70" s="2" t="s">
        <v>382</v>
      </c>
      <c r="E70" s="1" t="s">
        <v>121</v>
      </c>
      <c r="F70" s="14">
        <v>0.9635</v>
      </c>
      <c r="G70" s="15"/>
      <c r="H70" s="16"/>
      <c r="I70" s="14"/>
    </row>
    <row r="71">
      <c r="A71" s="14">
        <v>244.0</v>
      </c>
      <c r="B71" s="14">
        <v>5363431.0</v>
      </c>
      <c r="C71" s="14">
        <v>2.2924657E7</v>
      </c>
      <c r="D71" s="2" t="s">
        <v>477</v>
      </c>
      <c r="E71" s="1" t="s">
        <v>121</v>
      </c>
      <c r="F71" s="14">
        <v>0.9631</v>
      </c>
      <c r="G71" s="15"/>
      <c r="H71" s="16"/>
      <c r="I71" s="14"/>
    </row>
    <row r="72">
      <c r="A72" s="14">
        <v>578.0</v>
      </c>
      <c r="B72" s="14">
        <v>4288800.0</v>
      </c>
      <c r="C72" s="14">
        <v>1.8194872E7</v>
      </c>
      <c r="D72" s="2" t="s">
        <v>484</v>
      </c>
      <c r="E72" s="1" t="s">
        <v>121</v>
      </c>
      <c r="F72" s="14">
        <v>0.9628</v>
      </c>
      <c r="G72" s="15"/>
      <c r="H72" s="16"/>
      <c r="I72" s="14"/>
    </row>
    <row r="73">
      <c r="A73" s="14">
        <v>394.0</v>
      </c>
      <c r="B73" s="14">
        <v>1921859.0</v>
      </c>
      <c r="C73" s="14">
        <v>8356805.0</v>
      </c>
      <c r="D73" s="2" t="s">
        <v>488</v>
      </c>
      <c r="E73" s="1" t="s">
        <v>107</v>
      </c>
      <c r="F73" s="14">
        <v>0.9624</v>
      </c>
      <c r="G73" s="15"/>
      <c r="H73" s="16"/>
      <c r="I73" s="14"/>
    </row>
    <row r="74">
      <c r="A74" s="14">
        <v>676.0</v>
      </c>
      <c r="B74" s="14">
        <v>5657457.0</v>
      </c>
      <c r="C74" s="14">
        <v>2.4188729E7</v>
      </c>
      <c r="D74" s="2" t="s">
        <v>492</v>
      </c>
      <c r="E74" s="1" t="s">
        <v>107</v>
      </c>
      <c r="F74" s="14">
        <v>0.9623</v>
      </c>
      <c r="G74" s="15"/>
      <c r="H74" s="16"/>
      <c r="I74" s="14"/>
    </row>
    <row r="75">
      <c r="A75" s="14">
        <v>120.0</v>
      </c>
      <c r="B75" s="14">
        <v>675036.0</v>
      </c>
      <c r="C75" s="14">
        <v>3265489.0</v>
      </c>
      <c r="D75" s="2" t="s">
        <v>496</v>
      </c>
      <c r="E75" s="1" t="s">
        <v>107</v>
      </c>
      <c r="F75" s="14">
        <v>0.9612</v>
      </c>
      <c r="G75" s="15"/>
      <c r="H75" s="16"/>
      <c r="I75" s="14"/>
    </row>
    <row r="76">
      <c r="A76" s="14">
        <v>503.0</v>
      </c>
      <c r="B76" s="14">
        <v>5055557.0</v>
      </c>
      <c r="C76" s="14">
        <v>2.159997E7</v>
      </c>
      <c r="D76" s="2" t="s">
        <v>499</v>
      </c>
      <c r="E76" s="1" t="s">
        <v>107</v>
      </c>
      <c r="F76" s="14">
        <v>0.9601</v>
      </c>
      <c r="G76" s="15"/>
      <c r="H76" s="16"/>
      <c r="I76" s="14"/>
    </row>
    <row r="77">
      <c r="A77" s="14">
        <v>712.0</v>
      </c>
      <c r="B77" s="14">
        <v>2.2020136E7</v>
      </c>
      <c r="C77" s="14">
        <v>9.0921336E7</v>
      </c>
      <c r="D77" s="2" t="s">
        <v>502</v>
      </c>
      <c r="E77" s="1" t="s">
        <v>107</v>
      </c>
      <c r="F77" s="14">
        <v>0.9601</v>
      </c>
      <c r="G77" s="15"/>
      <c r="H77" s="16"/>
      <c r="I77" s="14"/>
    </row>
    <row r="78">
      <c r="A78" s="14">
        <v>210.0</v>
      </c>
      <c r="B78" s="14">
        <v>6.547538E7</v>
      </c>
      <c r="C78" s="14">
        <v>2.66959258E8</v>
      </c>
      <c r="D78" s="2" t="s">
        <v>506</v>
      </c>
      <c r="E78" s="1" t="s">
        <v>107</v>
      </c>
      <c r="F78" s="14">
        <v>0.9601</v>
      </c>
      <c r="G78" s="15"/>
      <c r="H78" s="16"/>
      <c r="I78" s="14"/>
    </row>
    <row r="79">
      <c r="A79" s="14">
        <v>379.0</v>
      </c>
      <c r="B79" s="14">
        <v>2510247.0</v>
      </c>
      <c r="C79" s="14">
        <v>1.0595544E7</v>
      </c>
      <c r="D79" s="2" t="s">
        <v>509</v>
      </c>
      <c r="E79" s="1" t="s">
        <v>121</v>
      </c>
      <c r="F79" s="14">
        <v>0.9601</v>
      </c>
      <c r="G79" s="15"/>
      <c r="H79" s="16"/>
      <c r="I79" s="14"/>
    </row>
    <row r="80">
      <c r="A80" s="14">
        <v>380.0</v>
      </c>
      <c r="B80" s="14">
        <v>8673024.0</v>
      </c>
      <c r="C80" s="14">
        <v>3.6766272E7</v>
      </c>
      <c r="D80" s="2" t="s">
        <v>512</v>
      </c>
      <c r="E80" s="1" t="s">
        <v>107</v>
      </c>
      <c r="F80" s="14">
        <v>0.9595</v>
      </c>
      <c r="G80" s="15"/>
      <c r="H80" s="16"/>
      <c r="I80" s="14"/>
    </row>
    <row r="81">
      <c r="A81" s="14">
        <v>337.0</v>
      </c>
      <c r="B81" s="14">
        <v>3318231.0</v>
      </c>
      <c r="C81" s="14">
        <v>1.4046011E7</v>
      </c>
      <c r="D81" s="2" t="s">
        <v>515</v>
      </c>
      <c r="E81" s="1" t="s">
        <v>107</v>
      </c>
      <c r="F81" s="14">
        <v>0.9593</v>
      </c>
      <c r="G81" s="15"/>
      <c r="H81" s="16"/>
      <c r="I81" s="14"/>
    </row>
    <row r="82">
      <c r="A82" s="14">
        <v>595.0</v>
      </c>
      <c r="B82" s="14">
        <v>2784004.0</v>
      </c>
      <c r="C82" s="14">
        <v>1.1786043E7</v>
      </c>
      <c r="D82" s="2" t="s">
        <v>518</v>
      </c>
      <c r="E82" s="1" t="s">
        <v>107</v>
      </c>
      <c r="F82" s="14">
        <v>0.9589</v>
      </c>
      <c r="G82" s="15"/>
      <c r="H82" s="16"/>
      <c r="I82" s="14"/>
    </row>
    <row r="83">
      <c r="A83" s="14">
        <v>700.0</v>
      </c>
      <c r="B83" s="14">
        <v>8.9563283E7</v>
      </c>
      <c r="C83" s="14">
        <v>3.79527851E8</v>
      </c>
      <c r="D83" s="2" t="s">
        <v>521</v>
      </c>
      <c r="E83" s="1" t="s">
        <v>107</v>
      </c>
      <c r="F83" s="14">
        <v>0.9589</v>
      </c>
      <c r="G83" s="15"/>
      <c r="H83" s="16"/>
      <c r="I83" s="14"/>
    </row>
    <row r="84">
      <c r="A84" s="14">
        <v>481.0</v>
      </c>
      <c r="B84" s="14">
        <v>3801017.0</v>
      </c>
      <c r="C84" s="14">
        <v>1.6089409E7</v>
      </c>
      <c r="D84" s="2" t="s">
        <v>524</v>
      </c>
      <c r="E84" s="1" t="s">
        <v>107</v>
      </c>
      <c r="F84" s="14">
        <v>0.9583</v>
      </c>
      <c r="G84" s="15"/>
      <c r="H84" s="16"/>
      <c r="I84" s="14"/>
    </row>
    <row r="85">
      <c r="A85" s="14">
        <v>578.0</v>
      </c>
      <c r="B85" s="14">
        <v>1.0315142E7</v>
      </c>
      <c r="C85" s="14">
        <v>4.3757075E7</v>
      </c>
      <c r="D85" s="2" t="s">
        <v>529</v>
      </c>
      <c r="E85" s="1" t="s">
        <v>121</v>
      </c>
      <c r="F85" s="14">
        <v>0.9583</v>
      </c>
      <c r="G85" s="15"/>
      <c r="H85" s="16"/>
      <c r="I85" s="14"/>
    </row>
    <row r="86">
      <c r="A86" s="14">
        <v>403.0</v>
      </c>
      <c r="B86" s="14">
        <v>1539669.0</v>
      </c>
      <c r="C86" s="14">
        <v>6777908.0</v>
      </c>
      <c r="D86" s="2" t="s">
        <v>533</v>
      </c>
      <c r="E86" s="1" t="s">
        <v>121</v>
      </c>
      <c r="F86" s="14">
        <v>0.958</v>
      </c>
      <c r="G86" s="15"/>
      <c r="H86" s="16"/>
      <c r="I86" s="14"/>
    </row>
    <row r="87">
      <c r="A87" s="14">
        <v>713.0</v>
      </c>
      <c r="B87" s="14">
        <v>7171410.0</v>
      </c>
      <c r="C87" s="14">
        <v>3.0513943E7</v>
      </c>
      <c r="D87" s="2" t="s">
        <v>535</v>
      </c>
      <c r="E87" s="1" t="s">
        <v>107</v>
      </c>
      <c r="F87" s="14">
        <v>0.9577</v>
      </c>
      <c r="G87" s="15"/>
      <c r="H87" s="16"/>
      <c r="I87" s="14"/>
    </row>
    <row r="88">
      <c r="A88" s="14">
        <v>353.0</v>
      </c>
      <c r="B88" s="14">
        <v>1.0367683E7</v>
      </c>
      <c r="C88" s="14">
        <v>4.3996346E7</v>
      </c>
      <c r="D88" s="2" t="s">
        <v>538</v>
      </c>
      <c r="E88" s="1" t="s">
        <v>107</v>
      </c>
      <c r="F88" s="14">
        <v>0.9577</v>
      </c>
      <c r="G88" s="15"/>
      <c r="H88" s="16"/>
      <c r="I88" s="14"/>
    </row>
    <row r="89">
      <c r="A89" s="14">
        <v>578.0</v>
      </c>
      <c r="B89" s="14">
        <v>3884669.0</v>
      </c>
      <c r="C89" s="14">
        <v>4.798435E7</v>
      </c>
      <c r="D89" s="2" t="s">
        <v>541</v>
      </c>
      <c r="E89" s="1" t="s">
        <v>107</v>
      </c>
      <c r="F89" s="14">
        <v>0.9569</v>
      </c>
      <c r="G89" s="15"/>
      <c r="H89" s="16"/>
      <c r="I89" s="14"/>
    </row>
    <row r="90">
      <c r="A90" s="14">
        <v>410.0</v>
      </c>
      <c r="B90" s="14">
        <v>3.2264762E7</v>
      </c>
      <c r="C90" s="14">
        <v>1.2928088E8</v>
      </c>
      <c r="D90" s="2" t="s">
        <v>544</v>
      </c>
      <c r="E90" s="1" t="s">
        <v>107</v>
      </c>
      <c r="F90" s="14">
        <v>0.9568</v>
      </c>
      <c r="G90" s="15"/>
      <c r="H90" s="16"/>
      <c r="I90" s="14"/>
    </row>
    <row r="91">
      <c r="A91" s="14">
        <v>665.0</v>
      </c>
      <c r="B91" s="14">
        <v>1571787.0</v>
      </c>
      <c r="C91" s="14">
        <v>6912536.0</v>
      </c>
      <c r="D91" s="2" t="s">
        <v>549</v>
      </c>
      <c r="E91" s="1" t="s">
        <v>107</v>
      </c>
      <c r="F91" s="14">
        <v>0.9567</v>
      </c>
      <c r="G91" s="15"/>
      <c r="H91" s="16"/>
      <c r="I91" s="14"/>
    </row>
    <row r="92">
      <c r="A92" s="14">
        <v>488.0</v>
      </c>
      <c r="B92" s="14">
        <v>4.6752436E7</v>
      </c>
      <c r="C92" s="14">
        <v>1.84799471E8</v>
      </c>
      <c r="D92" s="2" t="s">
        <v>551</v>
      </c>
      <c r="E92" s="1" t="s">
        <v>107</v>
      </c>
      <c r="F92" s="14">
        <v>0.9567</v>
      </c>
      <c r="G92" s="15"/>
      <c r="H92" s="16"/>
      <c r="I92" s="14"/>
    </row>
    <row r="93">
      <c r="A93" s="14">
        <v>173.0</v>
      </c>
      <c r="B93" s="14">
        <v>5.1894503E7</v>
      </c>
      <c r="C93" s="14">
        <v>2.05948839E8</v>
      </c>
      <c r="D93" s="2" t="s">
        <v>553</v>
      </c>
      <c r="E93" s="1" t="s">
        <v>107</v>
      </c>
      <c r="F93" s="14">
        <v>0.9567</v>
      </c>
      <c r="G93" s="15"/>
      <c r="H93" s="16"/>
      <c r="I93" s="14"/>
    </row>
    <row r="94">
      <c r="A94" s="14">
        <v>173.0</v>
      </c>
      <c r="B94" s="14">
        <v>6.3063169E7</v>
      </c>
      <c r="C94" s="14">
        <v>2.55339249E8</v>
      </c>
      <c r="D94" s="2" t="s">
        <v>557</v>
      </c>
      <c r="E94" s="1" t="s">
        <v>121</v>
      </c>
      <c r="F94" s="14">
        <v>0.9563</v>
      </c>
      <c r="G94" s="15"/>
      <c r="H94" s="16"/>
      <c r="I94" s="14"/>
    </row>
    <row r="95">
      <c r="A95" s="14">
        <v>672.0</v>
      </c>
      <c r="B95" s="14">
        <v>9075344.0</v>
      </c>
      <c r="C95" s="14">
        <v>3.8600486E7</v>
      </c>
      <c r="D95" s="2" t="s">
        <v>559</v>
      </c>
      <c r="E95" s="1" t="s">
        <v>121</v>
      </c>
      <c r="F95" s="14">
        <v>0.9558</v>
      </c>
      <c r="G95" s="15"/>
      <c r="H95" s="16"/>
      <c r="I95" s="14"/>
    </row>
    <row r="96">
      <c r="A96" s="14">
        <v>608.0</v>
      </c>
      <c r="B96" s="14">
        <v>1.193158E7</v>
      </c>
      <c r="C96" s="14">
        <v>5.0637499E7</v>
      </c>
      <c r="D96" s="2" t="s">
        <v>563</v>
      </c>
      <c r="E96" s="1" t="s">
        <v>107</v>
      </c>
      <c r="F96" s="14">
        <v>0.9552</v>
      </c>
      <c r="G96" s="15"/>
      <c r="H96" s="16"/>
      <c r="I96" s="14"/>
    </row>
    <row r="97">
      <c r="A97" s="14">
        <v>472.0</v>
      </c>
      <c r="B97" s="14">
        <v>1.2969891E7</v>
      </c>
      <c r="C97" s="14">
        <v>5.5130465E7</v>
      </c>
      <c r="D97" s="2" t="s">
        <v>565</v>
      </c>
      <c r="E97" s="1" t="s">
        <v>107</v>
      </c>
      <c r="F97" s="14">
        <v>0.9552</v>
      </c>
      <c r="G97" s="15"/>
      <c r="H97" s="16"/>
      <c r="I97" s="14"/>
    </row>
    <row r="98">
      <c r="A98" s="14">
        <v>210.0</v>
      </c>
      <c r="B98" s="14">
        <v>7.9128379E7</v>
      </c>
      <c r="C98" s="14">
        <v>3.30634361E8</v>
      </c>
      <c r="D98" s="2" t="s">
        <v>568</v>
      </c>
      <c r="E98" s="1" t="s">
        <v>121</v>
      </c>
      <c r="F98" s="14">
        <v>0.9546</v>
      </c>
      <c r="G98" s="15"/>
      <c r="H98" s="16"/>
      <c r="I98" s="14"/>
    </row>
    <row r="99">
      <c r="A99" s="14">
        <v>715.0</v>
      </c>
      <c r="B99" s="14">
        <v>1.0482779E7</v>
      </c>
      <c r="C99" s="14">
        <v>4.4493529E7</v>
      </c>
      <c r="D99" s="2" t="s">
        <v>570</v>
      </c>
      <c r="E99" s="1" t="s">
        <v>107</v>
      </c>
      <c r="F99" s="14">
        <v>0.9544</v>
      </c>
      <c r="G99" s="15"/>
      <c r="H99" s="16"/>
      <c r="I99" s="14"/>
    </row>
    <row r="100">
      <c r="A100" s="14">
        <v>224.0</v>
      </c>
      <c r="B100" s="14">
        <v>2891707.0</v>
      </c>
      <c r="C100" s="14">
        <v>1.2241464E7</v>
      </c>
      <c r="D100" s="2" t="s">
        <v>573</v>
      </c>
      <c r="E100" s="1" t="s">
        <v>121</v>
      </c>
      <c r="F100" s="14">
        <v>0.954</v>
      </c>
      <c r="G100" s="15"/>
      <c r="H100" s="16"/>
      <c r="I100" s="14"/>
    </row>
    <row r="101">
      <c r="A101" s="14">
        <v>142.0</v>
      </c>
      <c r="B101" s="14">
        <v>6542143.0</v>
      </c>
      <c r="C101" s="14">
        <v>2.7992048E7</v>
      </c>
      <c r="D101" s="2" t="s">
        <v>576</v>
      </c>
      <c r="E101" s="1" t="s">
        <v>107</v>
      </c>
      <c r="F101" s="14">
        <v>0.9538</v>
      </c>
      <c r="G101" s="15"/>
      <c r="H101" s="16"/>
      <c r="I101" s="14"/>
    </row>
    <row r="102">
      <c r="A102" s="14">
        <v>607.0</v>
      </c>
      <c r="B102" s="14">
        <v>5025402.0</v>
      </c>
      <c r="C102" s="14">
        <v>2.1376529E7</v>
      </c>
      <c r="D102" s="2" t="s">
        <v>579</v>
      </c>
      <c r="E102" s="1" t="s">
        <v>107</v>
      </c>
      <c r="F102" s="14">
        <v>0.9537</v>
      </c>
      <c r="G102" s="15"/>
      <c r="H102" s="16"/>
      <c r="I102" s="14"/>
    </row>
    <row r="103">
      <c r="A103" s="14">
        <v>665.0</v>
      </c>
      <c r="B103" s="14">
        <v>5966545.0</v>
      </c>
      <c r="C103" s="14">
        <v>2.5440453E7</v>
      </c>
      <c r="D103" s="2" t="s">
        <v>582</v>
      </c>
      <c r="E103" s="1" t="s">
        <v>107</v>
      </c>
      <c r="F103" s="14">
        <v>0.9537</v>
      </c>
      <c r="G103" s="15"/>
      <c r="H103" s="16"/>
      <c r="I103" s="14"/>
    </row>
    <row r="104">
      <c r="A104" s="14">
        <v>721.0</v>
      </c>
      <c r="B104" s="14">
        <v>8.1914857E7</v>
      </c>
      <c r="C104" s="14">
        <v>3.43201755E8</v>
      </c>
      <c r="D104" s="2" t="s">
        <v>584</v>
      </c>
      <c r="E104" s="1" t="s">
        <v>107</v>
      </c>
      <c r="F104" s="14">
        <v>0.9537</v>
      </c>
      <c r="G104" s="15"/>
      <c r="H104" s="16"/>
      <c r="I104" s="14"/>
    </row>
    <row r="105">
      <c r="A105" s="14">
        <v>409.0</v>
      </c>
      <c r="B105" s="14">
        <v>8.4213767E7</v>
      </c>
      <c r="C105" s="14">
        <v>3.54529196E8</v>
      </c>
      <c r="D105" s="2" t="s">
        <v>586</v>
      </c>
      <c r="E105" s="1" t="s">
        <v>107</v>
      </c>
      <c r="F105" s="14">
        <v>0.9536</v>
      </c>
      <c r="G105" s="15"/>
      <c r="H105" s="16"/>
      <c r="I105" s="14"/>
    </row>
    <row r="106">
      <c r="A106" s="14">
        <v>656.0</v>
      </c>
      <c r="B106" s="14">
        <v>8.4125885E7</v>
      </c>
      <c r="C106" s="14">
        <v>3.53904208E8</v>
      </c>
      <c r="D106" s="2" t="s">
        <v>590</v>
      </c>
      <c r="E106" s="1" t="s">
        <v>107</v>
      </c>
      <c r="F106" s="14">
        <v>0.9534</v>
      </c>
      <c r="G106" s="15"/>
      <c r="H106" s="16"/>
      <c r="I106" s="14"/>
    </row>
    <row r="107">
      <c r="A107" s="14">
        <v>609.0</v>
      </c>
      <c r="B107" s="14">
        <v>5346780.0</v>
      </c>
      <c r="C107" s="14">
        <v>2.2927039E7</v>
      </c>
      <c r="D107" s="2" t="s">
        <v>592</v>
      </c>
      <c r="E107" s="1" t="s">
        <v>107</v>
      </c>
      <c r="F107" s="14">
        <v>0.9531</v>
      </c>
      <c r="G107" s="15"/>
      <c r="H107" s="16"/>
      <c r="I107" s="14"/>
    </row>
    <row r="108">
      <c r="A108" s="14">
        <v>225.0</v>
      </c>
      <c r="B108" s="14">
        <v>2685885.0</v>
      </c>
      <c r="C108" s="14">
        <v>1.1332205E7</v>
      </c>
      <c r="D108" s="2" t="s">
        <v>595</v>
      </c>
      <c r="E108" s="1" t="s">
        <v>107</v>
      </c>
      <c r="F108" s="14">
        <v>0.9529</v>
      </c>
      <c r="G108" s="15"/>
      <c r="H108" s="16"/>
      <c r="I108" s="14"/>
    </row>
    <row r="109">
      <c r="A109" s="14">
        <v>353.0</v>
      </c>
      <c r="B109" s="14">
        <v>5.2754122E7</v>
      </c>
      <c r="C109" s="14">
        <v>2.09270659E8</v>
      </c>
      <c r="D109" s="2" t="s">
        <v>597</v>
      </c>
      <c r="E109" s="1" t="s">
        <v>121</v>
      </c>
      <c r="F109" s="14">
        <v>0.9529</v>
      </c>
      <c r="G109" s="15"/>
      <c r="H109" s="16"/>
      <c r="I109" s="14"/>
    </row>
    <row r="110">
      <c r="A110" s="14">
        <v>120.0</v>
      </c>
      <c r="B110" s="14">
        <v>629207.0</v>
      </c>
      <c r="C110" s="14">
        <v>3068567.0</v>
      </c>
      <c r="D110" s="2" t="s">
        <v>601</v>
      </c>
      <c r="E110" s="1" t="s">
        <v>107</v>
      </c>
      <c r="F110" s="14">
        <v>0.9526</v>
      </c>
      <c r="G110" s="15"/>
      <c r="H110" s="16"/>
      <c r="I110" s="14"/>
    </row>
    <row r="111">
      <c r="A111" s="14">
        <v>403.0</v>
      </c>
      <c r="B111" s="14">
        <v>4.5118961E7</v>
      </c>
      <c r="C111" s="14">
        <v>2.41229195E8</v>
      </c>
      <c r="D111" s="2" t="s">
        <v>604</v>
      </c>
      <c r="E111" s="1" t="s">
        <v>107</v>
      </c>
      <c r="F111" s="14">
        <v>0.9518</v>
      </c>
      <c r="G111" s="15"/>
      <c r="H111" s="16"/>
      <c r="I111" s="14"/>
    </row>
    <row r="112">
      <c r="A112" s="14">
        <v>665.0</v>
      </c>
      <c r="B112" s="14">
        <v>6230999.0</v>
      </c>
      <c r="C112" s="14">
        <v>2.6527532E7</v>
      </c>
      <c r="D112" s="2" t="s">
        <v>606</v>
      </c>
      <c r="E112" s="1" t="s">
        <v>107</v>
      </c>
      <c r="F112" s="14">
        <v>0.9517</v>
      </c>
      <c r="G112" s="15"/>
      <c r="H112" s="16"/>
      <c r="I112" s="14"/>
    </row>
    <row r="113">
      <c r="A113" s="14">
        <v>609.0</v>
      </c>
      <c r="B113" s="14">
        <v>7610100.0</v>
      </c>
      <c r="C113" s="14">
        <v>3.2335826E7</v>
      </c>
      <c r="D113" s="2" t="s">
        <v>610</v>
      </c>
      <c r="E113" s="1" t="s">
        <v>107</v>
      </c>
      <c r="F113" s="14">
        <v>0.9517</v>
      </c>
      <c r="G113" s="15"/>
      <c r="H113" s="16"/>
      <c r="I113" s="14"/>
    </row>
    <row r="114">
      <c r="A114" s="14">
        <v>550.0</v>
      </c>
      <c r="B114" s="14">
        <v>1.1106028E7</v>
      </c>
      <c r="C114" s="14">
        <v>4.7776997E7</v>
      </c>
      <c r="D114" s="2" t="s">
        <v>613</v>
      </c>
      <c r="E114" s="1" t="s">
        <v>121</v>
      </c>
      <c r="F114" s="14">
        <v>0.9517</v>
      </c>
      <c r="G114" s="15"/>
      <c r="H114" s="16"/>
      <c r="I114" s="14"/>
    </row>
    <row r="115">
      <c r="A115" s="14">
        <v>571.0</v>
      </c>
      <c r="B115" s="14">
        <v>1725920.0</v>
      </c>
      <c r="C115" s="14">
        <v>7.0681927E7</v>
      </c>
      <c r="D115" s="2" t="s">
        <v>615</v>
      </c>
      <c r="E115" s="1" t="s">
        <v>121</v>
      </c>
      <c r="F115" s="14">
        <v>0.9512</v>
      </c>
      <c r="G115" s="15"/>
      <c r="H115" s="16"/>
      <c r="I115" s="14"/>
    </row>
    <row r="116">
      <c r="A116" s="14">
        <v>216.0</v>
      </c>
      <c r="B116" s="14">
        <v>548362.0</v>
      </c>
      <c r="C116" s="14">
        <v>2639089.0</v>
      </c>
      <c r="D116" s="2" t="s">
        <v>618</v>
      </c>
      <c r="E116" s="1" t="s">
        <v>107</v>
      </c>
      <c r="F116" s="14">
        <v>0.9511</v>
      </c>
      <c r="G116" s="15"/>
      <c r="H116" s="16"/>
      <c r="I116" s="14"/>
    </row>
    <row r="117">
      <c r="A117" s="14">
        <v>392.0</v>
      </c>
      <c r="B117" s="14">
        <v>7252516.0</v>
      </c>
      <c r="C117" s="14">
        <v>3.0871828E7</v>
      </c>
      <c r="D117" s="2" t="s">
        <v>622</v>
      </c>
      <c r="E117" s="1" t="s">
        <v>107</v>
      </c>
      <c r="F117" s="14">
        <v>0.9508</v>
      </c>
      <c r="G117" s="15"/>
      <c r="H117" s="16"/>
      <c r="I117" s="14"/>
    </row>
    <row r="118">
      <c r="A118" s="14">
        <v>522.0</v>
      </c>
      <c r="B118" s="14">
        <v>4.1589351E7</v>
      </c>
      <c r="C118" s="14">
        <v>1.64650359E8</v>
      </c>
      <c r="D118" s="2" t="s">
        <v>624</v>
      </c>
      <c r="E118" s="1" t="s">
        <v>107</v>
      </c>
      <c r="F118" s="14">
        <v>0.95</v>
      </c>
      <c r="G118" s="15"/>
      <c r="H118" s="16"/>
      <c r="I118" s="14"/>
    </row>
    <row r="119">
      <c r="A119" s="14">
        <v>353.0</v>
      </c>
      <c r="B119" s="14">
        <v>5042587.0</v>
      </c>
      <c r="C119" s="14">
        <v>2.1440703E7</v>
      </c>
      <c r="D119" s="2" t="s">
        <v>627</v>
      </c>
      <c r="E119" s="1" t="s">
        <v>107</v>
      </c>
      <c r="F119" s="14">
        <v>0.9498</v>
      </c>
      <c r="G119" s="15"/>
      <c r="H119" s="16"/>
      <c r="I119" s="14"/>
    </row>
    <row r="120">
      <c r="A120" s="14">
        <v>597.0</v>
      </c>
      <c r="B120" s="14">
        <v>1.0448697E7</v>
      </c>
      <c r="C120" s="14">
        <v>4.4396596E7</v>
      </c>
      <c r="D120" s="2" t="s">
        <v>629</v>
      </c>
      <c r="E120" s="1" t="s">
        <v>121</v>
      </c>
      <c r="F120" s="14">
        <v>0.9498</v>
      </c>
      <c r="G120" s="15"/>
      <c r="H120" s="16"/>
      <c r="I120" s="14"/>
    </row>
    <row r="121">
      <c r="A121" s="14">
        <v>394.0</v>
      </c>
      <c r="B121" s="14">
        <v>9385167.0</v>
      </c>
      <c r="C121" s="14">
        <v>3.9780584E7</v>
      </c>
      <c r="D121" s="2" t="s">
        <v>632</v>
      </c>
      <c r="E121" s="1" t="s">
        <v>107</v>
      </c>
      <c r="F121" s="14">
        <v>0.9493</v>
      </c>
      <c r="G121" s="15"/>
      <c r="H121" s="16"/>
      <c r="I121" s="14"/>
    </row>
    <row r="122">
      <c r="A122" s="14">
        <v>644.0</v>
      </c>
      <c r="B122" s="14">
        <v>4887112.0</v>
      </c>
      <c r="C122" s="14">
        <v>2.073684E7</v>
      </c>
      <c r="D122" s="2" t="s">
        <v>635</v>
      </c>
      <c r="E122" s="1" t="s">
        <v>121</v>
      </c>
      <c r="F122" s="14">
        <v>0.9493</v>
      </c>
      <c r="G122" s="15"/>
      <c r="H122" s="16"/>
      <c r="I122" s="14"/>
    </row>
    <row r="123">
      <c r="A123" s="14">
        <v>403.0</v>
      </c>
      <c r="B123" s="14">
        <v>729850.0</v>
      </c>
      <c r="C123" s="14">
        <v>3518354.0</v>
      </c>
      <c r="D123" s="2" t="s">
        <v>637</v>
      </c>
      <c r="E123" s="1" t="s">
        <v>107</v>
      </c>
      <c r="F123" s="14">
        <v>0.9491</v>
      </c>
      <c r="G123" s="15"/>
      <c r="H123" s="16"/>
      <c r="I123" s="14"/>
    </row>
    <row r="124">
      <c r="A124" s="14">
        <v>713.0</v>
      </c>
      <c r="B124" s="14">
        <v>7612980.0</v>
      </c>
      <c r="C124" s="14">
        <v>3.231427E7</v>
      </c>
      <c r="D124" s="2" t="s">
        <v>639</v>
      </c>
      <c r="E124" s="1" t="s">
        <v>107</v>
      </c>
      <c r="F124" s="14">
        <v>0.9491</v>
      </c>
      <c r="G124" s="15"/>
      <c r="H124" s="16"/>
      <c r="I124" s="14"/>
    </row>
    <row r="125">
      <c r="A125" s="14">
        <v>380.0</v>
      </c>
      <c r="B125" s="14">
        <v>1.6334328E7</v>
      </c>
      <c r="C125" s="14">
        <v>6.929905E7</v>
      </c>
      <c r="D125" s="2" t="s">
        <v>642</v>
      </c>
      <c r="E125" s="1" t="s">
        <v>107</v>
      </c>
      <c r="F125" s="14">
        <v>0.9488</v>
      </c>
      <c r="G125" s="15"/>
      <c r="H125" s="16"/>
      <c r="I125" s="14"/>
    </row>
    <row r="126">
      <c r="A126" s="14">
        <v>484.0</v>
      </c>
      <c r="B126" s="14">
        <v>2522411.0</v>
      </c>
      <c r="C126" s="14">
        <v>1.5166403E7</v>
      </c>
      <c r="D126" s="2" t="s">
        <v>645</v>
      </c>
      <c r="E126" s="1" t="s">
        <v>121</v>
      </c>
      <c r="F126" s="14">
        <v>0.9488</v>
      </c>
      <c r="G126" s="15"/>
      <c r="H126" s="16"/>
      <c r="I126" s="14"/>
    </row>
    <row r="127">
      <c r="A127" s="14">
        <v>593.0</v>
      </c>
      <c r="B127" s="14">
        <v>2.9094835E7</v>
      </c>
      <c r="C127" s="14">
        <v>1.16990969E8</v>
      </c>
      <c r="D127" s="2" t="s">
        <v>648</v>
      </c>
      <c r="E127" s="1" t="s">
        <v>121</v>
      </c>
      <c r="F127" s="14">
        <v>0.9488</v>
      </c>
      <c r="G127" s="15"/>
      <c r="H127" s="16"/>
      <c r="I127" s="14"/>
    </row>
    <row r="128">
      <c r="A128" s="14">
        <v>643.0</v>
      </c>
      <c r="B128" s="14">
        <v>8.1368467E7</v>
      </c>
      <c r="C128" s="14">
        <v>3.40530316E8</v>
      </c>
      <c r="D128" s="2" t="s">
        <v>650</v>
      </c>
      <c r="E128" s="1" t="s">
        <v>107</v>
      </c>
      <c r="F128" s="14">
        <v>0.9476</v>
      </c>
      <c r="G128" s="15"/>
      <c r="H128" s="16"/>
      <c r="I128" s="14"/>
    </row>
    <row r="129">
      <c r="A129" s="14">
        <v>671.0</v>
      </c>
      <c r="B129" s="14">
        <v>2.340683E7</v>
      </c>
      <c r="C129" s="14">
        <v>9.6385161E7</v>
      </c>
      <c r="D129" s="2" t="s">
        <v>652</v>
      </c>
      <c r="E129" s="1" t="s">
        <v>107</v>
      </c>
      <c r="F129" s="14">
        <v>0.9473</v>
      </c>
      <c r="G129" s="15"/>
      <c r="H129" s="16"/>
      <c r="I129" s="14"/>
    </row>
    <row r="130">
      <c r="A130" s="14">
        <v>425.0</v>
      </c>
      <c r="B130" s="14">
        <v>1.136552E7</v>
      </c>
      <c r="C130" s="14">
        <v>4.832912E7</v>
      </c>
      <c r="D130" s="2" t="s">
        <v>655</v>
      </c>
      <c r="E130" s="1" t="s">
        <v>107</v>
      </c>
      <c r="F130" s="14">
        <v>0.9465</v>
      </c>
      <c r="G130" s="15"/>
      <c r="H130" s="16"/>
      <c r="I130" s="14"/>
    </row>
    <row r="131">
      <c r="A131" s="14">
        <v>353.0</v>
      </c>
      <c r="B131" s="14">
        <v>1.12302446E8</v>
      </c>
      <c r="C131" s="14">
        <v>4.87470806E8</v>
      </c>
      <c r="D131" s="2" t="s">
        <v>31</v>
      </c>
      <c r="E131" s="1" t="s">
        <v>107</v>
      </c>
      <c r="F131" s="14">
        <v>0.9464</v>
      </c>
      <c r="G131" s="15"/>
      <c r="H131" s="16"/>
      <c r="I131" s="14"/>
    </row>
    <row r="132">
      <c r="A132" s="14">
        <v>664.0</v>
      </c>
      <c r="B132" s="14">
        <v>1.8191701E7</v>
      </c>
      <c r="C132" s="14">
        <v>7.6507054E7</v>
      </c>
      <c r="D132" s="2" t="s">
        <v>660</v>
      </c>
      <c r="E132" s="1" t="s">
        <v>121</v>
      </c>
      <c r="F132" s="14">
        <v>0.9463</v>
      </c>
      <c r="G132" s="15"/>
      <c r="H132" s="16"/>
      <c r="I132" s="14"/>
    </row>
    <row r="133">
      <c r="A133" s="14">
        <v>609.0</v>
      </c>
      <c r="B133" s="14">
        <v>6043466.0</v>
      </c>
      <c r="C133" s="14">
        <v>2.5751596E7</v>
      </c>
      <c r="D133" s="2" t="s">
        <v>662</v>
      </c>
      <c r="E133" s="1" t="s">
        <v>121</v>
      </c>
      <c r="F133" s="14">
        <v>0.946</v>
      </c>
      <c r="G133" s="15"/>
      <c r="H133" s="16"/>
      <c r="I133" s="14"/>
    </row>
    <row r="134">
      <c r="A134" s="14">
        <v>407.0</v>
      </c>
      <c r="B134" s="14">
        <v>8.4517128E7</v>
      </c>
      <c r="C134" s="14">
        <v>3.55546397E8</v>
      </c>
      <c r="D134" s="2" t="s">
        <v>664</v>
      </c>
      <c r="E134" s="1" t="s">
        <v>121</v>
      </c>
      <c r="F134" s="14">
        <v>0.9455</v>
      </c>
      <c r="G134" s="15"/>
      <c r="H134" s="16"/>
      <c r="I134" s="14"/>
    </row>
    <row r="135">
      <c r="A135" s="14">
        <v>120.0</v>
      </c>
      <c r="B135" s="14">
        <v>2.0484881E7</v>
      </c>
      <c r="C135" s="14">
        <v>8.517648E7</v>
      </c>
      <c r="D135" s="2" t="s">
        <v>667</v>
      </c>
      <c r="E135" s="1" t="s">
        <v>107</v>
      </c>
      <c r="F135" s="14">
        <v>0.9454</v>
      </c>
      <c r="G135" s="15"/>
      <c r="H135" s="16"/>
      <c r="I135" s="14"/>
    </row>
    <row r="136">
      <c r="A136" s="14">
        <v>215.0</v>
      </c>
      <c r="B136" s="14">
        <v>6.2620552E7</v>
      </c>
      <c r="C136" s="14">
        <v>2.53248112E8</v>
      </c>
      <c r="D136" s="2" t="s">
        <v>669</v>
      </c>
      <c r="E136" s="1" t="s">
        <v>121</v>
      </c>
      <c r="F136" s="14">
        <v>0.9453</v>
      </c>
      <c r="G136" s="15"/>
      <c r="H136" s="16"/>
      <c r="I136" s="14"/>
    </row>
    <row r="137">
      <c r="A137" s="14">
        <v>597.0</v>
      </c>
      <c r="B137" s="14">
        <v>9331041.0</v>
      </c>
      <c r="C137" s="14">
        <v>3.954803E7</v>
      </c>
      <c r="D137" s="2" t="s">
        <v>671</v>
      </c>
      <c r="E137" s="1" t="s">
        <v>107</v>
      </c>
      <c r="F137" s="14">
        <v>0.9451</v>
      </c>
      <c r="G137" s="15"/>
      <c r="H137" s="16"/>
      <c r="I137" s="14"/>
    </row>
    <row r="138">
      <c r="A138" s="14">
        <v>630.0</v>
      </c>
      <c r="B138" s="14">
        <v>8909284.0</v>
      </c>
      <c r="C138" s="14">
        <v>1.58108723E8</v>
      </c>
      <c r="D138" s="2" t="s">
        <v>674</v>
      </c>
      <c r="E138" s="1" t="s">
        <v>107</v>
      </c>
      <c r="F138" s="14">
        <v>0.9449</v>
      </c>
      <c r="G138" s="15"/>
      <c r="H138" s="16"/>
      <c r="I138" s="14"/>
    </row>
    <row r="139">
      <c r="A139" s="14">
        <v>414.0</v>
      </c>
      <c r="B139" s="14">
        <v>3536819.0</v>
      </c>
      <c r="C139" s="14">
        <v>1.5000318E7</v>
      </c>
      <c r="D139" s="2" t="s">
        <v>676</v>
      </c>
      <c r="E139" s="1" t="s">
        <v>121</v>
      </c>
      <c r="F139" s="14">
        <v>0.9449</v>
      </c>
      <c r="G139" s="15"/>
      <c r="H139" s="16"/>
      <c r="I139" s="14"/>
    </row>
    <row r="140">
      <c r="A140" s="14">
        <v>379.0</v>
      </c>
      <c r="B140" s="14">
        <v>4319544.0</v>
      </c>
      <c r="C140" s="14">
        <v>1.8306316E7</v>
      </c>
      <c r="D140" s="2" t="s">
        <v>678</v>
      </c>
      <c r="E140" s="1" t="s">
        <v>121</v>
      </c>
      <c r="F140" s="14">
        <v>0.9447</v>
      </c>
      <c r="G140" s="15"/>
      <c r="H140" s="16"/>
      <c r="I140" s="14"/>
    </row>
    <row r="141">
      <c r="A141" s="14">
        <v>673.0</v>
      </c>
      <c r="B141" s="14">
        <v>2.2034887E7</v>
      </c>
      <c r="C141" s="14">
        <v>9.1143898E7</v>
      </c>
      <c r="D141" s="2" t="s">
        <v>681</v>
      </c>
      <c r="E141" s="1" t="s">
        <v>121</v>
      </c>
      <c r="F141" s="14">
        <v>0.944</v>
      </c>
      <c r="G141" s="15"/>
      <c r="H141" s="16"/>
      <c r="I141" s="14"/>
    </row>
    <row r="142">
      <c r="A142" s="14">
        <v>665.0</v>
      </c>
      <c r="B142" s="14">
        <v>1.1807327E7</v>
      </c>
      <c r="C142" s="14">
        <v>5.0143638E7</v>
      </c>
      <c r="D142" s="2" t="s">
        <v>685</v>
      </c>
      <c r="E142" s="1" t="s">
        <v>121</v>
      </c>
      <c r="F142" s="14">
        <v>0.9436</v>
      </c>
      <c r="G142" s="15"/>
      <c r="H142" s="16"/>
      <c r="I142" s="14"/>
    </row>
    <row r="143">
      <c r="A143" s="14">
        <v>186.0</v>
      </c>
      <c r="B143" s="14">
        <v>92225.0</v>
      </c>
      <c r="C143" s="14">
        <v>339816.0</v>
      </c>
      <c r="D143" s="2" t="s">
        <v>687</v>
      </c>
      <c r="E143" s="1" t="s">
        <v>107</v>
      </c>
      <c r="F143" s="14">
        <v>0.9432</v>
      </c>
      <c r="G143" s="15"/>
      <c r="H143" s="16"/>
      <c r="I143" s="14"/>
    </row>
    <row r="144">
      <c r="A144" s="14">
        <v>337.0</v>
      </c>
      <c r="B144" s="14">
        <v>2972289.0</v>
      </c>
      <c r="C144" s="14">
        <v>1.2593395E7</v>
      </c>
      <c r="D144" s="2" t="s">
        <v>689</v>
      </c>
      <c r="E144" s="1" t="s">
        <v>107</v>
      </c>
      <c r="F144" s="14">
        <v>0.943</v>
      </c>
      <c r="G144" s="15"/>
      <c r="H144" s="16"/>
      <c r="I144" s="14"/>
    </row>
    <row r="145">
      <c r="A145" s="14">
        <v>671.0</v>
      </c>
      <c r="B145" s="14">
        <v>3.7937312E7</v>
      </c>
      <c r="C145" s="14">
        <v>1.50755897E8</v>
      </c>
      <c r="D145" s="2" t="s">
        <v>692</v>
      </c>
      <c r="E145" s="1" t="s">
        <v>107</v>
      </c>
      <c r="F145" s="14">
        <v>0.9423</v>
      </c>
      <c r="G145" s="15"/>
      <c r="H145" s="16"/>
      <c r="I145" s="14"/>
    </row>
    <row r="146">
      <c r="A146" s="14">
        <v>414.0</v>
      </c>
      <c r="B146" s="14">
        <v>4634048.0</v>
      </c>
      <c r="C146" s="14">
        <v>1.9622467E7</v>
      </c>
      <c r="D146" s="2" t="s">
        <v>694</v>
      </c>
      <c r="E146" s="1" t="s">
        <v>121</v>
      </c>
      <c r="F146" s="14">
        <v>0.9423</v>
      </c>
      <c r="G146" s="15"/>
      <c r="H146" s="16"/>
      <c r="I146" s="14"/>
    </row>
    <row r="147">
      <c r="A147" s="14">
        <v>403.0</v>
      </c>
      <c r="B147" s="14">
        <v>8358905.0</v>
      </c>
      <c r="C147" s="14">
        <v>3.5414087E7</v>
      </c>
      <c r="D147" s="2" t="s">
        <v>698</v>
      </c>
      <c r="E147" s="1" t="s">
        <v>699</v>
      </c>
      <c r="F147" s="14">
        <v>0.9422</v>
      </c>
      <c r="G147" s="15"/>
      <c r="H147" s="16"/>
      <c r="I147" s="14"/>
    </row>
    <row r="148">
      <c r="A148" s="14">
        <v>409.0</v>
      </c>
      <c r="B148" s="14">
        <v>1.1366392E7</v>
      </c>
      <c r="C148" s="14">
        <v>4.8314393E7</v>
      </c>
      <c r="D148" s="2" t="s">
        <v>701</v>
      </c>
      <c r="E148" s="1" t="s">
        <v>121</v>
      </c>
      <c r="F148" s="14">
        <v>0.9422</v>
      </c>
      <c r="G148" s="15"/>
      <c r="H148" s="16"/>
      <c r="I148" s="14"/>
    </row>
    <row r="149">
      <c r="A149" s="14">
        <v>716.0</v>
      </c>
      <c r="B149" s="14">
        <v>3.5779703E7</v>
      </c>
      <c r="C149" s="14">
        <v>1.42679986E8</v>
      </c>
      <c r="D149" s="2" t="s">
        <v>704</v>
      </c>
      <c r="E149" s="1" t="s">
        <v>121</v>
      </c>
      <c r="F149" s="14">
        <v>0.9422</v>
      </c>
      <c r="G149" s="15"/>
      <c r="H149" s="16"/>
      <c r="I149" s="14"/>
    </row>
    <row r="150">
      <c r="A150" s="14">
        <v>661.0</v>
      </c>
      <c r="B150" s="14">
        <v>1.8259435E7</v>
      </c>
      <c r="C150" s="14">
        <v>7.6858527E7</v>
      </c>
      <c r="D150" s="2" t="s">
        <v>706</v>
      </c>
      <c r="E150" s="1" t="s">
        <v>107</v>
      </c>
      <c r="F150" s="14">
        <v>0.9419</v>
      </c>
      <c r="G150" s="15"/>
      <c r="H150" s="16"/>
      <c r="I150" s="14"/>
    </row>
    <row r="151">
      <c r="A151" s="14">
        <v>601.0</v>
      </c>
      <c r="B151" s="14">
        <v>1.6395369E7</v>
      </c>
      <c r="C151" s="14">
        <v>6.9575789E7</v>
      </c>
      <c r="D151" s="2" t="s">
        <v>709</v>
      </c>
      <c r="E151" s="1" t="s">
        <v>107</v>
      </c>
      <c r="F151" s="14">
        <v>0.9416</v>
      </c>
      <c r="G151" s="15"/>
      <c r="H151" s="16"/>
      <c r="I151" s="14"/>
    </row>
    <row r="152">
      <c r="A152" s="14">
        <v>602.0</v>
      </c>
      <c r="B152" s="14">
        <v>3978159.0</v>
      </c>
      <c r="C152" s="14">
        <v>1.6902006E7</v>
      </c>
      <c r="D152" s="2" t="s">
        <v>712</v>
      </c>
      <c r="E152" s="1" t="s">
        <v>107</v>
      </c>
      <c r="F152" s="14">
        <v>0.9413</v>
      </c>
      <c r="G152" s="15"/>
      <c r="H152" s="16"/>
      <c r="I152" s="14"/>
    </row>
    <row r="153">
      <c r="A153" s="14">
        <v>609.0</v>
      </c>
      <c r="B153" s="14">
        <v>5274825.0</v>
      </c>
      <c r="C153" s="14">
        <v>2.26433E7</v>
      </c>
      <c r="D153" s="2" t="s">
        <v>714</v>
      </c>
      <c r="E153" s="1" t="s">
        <v>107</v>
      </c>
      <c r="F153" s="14">
        <v>0.9413</v>
      </c>
      <c r="G153" s="15"/>
      <c r="H153" s="16"/>
      <c r="I153" s="14"/>
    </row>
    <row r="154">
      <c r="A154" s="14">
        <v>676.0</v>
      </c>
      <c r="B154" s="14">
        <v>5193851.0</v>
      </c>
      <c r="C154" s="14">
        <v>2.2140696E7</v>
      </c>
      <c r="D154" s="2" t="s">
        <v>718</v>
      </c>
      <c r="E154" s="1" t="s">
        <v>107</v>
      </c>
      <c r="F154" s="14">
        <v>0.9412</v>
      </c>
      <c r="G154" s="15"/>
      <c r="H154" s="16"/>
      <c r="I154" s="14"/>
    </row>
    <row r="155">
      <c r="A155" s="14">
        <v>676.0</v>
      </c>
      <c r="B155" s="14">
        <v>7945546.0</v>
      </c>
      <c r="C155" s="14">
        <v>3.3684894E7</v>
      </c>
      <c r="D155" s="2" t="s">
        <v>720</v>
      </c>
      <c r="E155" s="1" t="s">
        <v>107</v>
      </c>
      <c r="F155" s="14">
        <v>0.9412</v>
      </c>
      <c r="G155" s="15"/>
      <c r="H155" s="16"/>
      <c r="I155" s="14"/>
    </row>
    <row r="156">
      <c r="A156" s="14">
        <v>476.0</v>
      </c>
      <c r="B156" s="14">
        <v>1.6802202E7</v>
      </c>
      <c r="C156" s="14">
        <v>7.1198315E7</v>
      </c>
      <c r="D156" s="2" t="s">
        <v>723</v>
      </c>
      <c r="E156" s="1" t="s">
        <v>121</v>
      </c>
      <c r="F156" s="14">
        <v>0.9404</v>
      </c>
      <c r="G156" s="15"/>
      <c r="H156" s="16"/>
      <c r="I156" s="14"/>
    </row>
    <row r="157">
      <c r="A157" s="14">
        <v>353.0</v>
      </c>
      <c r="B157" s="14">
        <v>1.0980525E7</v>
      </c>
      <c r="C157" s="14">
        <v>4.6697005E7</v>
      </c>
      <c r="D157" s="2" t="s">
        <v>725</v>
      </c>
      <c r="E157" s="1" t="s">
        <v>107</v>
      </c>
      <c r="F157" s="14">
        <v>0.9403</v>
      </c>
      <c r="G157" s="15"/>
      <c r="H157" s="16"/>
      <c r="I157" s="14"/>
    </row>
    <row r="158">
      <c r="A158" s="14">
        <v>673.0</v>
      </c>
      <c r="B158" s="14">
        <v>2917891.0</v>
      </c>
      <c r="C158" s="14">
        <v>3.9889798E7</v>
      </c>
      <c r="D158" s="2" t="s">
        <v>727</v>
      </c>
      <c r="E158" s="1" t="s">
        <v>121</v>
      </c>
      <c r="F158" s="14">
        <v>0.9403</v>
      </c>
      <c r="G158" s="15"/>
      <c r="H158" s="16"/>
      <c r="I158" s="14"/>
    </row>
    <row r="159">
      <c r="A159" s="14">
        <v>460.0</v>
      </c>
      <c r="B159" s="14">
        <v>6888713.0</v>
      </c>
      <c r="C159" s="14">
        <v>2.9275408E7</v>
      </c>
      <c r="D159" s="2" t="s">
        <v>731</v>
      </c>
      <c r="E159" s="1" t="s">
        <v>107</v>
      </c>
      <c r="F159" s="14">
        <v>0.9402</v>
      </c>
      <c r="G159" s="15"/>
      <c r="H159" s="16"/>
      <c r="I159" s="14"/>
    </row>
    <row r="160">
      <c r="A160" s="14">
        <v>569.0</v>
      </c>
      <c r="B160" s="14">
        <v>9647669.0</v>
      </c>
      <c r="C160" s="14">
        <v>4.0893894E7</v>
      </c>
      <c r="D160" s="2" t="s">
        <v>734</v>
      </c>
      <c r="E160" s="1" t="s">
        <v>121</v>
      </c>
      <c r="F160" s="14">
        <v>0.9401</v>
      </c>
      <c r="G160" s="15"/>
      <c r="H160" s="16"/>
      <c r="I160" s="14"/>
    </row>
    <row r="161">
      <c r="A161" s="14">
        <v>576.0</v>
      </c>
      <c r="B161" s="14">
        <v>9537229.0</v>
      </c>
      <c r="C161" s="14">
        <v>4.0426622E7</v>
      </c>
      <c r="D161" s="2" t="s">
        <v>736</v>
      </c>
      <c r="E161" s="1" t="s">
        <v>107</v>
      </c>
      <c r="F161" s="14">
        <v>0.9393</v>
      </c>
      <c r="G161" s="15"/>
      <c r="H161" s="16"/>
      <c r="I161" s="14"/>
    </row>
    <row r="162">
      <c r="A162" s="14">
        <v>609.0</v>
      </c>
      <c r="B162" s="14">
        <v>3.1584123E7</v>
      </c>
      <c r="C162" s="14">
        <v>1.26726899E8</v>
      </c>
      <c r="D162" s="2" t="s">
        <v>738</v>
      </c>
      <c r="E162" s="1" t="s">
        <v>107</v>
      </c>
      <c r="F162" s="14">
        <v>0.9393</v>
      </c>
      <c r="G162" s="15"/>
      <c r="H162" s="16"/>
      <c r="I162" s="14"/>
    </row>
    <row r="163">
      <c r="A163" s="14">
        <v>142.0</v>
      </c>
      <c r="B163" s="14">
        <v>1.3733673E7</v>
      </c>
      <c r="C163" s="14">
        <v>5.8267462E7</v>
      </c>
      <c r="D163" s="2" t="s">
        <v>741</v>
      </c>
      <c r="E163" s="1" t="s">
        <v>107</v>
      </c>
      <c r="F163" s="14">
        <v>0.9392</v>
      </c>
      <c r="G163" s="15"/>
      <c r="H163" s="16"/>
      <c r="I163" s="14"/>
    </row>
    <row r="164">
      <c r="A164" s="14">
        <v>157.0</v>
      </c>
      <c r="B164" s="14">
        <v>76947.0</v>
      </c>
      <c r="C164" s="14">
        <v>279618.0</v>
      </c>
      <c r="D164" s="2" t="s">
        <v>743</v>
      </c>
      <c r="E164" s="1" t="s">
        <v>121</v>
      </c>
      <c r="F164" s="14">
        <v>0.9392</v>
      </c>
      <c r="G164" s="15"/>
      <c r="H164" s="16"/>
      <c r="I164" s="14"/>
    </row>
    <row r="165">
      <c r="A165" s="14">
        <v>571.0</v>
      </c>
      <c r="B165" s="14">
        <v>6.4708924E7</v>
      </c>
      <c r="C165" s="14">
        <v>2.63457488E8</v>
      </c>
      <c r="D165" s="2" t="s">
        <v>746</v>
      </c>
      <c r="E165" s="1" t="s">
        <v>107</v>
      </c>
      <c r="F165" s="14">
        <v>0.939</v>
      </c>
      <c r="G165" s="15"/>
      <c r="H165" s="16"/>
      <c r="I165" s="14"/>
    </row>
    <row r="166">
      <c r="A166" s="14">
        <v>525.0</v>
      </c>
      <c r="B166" s="14">
        <v>5072487.0</v>
      </c>
      <c r="C166" s="14">
        <v>2.1578353E7</v>
      </c>
      <c r="D166" s="2" t="s">
        <v>748</v>
      </c>
      <c r="E166" s="1" t="s">
        <v>107</v>
      </c>
      <c r="F166" s="14">
        <v>0.9387</v>
      </c>
      <c r="G166" s="15"/>
      <c r="H166" s="16"/>
      <c r="I166" s="14"/>
    </row>
    <row r="167">
      <c r="A167" s="14">
        <v>458.0</v>
      </c>
      <c r="B167" s="14">
        <v>2128794.0</v>
      </c>
      <c r="C167" s="14">
        <v>9172722.0</v>
      </c>
      <c r="D167" s="2" t="s">
        <v>751</v>
      </c>
      <c r="E167" s="1" t="s">
        <v>121</v>
      </c>
      <c r="F167" s="14">
        <v>0.9386</v>
      </c>
      <c r="G167" s="15"/>
      <c r="H167" s="16"/>
      <c r="I167" s="14"/>
    </row>
    <row r="168">
      <c r="A168" s="14">
        <v>481.0</v>
      </c>
      <c r="B168" s="14">
        <v>5366892.0</v>
      </c>
      <c r="C168" s="14">
        <v>2.2922815E7</v>
      </c>
      <c r="D168" s="2" t="s">
        <v>754</v>
      </c>
      <c r="E168" s="1" t="s">
        <v>107</v>
      </c>
      <c r="F168" s="14">
        <v>0.9381</v>
      </c>
      <c r="G168" s="15"/>
      <c r="H168" s="16"/>
      <c r="I168" s="14"/>
    </row>
    <row r="169">
      <c r="A169" s="14">
        <v>569.0</v>
      </c>
      <c r="B169" s="14">
        <v>6.6575055E7</v>
      </c>
      <c r="C169" s="14">
        <v>2.72065075E8</v>
      </c>
      <c r="D169" s="2" t="s">
        <v>756</v>
      </c>
      <c r="E169" s="1" t="s">
        <v>107</v>
      </c>
      <c r="F169" s="14">
        <v>0.9381</v>
      </c>
      <c r="G169" s="15"/>
      <c r="H169" s="16"/>
      <c r="I169" s="14"/>
    </row>
    <row r="170">
      <c r="A170" s="14">
        <v>378.0</v>
      </c>
      <c r="B170" s="14">
        <v>9216448.0</v>
      </c>
      <c r="C170" s="14">
        <v>3.9125103E7</v>
      </c>
      <c r="D170" s="2" t="s">
        <v>758</v>
      </c>
      <c r="E170" s="1" t="s">
        <v>107</v>
      </c>
      <c r="F170" s="14">
        <v>0.9379</v>
      </c>
      <c r="G170" s="15"/>
      <c r="H170" s="16"/>
      <c r="I170" s="14"/>
    </row>
    <row r="171">
      <c r="A171" s="14">
        <v>210.0</v>
      </c>
      <c r="B171" s="14">
        <v>5.892492E7</v>
      </c>
      <c r="C171" s="14">
        <v>2.3533115E8</v>
      </c>
      <c r="D171" s="2" t="s">
        <v>761</v>
      </c>
      <c r="E171" s="1" t="s">
        <v>107</v>
      </c>
      <c r="F171" s="14">
        <v>0.9371</v>
      </c>
      <c r="G171" s="15"/>
      <c r="H171" s="16"/>
      <c r="I171" s="14"/>
    </row>
    <row r="172">
      <c r="A172" s="14">
        <v>353.0</v>
      </c>
      <c r="B172" s="14">
        <v>9.6279453E7</v>
      </c>
      <c r="C172" s="14">
        <v>4.10721155E8</v>
      </c>
      <c r="D172" s="2" t="s">
        <v>764</v>
      </c>
      <c r="E172" s="1" t="s">
        <v>107</v>
      </c>
      <c r="F172" s="14">
        <v>0.9371</v>
      </c>
      <c r="G172" s="15"/>
      <c r="H172" s="16"/>
      <c r="I172" s="14"/>
    </row>
    <row r="173">
      <c r="A173" s="14">
        <v>112.0</v>
      </c>
      <c r="B173" s="14">
        <v>309007.0</v>
      </c>
      <c r="C173" s="14">
        <v>1323196.0</v>
      </c>
      <c r="D173" s="2" t="s">
        <v>767</v>
      </c>
      <c r="E173" s="1" t="s">
        <v>121</v>
      </c>
      <c r="F173" s="14">
        <v>0.9371</v>
      </c>
      <c r="G173" s="15"/>
      <c r="H173" s="16"/>
      <c r="I173" s="14"/>
    </row>
    <row r="174">
      <c r="A174" s="14">
        <v>716.0</v>
      </c>
      <c r="B174" s="14">
        <v>6.158436E7</v>
      </c>
      <c r="C174" s="14">
        <v>2.48203666E8</v>
      </c>
      <c r="D174" s="2" t="s">
        <v>770</v>
      </c>
      <c r="E174" s="1" t="s">
        <v>121</v>
      </c>
      <c r="F174" s="14">
        <v>0.937</v>
      </c>
      <c r="G174" s="15"/>
      <c r="H174" s="16"/>
      <c r="I174" s="14"/>
    </row>
    <row r="175">
      <c r="A175" s="14">
        <v>321.0</v>
      </c>
      <c r="B175" s="14">
        <v>1704346.0</v>
      </c>
      <c r="C175" s="14">
        <v>1.1531052E7</v>
      </c>
      <c r="D175" s="2" t="s">
        <v>774</v>
      </c>
      <c r="E175" s="1" t="s">
        <v>107</v>
      </c>
      <c r="F175" s="14">
        <v>0.9368</v>
      </c>
      <c r="G175" s="15"/>
      <c r="H175" s="16"/>
      <c r="I175" s="14"/>
    </row>
    <row r="176">
      <c r="A176" s="14">
        <v>569.0</v>
      </c>
      <c r="B176" s="14">
        <v>7287085.0</v>
      </c>
      <c r="C176" s="14">
        <v>3.1041931E7</v>
      </c>
      <c r="D176" s="2" t="s">
        <v>775</v>
      </c>
      <c r="E176" s="1" t="s">
        <v>121</v>
      </c>
      <c r="F176" s="14">
        <v>0.9368</v>
      </c>
      <c r="G176" s="15"/>
      <c r="H176" s="16"/>
      <c r="I176" s="14"/>
    </row>
    <row r="177">
      <c r="A177" s="14">
        <v>473.0</v>
      </c>
      <c r="B177" s="14">
        <v>2.3102647E7</v>
      </c>
      <c r="C177" s="14">
        <v>9.5097012E7</v>
      </c>
      <c r="D177" s="2" t="s">
        <v>776</v>
      </c>
      <c r="E177" s="1" t="s">
        <v>121</v>
      </c>
      <c r="F177" s="14">
        <v>0.9366</v>
      </c>
      <c r="G177" s="15"/>
      <c r="H177" s="16"/>
      <c r="I177" s="14"/>
    </row>
    <row r="178">
      <c r="A178" s="14">
        <v>492.0</v>
      </c>
      <c r="B178" s="14">
        <v>6.5841134E7</v>
      </c>
      <c r="C178" s="14">
        <v>2.68671912E8</v>
      </c>
      <c r="D178" s="2" t="s">
        <v>779</v>
      </c>
      <c r="E178" s="1" t="s">
        <v>107</v>
      </c>
      <c r="F178" s="14">
        <v>0.9363</v>
      </c>
      <c r="G178" s="15"/>
      <c r="H178" s="16"/>
      <c r="I178" s="14"/>
    </row>
    <row r="179">
      <c r="A179" s="14">
        <v>596.0</v>
      </c>
      <c r="B179" s="14">
        <v>5230651.0</v>
      </c>
      <c r="C179" s="14">
        <v>5.8885907E7</v>
      </c>
      <c r="D179" s="2" t="s">
        <v>783</v>
      </c>
      <c r="E179" s="1" t="s">
        <v>107</v>
      </c>
      <c r="F179" s="14">
        <v>0.936</v>
      </c>
      <c r="G179" s="15"/>
      <c r="H179" s="16"/>
      <c r="I179" s="14"/>
    </row>
    <row r="180">
      <c r="A180" s="14">
        <v>610.0</v>
      </c>
      <c r="B180" s="14">
        <v>7.3569011E7</v>
      </c>
      <c r="C180" s="14">
        <v>3.04622121E8</v>
      </c>
      <c r="D180" s="2" t="s">
        <v>785</v>
      </c>
      <c r="E180" s="1" t="s">
        <v>107</v>
      </c>
      <c r="F180" s="14">
        <v>0.936</v>
      </c>
      <c r="G180" s="15"/>
      <c r="H180" s="16"/>
      <c r="I180" s="14"/>
    </row>
    <row r="181">
      <c r="A181" s="14">
        <v>694.0</v>
      </c>
      <c r="B181" s="14">
        <v>2740971.0</v>
      </c>
      <c r="C181" s="14">
        <v>1.513797E7</v>
      </c>
      <c r="D181" s="2" t="s">
        <v>788</v>
      </c>
      <c r="E181" s="1" t="s">
        <v>121</v>
      </c>
      <c r="F181" s="14">
        <v>0.936</v>
      </c>
      <c r="G181" s="15"/>
      <c r="H181" s="16"/>
      <c r="I181" s="14"/>
    </row>
    <row r="182">
      <c r="A182" s="14">
        <v>120.0</v>
      </c>
      <c r="B182" s="14">
        <v>956436.0</v>
      </c>
      <c r="C182" s="14">
        <v>4427533.0</v>
      </c>
      <c r="D182" s="2" t="s">
        <v>791</v>
      </c>
      <c r="E182" s="1" t="s">
        <v>107</v>
      </c>
      <c r="F182" s="14">
        <v>0.9348</v>
      </c>
      <c r="G182" s="15"/>
      <c r="H182" s="16"/>
      <c r="I182" s="14"/>
    </row>
    <row r="183">
      <c r="A183" s="14">
        <v>671.0</v>
      </c>
      <c r="B183" s="14">
        <v>4.6348005E7</v>
      </c>
      <c r="C183" s="14">
        <v>1.831613E8</v>
      </c>
      <c r="D183" s="2" t="s">
        <v>794</v>
      </c>
      <c r="E183" s="1" t="s">
        <v>107</v>
      </c>
      <c r="F183" s="14">
        <v>0.9347</v>
      </c>
      <c r="G183" s="15"/>
      <c r="H183" s="16"/>
      <c r="I183" s="14"/>
    </row>
    <row r="184">
      <c r="A184" s="14">
        <v>403.0</v>
      </c>
      <c r="B184" s="14">
        <v>776887.0</v>
      </c>
      <c r="C184" s="14">
        <v>3718824.0</v>
      </c>
      <c r="D184" s="2" t="s">
        <v>797</v>
      </c>
      <c r="E184" s="1" t="s">
        <v>121</v>
      </c>
      <c r="F184" s="14">
        <v>0.9347</v>
      </c>
      <c r="G184" s="15"/>
      <c r="H184" s="16"/>
      <c r="I184" s="14"/>
    </row>
    <row r="185">
      <c r="A185" s="14">
        <v>120.0</v>
      </c>
      <c r="B185" s="14">
        <v>725654.0</v>
      </c>
      <c r="C185" s="14">
        <v>3502892.0</v>
      </c>
      <c r="D185" s="2" t="s">
        <v>800</v>
      </c>
      <c r="E185" s="1" t="s">
        <v>121</v>
      </c>
      <c r="F185" s="14">
        <v>0.9346</v>
      </c>
      <c r="G185" s="15"/>
      <c r="H185" s="16"/>
      <c r="I185" s="14"/>
    </row>
    <row r="186">
      <c r="A186" s="14">
        <v>194.0</v>
      </c>
      <c r="B186" s="14">
        <v>8.2067364E7</v>
      </c>
      <c r="C186" s="14">
        <v>3.43691519E8</v>
      </c>
      <c r="D186" s="2" t="s">
        <v>803</v>
      </c>
      <c r="E186" s="1" t="s">
        <v>107</v>
      </c>
      <c r="F186" s="14">
        <v>0.9343</v>
      </c>
      <c r="G186" s="15"/>
      <c r="H186" s="16"/>
      <c r="I186" s="14"/>
    </row>
    <row r="187">
      <c r="A187" s="14">
        <v>671.0</v>
      </c>
      <c r="B187" s="14">
        <v>9020587.0</v>
      </c>
      <c r="C187" s="14">
        <v>3.8294572E7</v>
      </c>
      <c r="D187" s="2" t="s">
        <v>805</v>
      </c>
      <c r="E187" s="1" t="s">
        <v>107</v>
      </c>
      <c r="F187" s="14">
        <v>0.9342</v>
      </c>
      <c r="G187" s="15"/>
      <c r="H187" s="16"/>
      <c r="I187" s="14"/>
    </row>
    <row r="188">
      <c r="A188" s="14">
        <v>671.0</v>
      </c>
      <c r="B188" s="14">
        <v>7994884.0</v>
      </c>
      <c r="C188" s="14">
        <v>3.3872233E7</v>
      </c>
      <c r="D188" s="2" t="s">
        <v>807</v>
      </c>
      <c r="E188" s="1" t="s">
        <v>107</v>
      </c>
      <c r="F188" s="14">
        <v>0.9339</v>
      </c>
      <c r="G188" s="15"/>
      <c r="H188" s="16"/>
      <c r="I188" s="14"/>
    </row>
    <row r="189">
      <c r="A189" s="14">
        <v>410.0</v>
      </c>
      <c r="B189" s="14">
        <v>1.07350909E8</v>
      </c>
      <c r="C189" s="14">
        <v>4.63313151E8</v>
      </c>
      <c r="D189" s="2" t="s">
        <v>255</v>
      </c>
      <c r="E189" s="1" t="s">
        <v>107</v>
      </c>
      <c r="F189" s="14">
        <v>0.9337</v>
      </c>
      <c r="G189" s="15"/>
      <c r="H189" s="16"/>
      <c r="I189" s="14"/>
    </row>
    <row r="190">
      <c r="A190" s="14">
        <v>504.0</v>
      </c>
      <c r="B190" s="14">
        <v>1.1151984E7</v>
      </c>
      <c r="C190" s="14">
        <v>4.7422655E7</v>
      </c>
      <c r="D190" s="2" t="s">
        <v>814</v>
      </c>
      <c r="E190" s="1" t="s">
        <v>121</v>
      </c>
      <c r="F190" s="14">
        <v>0.9337</v>
      </c>
      <c r="G190" s="15"/>
      <c r="H190" s="16"/>
      <c r="I190" s="14"/>
    </row>
    <row r="191">
      <c r="A191" s="14">
        <v>609.0</v>
      </c>
      <c r="B191" s="14">
        <v>9882669.0</v>
      </c>
      <c r="C191" s="14">
        <v>4.2005884E7</v>
      </c>
      <c r="D191" s="2" t="s">
        <v>817</v>
      </c>
      <c r="E191" s="1" t="s">
        <v>107</v>
      </c>
      <c r="F191" s="14">
        <v>0.9336</v>
      </c>
      <c r="G191" s="15"/>
      <c r="H191" s="16"/>
      <c r="I191" s="14"/>
    </row>
    <row r="192">
      <c r="A192" s="14">
        <v>172.0</v>
      </c>
      <c r="B192" s="14">
        <v>1.9225872E7</v>
      </c>
      <c r="C192" s="14">
        <v>8.043553E7</v>
      </c>
      <c r="D192" s="2" t="s">
        <v>819</v>
      </c>
      <c r="E192" s="1" t="s">
        <v>121</v>
      </c>
      <c r="F192" s="14">
        <v>0.9333</v>
      </c>
      <c r="G192" s="15"/>
      <c r="H192" s="16"/>
      <c r="I192" s="14"/>
    </row>
    <row r="193">
      <c r="A193" s="14">
        <v>378.0</v>
      </c>
      <c r="B193" s="14">
        <v>4.3573667E7</v>
      </c>
      <c r="C193" s="14">
        <v>1.72286135E8</v>
      </c>
      <c r="D193" s="2" t="s">
        <v>822</v>
      </c>
      <c r="E193" s="1" t="s">
        <v>107</v>
      </c>
      <c r="F193" s="14">
        <v>0.9329</v>
      </c>
      <c r="G193" s="15"/>
      <c r="H193" s="16"/>
      <c r="I193" s="14"/>
    </row>
    <row r="194">
      <c r="A194" s="14">
        <v>644.0</v>
      </c>
      <c r="B194" s="14">
        <v>5216418.0</v>
      </c>
      <c r="C194" s="14">
        <v>2.227334E7</v>
      </c>
      <c r="D194" s="2" t="s">
        <v>826</v>
      </c>
      <c r="E194" s="1" t="s">
        <v>107</v>
      </c>
      <c r="F194" s="14">
        <v>0.9325</v>
      </c>
      <c r="G194" s="15"/>
      <c r="H194" s="16"/>
      <c r="I194" s="14"/>
    </row>
    <row r="195">
      <c r="A195" s="14">
        <v>173.0</v>
      </c>
      <c r="B195" s="14">
        <v>6.5904589E7</v>
      </c>
      <c r="C195" s="14">
        <v>2.68839033E8</v>
      </c>
      <c r="D195" s="2" t="s">
        <v>828</v>
      </c>
      <c r="E195" s="1" t="s">
        <v>107</v>
      </c>
      <c r="F195" s="14">
        <v>0.9325</v>
      </c>
      <c r="G195" s="15"/>
      <c r="H195" s="16"/>
      <c r="I195" s="14"/>
    </row>
    <row r="196">
      <c r="A196" s="14">
        <v>578.0</v>
      </c>
      <c r="B196" s="14">
        <v>1.00623047E8</v>
      </c>
      <c r="C196" s="14">
        <v>4.31283644E8</v>
      </c>
      <c r="D196" s="2" t="s">
        <v>554</v>
      </c>
      <c r="E196" s="1" t="s">
        <v>107</v>
      </c>
      <c r="F196" s="14">
        <v>0.9325</v>
      </c>
      <c r="G196" s="15"/>
      <c r="H196" s="16"/>
      <c r="I196" s="14"/>
    </row>
    <row r="197">
      <c r="A197" s="14">
        <v>321.0</v>
      </c>
      <c r="B197" s="14">
        <v>3759213.0</v>
      </c>
      <c r="C197" s="14">
        <v>1.5927671E7</v>
      </c>
      <c r="D197" s="2" t="s">
        <v>833</v>
      </c>
      <c r="E197" s="1" t="s">
        <v>107</v>
      </c>
      <c r="F197" s="14">
        <v>0.9324</v>
      </c>
      <c r="G197" s="15"/>
      <c r="H197" s="16"/>
      <c r="I197" s="14"/>
    </row>
    <row r="198">
      <c r="A198" s="14">
        <v>225.0</v>
      </c>
      <c r="B198" s="14">
        <v>7858246.0</v>
      </c>
      <c r="C198" s="14">
        <v>3.3423729E7</v>
      </c>
      <c r="D198" s="2" t="s">
        <v>836</v>
      </c>
      <c r="E198" s="1" t="s">
        <v>107</v>
      </c>
      <c r="F198" s="14">
        <v>0.9324</v>
      </c>
      <c r="G198" s="15"/>
      <c r="H198" s="16"/>
      <c r="I198" s="14"/>
    </row>
    <row r="199">
      <c r="A199" s="14">
        <v>403.0</v>
      </c>
      <c r="B199" s="14">
        <v>7.7851252E7</v>
      </c>
      <c r="C199" s="14">
        <v>4.0698211E8</v>
      </c>
      <c r="D199" s="2" t="s">
        <v>838</v>
      </c>
      <c r="E199" s="1" t="s">
        <v>107</v>
      </c>
      <c r="F199" s="14">
        <v>0.9324</v>
      </c>
      <c r="G199" s="15"/>
      <c r="H199" s="16"/>
      <c r="I199" s="14"/>
    </row>
    <row r="200">
      <c r="A200" s="14">
        <v>595.0</v>
      </c>
      <c r="B200" s="14">
        <v>3961510.0</v>
      </c>
      <c r="C200" s="14">
        <v>1.6806618E7</v>
      </c>
      <c r="D200" s="2" t="s">
        <v>841</v>
      </c>
      <c r="E200" s="1" t="s">
        <v>107</v>
      </c>
      <c r="F200" s="14">
        <v>0.9322</v>
      </c>
      <c r="G200" s="15"/>
      <c r="H200" s="16"/>
      <c r="I200" s="14"/>
    </row>
    <row r="201">
      <c r="A201" s="14">
        <v>504.0</v>
      </c>
      <c r="B201" s="14">
        <v>2.7966504E7</v>
      </c>
      <c r="C201" s="14">
        <v>1.12810126E8</v>
      </c>
      <c r="D201" s="2" t="s">
        <v>845</v>
      </c>
      <c r="E201" s="1" t="s">
        <v>107</v>
      </c>
      <c r="F201" s="14">
        <v>0.9322</v>
      </c>
      <c r="G201" s="15"/>
      <c r="H201" s="16"/>
      <c r="I201" s="14"/>
    </row>
    <row r="202">
      <c r="A202" s="14">
        <v>215.0</v>
      </c>
      <c r="B202" s="14">
        <v>2571361.0</v>
      </c>
      <c r="C202" s="14">
        <v>1.091448E7</v>
      </c>
      <c r="D202" s="2" t="s">
        <v>847</v>
      </c>
      <c r="E202" s="1" t="s">
        <v>107</v>
      </c>
      <c r="F202" s="14">
        <v>0.9319</v>
      </c>
      <c r="G202" s="15"/>
      <c r="H202" s="16"/>
      <c r="I202" s="14"/>
    </row>
    <row r="203">
      <c r="A203" s="14">
        <v>215.0</v>
      </c>
      <c r="B203" s="14">
        <v>1.3576831E7</v>
      </c>
      <c r="C203" s="14">
        <v>5.7776103E7</v>
      </c>
      <c r="D203" s="2" t="s">
        <v>849</v>
      </c>
      <c r="E203" s="1" t="s">
        <v>121</v>
      </c>
      <c r="F203" s="14">
        <v>0.9313</v>
      </c>
      <c r="G203" s="15"/>
      <c r="H203" s="16"/>
      <c r="I203" s="14"/>
    </row>
    <row r="204">
      <c r="A204" s="14">
        <v>172.0</v>
      </c>
      <c r="B204" s="14">
        <v>793889.0</v>
      </c>
      <c r="C204" s="14">
        <v>3784227.0</v>
      </c>
      <c r="D204" s="2" t="s">
        <v>852</v>
      </c>
      <c r="E204" s="1" t="s">
        <v>121</v>
      </c>
      <c r="F204" s="14">
        <v>0.9311</v>
      </c>
      <c r="G204" s="15"/>
      <c r="H204" s="16"/>
      <c r="I204" s="14"/>
    </row>
    <row r="205">
      <c r="A205" s="14">
        <v>630.0</v>
      </c>
      <c r="B205" s="14">
        <v>9.8000678E7</v>
      </c>
      <c r="C205" s="14">
        <v>4.19322903E8</v>
      </c>
      <c r="D205" s="2" t="s">
        <v>705</v>
      </c>
      <c r="E205" s="1" t="s">
        <v>107</v>
      </c>
      <c r="F205" s="14">
        <v>0.9306</v>
      </c>
      <c r="G205" s="15"/>
      <c r="H205" s="16"/>
      <c r="I205" s="14"/>
    </row>
    <row r="206">
      <c r="A206" s="14">
        <v>414.0</v>
      </c>
      <c r="B206" s="14">
        <v>1.3579814E7</v>
      </c>
      <c r="C206" s="14">
        <v>5.7615305E7</v>
      </c>
      <c r="D206" s="2" t="s">
        <v>856</v>
      </c>
      <c r="E206" s="1" t="s">
        <v>121</v>
      </c>
      <c r="F206" s="14">
        <v>0.9305</v>
      </c>
      <c r="G206" s="15"/>
      <c r="H206" s="16"/>
      <c r="I206" s="14"/>
    </row>
    <row r="207">
      <c r="A207" s="14">
        <v>414.0</v>
      </c>
      <c r="B207" s="14">
        <v>4992107.0</v>
      </c>
      <c r="C207" s="14">
        <v>2.1231543E7</v>
      </c>
      <c r="D207" s="2" t="s">
        <v>859</v>
      </c>
      <c r="E207" s="1" t="s">
        <v>107</v>
      </c>
      <c r="F207" s="14">
        <v>0.9299</v>
      </c>
      <c r="G207" s="15"/>
      <c r="H207" s="16"/>
      <c r="I207" s="14"/>
    </row>
    <row r="208">
      <c r="A208" s="14">
        <v>609.0</v>
      </c>
      <c r="B208" s="14">
        <v>3.0655367E7</v>
      </c>
      <c r="C208" s="14">
        <v>1.2300461E8</v>
      </c>
      <c r="D208" s="2" t="s">
        <v>862</v>
      </c>
      <c r="E208" s="1" t="s">
        <v>121</v>
      </c>
      <c r="F208" s="14">
        <v>0.9298</v>
      </c>
      <c r="G208" s="15"/>
      <c r="H208" s="16"/>
      <c r="I208" s="14"/>
    </row>
    <row r="209">
      <c r="A209" s="14">
        <v>669.0</v>
      </c>
      <c r="B209" s="14">
        <v>5.8771559E7</v>
      </c>
      <c r="C209" s="14">
        <v>2.34596955E8</v>
      </c>
      <c r="D209" s="2" t="s">
        <v>865</v>
      </c>
      <c r="E209" s="1" t="s">
        <v>107</v>
      </c>
      <c r="F209" s="14">
        <v>0.9296</v>
      </c>
      <c r="G209" s="15"/>
      <c r="H209" s="16"/>
      <c r="I209" s="14"/>
    </row>
    <row r="210">
      <c r="A210" s="14">
        <v>531.0</v>
      </c>
      <c r="B210" s="14">
        <v>6763430.0</v>
      </c>
      <c r="C210" s="14">
        <v>2.8804278E7</v>
      </c>
      <c r="D210" s="2" t="s">
        <v>868</v>
      </c>
      <c r="E210" s="1" t="s">
        <v>121</v>
      </c>
      <c r="F210" s="14">
        <v>0.9294</v>
      </c>
      <c r="G210" s="15"/>
      <c r="H210" s="16"/>
      <c r="I210" s="14"/>
    </row>
    <row r="211">
      <c r="A211" s="14">
        <v>410.0</v>
      </c>
      <c r="B211" s="14">
        <v>836205.0</v>
      </c>
      <c r="C211" s="14">
        <v>3961571.0</v>
      </c>
      <c r="D211" s="2" t="s">
        <v>871</v>
      </c>
      <c r="E211" s="1" t="s">
        <v>121</v>
      </c>
      <c r="F211" s="14">
        <v>0.9287</v>
      </c>
      <c r="G211" s="15"/>
      <c r="H211" s="16"/>
      <c r="I211" s="14"/>
    </row>
    <row r="212">
      <c r="A212" s="14">
        <v>473.0</v>
      </c>
      <c r="B212" s="14">
        <v>1539552.0</v>
      </c>
      <c r="C212" s="14">
        <v>6779233.0</v>
      </c>
      <c r="D212" s="2" t="s">
        <v>874</v>
      </c>
      <c r="E212" s="1" t="s">
        <v>121</v>
      </c>
      <c r="F212" s="14">
        <v>0.9287</v>
      </c>
      <c r="G212" s="15"/>
      <c r="H212" s="16"/>
      <c r="I212" s="14"/>
    </row>
    <row r="213">
      <c r="A213" s="14">
        <v>120.0</v>
      </c>
      <c r="B213" s="14">
        <v>3107731.0</v>
      </c>
      <c r="C213" s="14">
        <v>1.3196484E7</v>
      </c>
      <c r="D213" s="2" t="s">
        <v>876</v>
      </c>
      <c r="E213" s="1" t="s">
        <v>107</v>
      </c>
      <c r="F213" s="14">
        <v>0.9284</v>
      </c>
      <c r="G213" s="15"/>
      <c r="H213" s="16"/>
      <c r="I213" s="14"/>
    </row>
    <row r="214">
      <c r="A214" s="14">
        <v>476.0</v>
      </c>
      <c r="B214" s="14">
        <v>1043580.0</v>
      </c>
      <c r="C214" s="14">
        <v>4788270.0</v>
      </c>
      <c r="D214" s="2" t="s">
        <v>881</v>
      </c>
      <c r="E214" s="1" t="s">
        <v>121</v>
      </c>
      <c r="F214" s="14">
        <v>0.9277</v>
      </c>
      <c r="G214" s="15"/>
      <c r="H214" s="16"/>
      <c r="I214" s="14"/>
    </row>
    <row r="215">
      <c r="A215" s="14">
        <v>321.0</v>
      </c>
      <c r="B215" s="14">
        <v>1.0211561E7</v>
      </c>
      <c r="C215" s="14">
        <v>4.3327356E7</v>
      </c>
      <c r="D215" s="2" t="s">
        <v>883</v>
      </c>
      <c r="E215" s="1" t="s">
        <v>107</v>
      </c>
      <c r="F215" s="14">
        <v>0.9275</v>
      </c>
      <c r="G215" s="15"/>
      <c r="H215" s="16"/>
      <c r="I215" s="14"/>
    </row>
    <row r="216">
      <c r="A216" s="14">
        <v>414.0</v>
      </c>
      <c r="B216" s="14">
        <v>6220048.0</v>
      </c>
      <c r="C216" s="14">
        <v>2.6405886E7</v>
      </c>
      <c r="D216" s="2" t="s">
        <v>886</v>
      </c>
      <c r="E216" s="1" t="s">
        <v>121</v>
      </c>
      <c r="F216" s="14">
        <v>0.9275</v>
      </c>
      <c r="G216" s="15"/>
      <c r="H216" s="16"/>
      <c r="I216" s="14"/>
    </row>
    <row r="217">
      <c r="A217" s="14">
        <v>602.0</v>
      </c>
      <c r="B217" s="14">
        <v>2871708.0</v>
      </c>
      <c r="C217" s="14">
        <v>1.4348615E7</v>
      </c>
      <c r="D217" s="2" t="s">
        <v>889</v>
      </c>
      <c r="E217" s="1" t="s">
        <v>107</v>
      </c>
      <c r="F217" s="14">
        <v>0.9274</v>
      </c>
      <c r="G217" s="15"/>
      <c r="H217" s="16"/>
      <c r="I217" s="14"/>
    </row>
    <row r="218">
      <c r="A218" s="14">
        <v>173.0</v>
      </c>
      <c r="B218" s="14">
        <v>9.6890986E7</v>
      </c>
      <c r="C218" s="14">
        <v>4.1354929E8</v>
      </c>
      <c r="D218" s="2" t="s">
        <v>768</v>
      </c>
      <c r="E218" s="1" t="s">
        <v>107</v>
      </c>
      <c r="F218" s="14">
        <v>0.9268</v>
      </c>
      <c r="G218" s="15"/>
      <c r="H218" s="16"/>
      <c r="I218" s="14"/>
    </row>
    <row r="219">
      <c r="A219" s="14">
        <v>379.0</v>
      </c>
      <c r="B219" s="14">
        <v>6843600.0</v>
      </c>
      <c r="C219" s="14">
        <v>2.9073335E7</v>
      </c>
      <c r="D219" s="2" t="s">
        <v>894</v>
      </c>
      <c r="E219" s="1" t="s">
        <v>121</v>
      </c>
      <c r="F219" s="14">
        <v>0.926</v>
      </c>
      <c r="G219" s="15"/>
      <c r="H219" s="16"/>
      <c r="I219" s="14"/>
    </row>
    <row r="220">
      <c r="A220" s="14">
        <v>408.0</v>
      </c>
      <c r="B220" s="14">
        <v>7.9506186E7</v>
      </c>
      <c r="C220" s="14">
        <v>3.33348659E8</v>
      </c>
      <c r="D220" s="2" t="s">
        <v>896</v>
      </c>
      <c r="E220" s="1" t="s">
        <v>107</v>
      </c>
      <c r="F220" s="14">
        <v>0.9259</v>
      </c>
      <c r="G220" s="15"/>
      <c r="H220" s="16"/>
      <c r="I220" s="14"/>
    </row>
    <row r="221">
      <c r="A221" s="14">
        <v>405.0</v>
      </c>
      <c r="B221" s="14">
        <v>3346771.0</v>
      </c>
      <c r="C221" s="14">
        <v>1.4199427E7</v>
      </c>
      <c r="D221" s="2" t="s">
        <v>899</v>
      </c>
      <c r="E221" s="1" t="s">
        <v>121</v>
      </c>
      <c r="F221" s="14">
        <v>0.9257</v>
      </c>
      <c r="G221" s="15"/>
      <c r="H221" s="16"/>
      <c r="I221" s="14"/>
    </row>
    <row r="222">
      <c r="A222" s="14">
        <v>676.0</v>
      </c>
      <c r="B222" s="14">
        <v>2283662.0</v>
      </c>
      <c r="C222" s="14">
        <v>4.451399E7</v>
      </c>
      <c r="D222" s="2" t="s">
        <v>902</v>
      </c>
      <c r="E222" s="1" t="s">
        <v>107</v>
      </c>
      <c r="F222" s="14">
        <v>0.9256</v>
      </c>
      <c r="G222" s="15"/>
      <c r="H222" s="16"/>
      <c r="I222" s="14"/>
    </row>
    <row r="223">
      <c r="A223" s="14">
        <v>12.0</v>
      </c>
      <c r="B223" s="14">
        <v>1314903.0</v>
      </c>
      <c r="C223" s="14">
        <v>5870072.0</v>
      </c>
      <c r="D223" s="2" t="s">
        <v>906</v>
      </c>
      <c r="E223" s="1" t="s">
        <v>121</v>
      </c>
      <c r="F223" s="14">
        <v>0.9255</v>
      </c>
      <c r="G223" s="15"/>
      <c r="H223" s="16"/>
      <c r="I223" s="14"/>
    </row>
    <row r="224">
      <c r="A224" s="14">
        <v>661.0</v>
      </c>
      <c r="B224" s="14">
        <v>4.466008E7</v>
      </c>
      <c r="C224" s="14">
        <v>1.76481747E8</v>
      </c>
      <c r="D224" s="2" t="s">
        <v>908</v>
      </c>
      <c r="E224" s="1" t="s">
        <v>699</v>
      </c>
      <c r="F224" s="14">
        <v>0.9254</v>
      </c>
      <c r="G224" s="15"/>
      <c r="H224" s="16"/>
      <c r="I224" s="14"/>
    </row>
    <row r="225">
      <c r="A225" s="14">
        <v>172.0</v>
      </c>
      <c r="B225" s="14">
        <v>1671887.0</v>
      </c>
      <c r="C225" s="14">
        <v>7302648.0</v>
      </c>
      <c r="D225" s="2" t="s">
        <v>911</v>
      </c>
      <c r="E225" s="1" t="s">
        <v>121</v>
      </c>
      <c r="F225" s="14">
        <v>0.9253</v>
      </c>
      <c r="G225" s="15"/>
      <c r="H225" s="16"/>
      <c r="I225" s="14"/>
    </row>
    <row r="226">
      <c r="A226" s="14">
        <v>694.0</v>
      </c>
      <c r="B226" s="14">
        <v>2.0997401E7</v>
      </c>
      <c r="C226" s="14">
        <v>8.7095889E7</v>
      </c>
      <c r="D226" s="2" t="s">
        <v>913</v>
      </c>
      <c r="E226" s="1" t="s">
        <v>107</v>
      </c>
      <c r="F226" s="14">
        <v>0.925</v>
      </c>
      <c r="G226" s="15"/>
      <c r="H226" s="16"/>
      <c r="I226" s="14"/>
    </row>
    <row r="227">
      <c r="A227" s="14">
        <v>410.0</v>
      </c>
      <c r="B227" s="14">
        <v>840120.0</v>
      </c>
      <c r="C227" s="14">
        <v>3971407.0</v>
      </c>
      <c r="D227" s="2" t="s">
        <v>916</v>
      </c>
      <c r="E227" s="1" t="s">
        <v>107</v>
      </c>
      <c r="F227" s="14">
        <v>0.9244</v>
      </c>
      <c r="G227" s="15"/>
      <c r="H227" s="16"/>
      <c r="I227" s="14"/>
    </row>
    <row r="228">
      <c r="A228" s="14">
        <v>414.0</v>
      </c>
      <c r="B228" s="14">
        <v>1.0720997E7</v>
      </c>
      <c r="C228" s="14">
        <v>4.5551914E7</v>
      </c>
      <c r="D228" s="2" t="s">
        <v>920</v>
      </c>
      <c r="E228" s="1" t="s">
        <v>121</v>
      </c>
      <c r="F228" s="14">
        <v>0.9237</v>
      </c>
      <c r="G228" s="15"/>
      <c r="H228" s="16"/>
      <c r="I228" s="14"/>
    </row>
    <row r="229">
      <c r="A229" s="14">
        <v>337.0</v>
      </c>
      <c r="B229" s="14">
        <v>7.5851136E7</v>
      </c>
      <c r="C229" s="14">
        <v>3.36823134E8</v>
      </c>
      <c r="D229" s="2" t="s">
        <v>922</v>
      </c>
      <c r="E229" s="1" t="s">
        <v>107</v>
      </c>
      <c r="F229" s="14">
        <v>0.9235</v>
      </c>
      <c r="G229" s="15"/>
      <c r="H229" s="16"/>
      <c r="I229" s="14"/>
    </row>
    <row r="230">
      <c r="A230" s="14">
        <v>564.0</v>
      </c>
      <c r="B230" s="14">
        <v>1.0061667E7</v>
      </c>
      <c r="C230" s="14">
        <v>4.288855E7</v>
      </c>
      <c r="D230" s="2" t="s">
        <v>925</v>
      </c>
      <c r="E230" s="1" t="s">
        <v>107</v>
      </c>
      <c r="F230" s="14">
        <v>0.9233</v>
      </c>
      <c r="G230" s="15"/>
      <c r="H230" s="16"/>
      <c r="I230" s="14"/>
    </row>
    <row r="231">
      <c r="A231" s="14">
        <v>532.0</v>
      </c>
      <c r="B231" s="14">
        <v>1.6778668E7</v>
      </c>
      <c r="C231" s="14">
        <v>7.1146697E7</v>
      </c>
      <c r="D231" s="2" t="s">
        <v>927</v>
      </c>
      <c r="E231" s="1" t="s">
        <v>121</v>
      </c>
      <c r="F231" s="14">
        <v>0.9231</v>
      </c>
      <c r="G231" s="15"/>
      <c r="H231" s="16"/>
      <c r="I231" s="14"/>
    </row>
    <row r="232">
      <c r="A232" s="14">
        <v>473.0</v>
      </c>
      <c r="B232" s="14">
        <v>1.2938947E7</v>
      </c>
      <c r="C232" s="14">
        <v>5.4884411E7</v>
      </c>
      <c r="D232" s="2" t="s">
        <v>930</v>
      </c>
      <c r="E232" s="1" t="s">
        <v>107</v>
      </c>
      <c r="F232" s="14">
        <v>0.9226</v>
      </c>
      <c r="G232" s="15"/>
      <c r="H232" s="16"/>
      <c r="I232" s="14"/>
    </row>
    <row r="233">
      <c r="A233" s="14">
        <v>403.0</v>
      </c>
      <c r="B233" s="14">
        <v>1.2860547E7</v>
      </c>
      <c r="C233" s="14">
        <v>5.4640727E7</v>
      </c>
      <c r="D233" s="2" t="s">
        <v>932</v>
      </c>
      <c r="E233" s="1" t="s">
        <v>107</v>
      </c>
      <c r="F233" s="14">
        <v>0.9225</v>
      </c>
      <c r="G233" s="15"/>
      <c r="H233" s="16"/>
      <c r="I233" s="14"/>
    </row>
    <row r="234">
      <c r="A234" s="14">
        <v>410.0</v>
      </c>
      <c r="B234" s="14">
        <v>9.4591793E7</v>
      </c>
      <c r="C234" s="14">
        <v>4.24832987E8</v>
      </c>
      <c r="D234" s="2" t="s">
        <v>903</v>
      </c>
      <c r="E234" s="1" t="s">
        <v>121</v>
      </c>
      <c r="F234" s="14">
        <v>0.9224</v>
      </c>
      <c r="G234" s="15"/>
      <c r="H234" s="16"/>
      <c r="I234" s="14"/>
    </row>
    <row r="235">
      <c r="A235" s="14">
        <v>602.0</v>
      </c>
      <c r="B235" s="14">
        <v>8758001.0</v>
      </c>
      <c r="C235" s="14">
        <v>3.715761E7</v>
      </c>
      <c r="D235" s="2" t="s">
        <v>938</v>
      </c>
      <c r="E235" s="1" t="s">
        <v>699</v>
      </c>
      <c r="F235" s="14">
        <v>0.9217</v>
      </c>
      <c r="G235" s="15"/>
      <c r="H235" s="16"/>
      <c r="I235" s="14"/>
    </row>
    <row r="236">
      <c r="A236" s="14">
        <v>532.0</v>
      </c>
      <c r="B236" s="14">
        <v>6319482.0</v>
      </c>
      <c r="C236" s="14">
        <v>2.6929672E7</v>
      </c>
      <c r="D236" s="2" t="s">
        <v>940</v>
      </c>
      <c r="E236" s="1" t="s">
        <v>121</v>
      </c>
      <c r="F236" s="14">
        <v>0.9217</v>
      </c>
      <c r="G236" s="15"/>
      <c r="H236" s="16"/>
      <c r="I236" s="14"/>
    </row>
    <row r="237">
      <c r="A237" s="14">
        <v>404.0</v>
      </c>
      <c r="B237" s="14">
        <v>6.5901882E7</v>
      </c>
      <c r="C237" s="14">
        <v>2.69860048E8</v>
      </c>
      <c r="D237" s="2" t="s">
        <v>943</v>
      </c>
      <c r="E237" s="1" t="s">
        <v>107</v>
      </c>
      <c r="F237" s="14">
        <v>0.9215</v>
      </c>
      <c r="G237" s="15"/>
      <c r="H237" s="16"/>
      <c r="I237" s="14"/>
    </row>
    <row r="238">
      <c r="A238" s="14">
        <v>661.0</v>
      </c>
      <c r="B238" s="14">
        <v>1.3744211E7</v>
      </c>
      <c r="C238" s="14">
        <v>5.8364061E7</v>
      </c>
      <c r="D238" s="2" t="s">
        <v>946</v>
      </c>
      <c r="E238" s="1" t="s">
        <v>121</v>
      </c>
      <c r="F238" s="14">
        <v>0.9215</v>
      </c>
      <c r="G238" s="15"/>
      <c r="H238" s="16"/>
      <c r="I238" s="14"/>
    </row>
    <row r="239">
      <c r="A239" s="14">
        <v>203.0</v>
      </c>
      <c r="B239" s="14">
        <v>622224.0</v>
      </c>
      <c r="C239" s="14">
        <v>3034788.0</v>
      </c>
      <c r="D239" s="2" t="s">
        <v>949</v>
      </c>
      <c r="E239" s="1" t="s">
        <v>121</v>
      </c>
      <c r="F239" s="14">
        <v>0.9214</v>
      </c>
      <c r="G239" s="15"/>
      <c r="H239" s="16"/>
      <c r="I239" s="14"/>
    </row>
    <row r="240">
      <c r="A240" s="14">
        <v>673.0</v>
      </c>
      <c r="B240" s="14">
        <v>6233377.0</v>
      </c>
      <c r="C240" s="14">
        <v>2.6667565E7</v>
      </c>
      <c r="D240" s="2" t="s">
        <v>951</v>
      </c>
      <c r="E240" s="1" t="s">
        <v>107</v>
      </c>
      <c r="F240" s="14">
        <v>0.9211</v>
      </c>
      <c r="G240" s="15"/>
      <c r="H240" s="16"/>
      <c r="I240" s="14"/>
    </row>
    <row r="241">
      <c r="A241" s="14">
        <v>115.0</v>
      </c>
      <c r="B241" s="14">
        <v>131147.0</v>
      </c>
      <c r="C241" s="14">
        <v>504028.0</v>
      </c>
      <c r="D241" s="2" t="s">
        <v>954</v>
      </c>
      <c r="E241" s="1" t="s">
        <v>107</v>
      </c>
      <c r="F241" s="14">
        <v>0.9208</v>
      </c>
      <c r="G241" s="15"/>
      <c r="H241" s="16"/>
      <c r="I241" s="14"/>
    </row>
    <row r="242">
      <c r="A242" s="14">
        <v>610.0</v>
      </c>
      <c r="B242" s="14">
        <v>9792598.0</v>
      </c>
      <c r="C242" s="14">
        <v>4.1748254E7</v>
      </c>
      <c r="D242" s="2" t="s">
        <v>957</v>
      </c>
      <c r="E242" s="1" t="s">
        <v>107</v>
      </c>
      <c r="F242" s="14">
        <v>0.9207</v>
      </c>
      <c r="G242" s="15"/>
      <c r="H242" s="16"/>
      <c r="I242" s="14"/>
    </row>
    <row r="243">
      <c r="A243" s="14">
        <v>673.0</v>
      </c>
      <c r="B243" s="14">
        <v>3.747581E7</v>
      </c>
      <c r="C243" s="14">
        <v>1.49065989E8</v>
      </c>
      <c r="D243" s="2" t="s">
        <v>960</v>
      </c>
      <c r="E243" s="1" t="s">
        <v>107</v>
      </c>
      <c r="F243" s="14">
        <v>0.9194</v>
      </c>
      <c r="G243" s="15"/>
      <c r="H243" s="16"/>
      <c r="I243" s="14"/>
    </row>
    <row r="244">
      <c r="A244" s="14">
        <v>656.0</v>
      </c>
      <c r="B244" s="14">
        <v>3.3619331E7</v>
      </c>
      <c r="C244" s="14">
        <v>1.3446018E8</v>
      </c>
      <c r="D244" s="2" t="s">
        <v>963</v>
      </c>
      <c r="E244" s="1" t="s">
        <v>107</v>
      </c>
      <c r="F244" s="14">
        <v>0.9192</v>
      </c>
      <c r="G244" s="15"/>
      <c r="H244" s="16"/>
      <c r="I244" s="14"/>
    </row>
    <row r="245">
      <c r="A245" s="14">
        <v>387.0</v>
      </c>
      <c r="B245" s="14">
        <v>1103033.0</v>
      </c>
      <c r="C245" s="14">
        <v>4985274.0</v>
      </c>
      <c r="D245" s="2" t="s">
        <v>966</v>
      </c>
      <c r="E245" s="1" t="s">
        <v>107</v>
      </c>
      <c r="F245" s="14">
        <v>0.9186</v>
      </c>
      <c r="G245" s="15"/>
      <c r="H245" s="16"/>
      <c r="I245" s="14"/>
    </row>
    <row r="246">
      <c r="A246" s="14">
        <v>337.0</v>
      </c>
      <c r="B246" s="14">
        <v>6.2660412E7</v>
      </c>
      <c r="C246" s="14">
        <v>2.53686489E8</v>
      </c>
      <c r="D246" s="2" t="s">
        <v>969</v>
      </c>
      <c r="E246" s="1" t="s">
        <v>107</v>
      </c>
      <c r="F246" s="14">
        <v>0.9186</v>
      </c>
      <c r="G246" s="15"/>
      <c r="H246" s="16"/>
      <c r="I246" s="14"/>
    </row>
    <row r="247">
      <c r="A247" s="14">
        <v>587.0</v>
      </c>
      <c r="B247" s="14">
        <v>4.2343147E7</v>
      </c>
      <c r="C247" s="14">
        <v>1.67781416E8</v>
      </c>
      <c r="D247" s="2" t="s">
        <v>970</v>
      </c>
      <c r="E247" s="1" t="s">
        <v>107</v>
      </c>
      <c r="F247" s="14">
        <v>0.9184</v>
      </c>
      <c r="G247" s="15"/>
      <c r="H247" s="16"/>
      <c r="I247" s="14"/>
    </row>
    <row r="248">
      <c r="A248" s="14">
        <v>600.0</v>
      </c>
      <c r="B248" s="14">
        <v>1.8739156E7</v>
      </c>
      <c r="C248" s="14">
        <v>7.854278E7</v>
      </c>
      <c r="D248" s="2" t="s">
        <v>974</v>
      </c>
      <c r="E248" s="1" t="s">
        <v>107</v>
      </c>
      <c r="F248" s="14">
        <v>0.9183</v>
      </c>
      <c r="G248" s="15"/>
      <c r="H248" s="16"/>
      <c r="I248" s="14"/>
    </row>
    <row r="249">
      <c r="A249" s="14">
        <v>353.0</v>
      </c>
      <c r="B249" s="14">
        <v>7.257092E7</v>
      </c>
      <c r="C249" s="14">
        <v>2.99756799E8</v>
      </c>
      <c r="D249" s="2" t="s">
        <v>977</v>
      </c>
      <c r="E249" s="1" t="s">
        <v>107</v>
      </c>
      <c r="F249" s="14">
        <v>0.9183</v>
      </c>
      <c r="G249" s="15"/>
      <c r="H249" s="16"/>
      <c r="I249" s="14"/>
    </row>
    <row r="250">
      <c r="A250" s="14">
        <v>216.0</v>
      </c>
      <c r="B250" s="14">
        <v>722767.0</v>
      </c>
      <c r="C250" s="14">
        <v>3493841.0</v>
      </c>
      <c r="D250" s="2" t="s">
        <v>979</v>
      </c>
      <c r="E250" s="1" t="s">
        <v>107</v>
      </c>
      <c r="F250" s="14">
        <v>0.9182</v>
      </c>
      <c r="G250" s="15"/>
      <c r="H250" s="16"/>
      <c r="I250" s="14"/>
    </row>
    <row r="251">
      <c r="A251" s="14">
        <v>380.0</v>
      </c>
      <c r="B251" s="14">
        <v>7092327.0</v>
      </c>
      <c r="C251" s="14">
        <v>3.0257417E7</v>
      </c>
      <c r="D251" s="2" t="s">
        <v>982</v>
      </c>
      <c r="E251" s="1" t="s">
        <v>699</v>
      </c>
      <c r="F251" s="14">
        <v>0.9181</v>
      </c>
      <c r="G251" s="15"/>
      <c r="H251" s="16"/>
      <c r="I251" s="14"/>
    </row>
    <row r="252">
      <c r="A252" s="14">
        <v>173.0</v>
      </c>
      <c r="B252" s="14">
        <v>3272491.0</v>
      </c>
      <c r="C252" s="14">
        <v>1.3899333E7</v>
      </c>
      <c r="D252" s="2" t="s">
        <v>985</v>
      </c>
      <c r="E252" s="1" t="s">
        <v>121</v>
      </c>
      <c r="F252" s="14">
        <v>0.9181</v>
      </c>
      <c r="G252" s="15"/>
      <c r="H252" s="16"/>
      <c r="I252" s="14"/>
    </row>
    <row r="253">
      <c r="A253" s="14">
        <v>129.0</v>
      </c>
      <c r="B253" s="14">
        <v>6.4154692E7</v>
      </c>
      <c r="C253" s="14">
        <v>2.60540544E8</v>
      </c>
      <c r="D253" s="2" t="s">
        <v>989</v>
      </c>
      <c r="E253" s="1" t="s">
        <v>107</v>
      </c>
      <c r="F253" s="14">
        <v>0.9177</v>
      </c>
      <c r="G253" s="15"/>
      <c r="H253" s="16"/>
      <c r="I253" s="14"/>
    </row>
    <row r="254">
      <c r="A254" s="14">
        <v>503.0</v>
      </c>
      <c r="B254" s="14">
        <v>4057817.0</v>
      </c>
      <c r="C254" s="14">
        <v>1.7266488E7</v>
      </c>
      <c r="D254" s="2" t="s">
        <v>992</v>
      </c>
      <c r="E254" s="1" t="s">
        <v>699</v>
      </c>
      <c r="F254" s="14">
        <v>0.9177</v>
      </c>
      <c r="G254" s="15"/>
      <c r="H254" s="16"/>
      <c r="I254" s="14"/>
    </row>
    <row r="255">
      <c r="A255" s="14">
        <v>173.0</v>
      </c>
      <c r="B255" s="14">
        <v>9.5537379E7</v>
      </c>
      <c r="C255" s="14">
        <v>4.06842622E8</v>
      </c>
      <c r="D255" s="2" t="s">
        <v>848</v>
      </c>
      <c r="E255" s="1" t="s">
        <v>107</v>
      </c>
      <c r="F255" s="14">
        <v>0.917</v>
      </c>
      <c r="G255" s="15"/>
      <c r="H255" s="16"/>
      <c r="I255" s="14"/>
    </row>
    <row r="256">
      <c r="A256" s="14">
        <v>671.0</v>
      </c>
      <c r="B256" s="14">
        <v>6257873.0</v>
      </c>
      <c r="C256" s="14">
        <v>2.6605979E7</v>
      </c>
      <c r="D256" s="2" t="s">
        <v>996</v>
      </c>
      <c r="E256" s="1" t="s">
        <v>107</v>
      </c>
      <c r="F256" s="14">
        <v>0.9169</v>
      </c>
      <c r="G256" s="15"/>
      <c r="H256" s="16"/>
      <c r="I256" s="14"/>
    </row>
    <row r="257">
      <c r="A257" s="14">
        <v>671.0</v>
      </c>
      <c r="B257" s="14">
        <v>6459654.0</v>
      </c>
      <c r="C257" s="14">
        <v>2.7622593E7</v>
      </c>
      <c r="D257" s="2" t="s">
        <v>999</v>
      </c>
      <c r="E257" s="1" t="s">
        <v>107</v>
      </c>
      <c r="F257" s="14">
        <v>0.9169</v>
      </c>
      <c r="G257" s="15"/>
      <c r="H257" s="16"/>
      <c r="I257" s="14"/>
    </row>
    <row r="258">
      <c r="A258" s="14">
        <v>602.0</v>
      </c>
      <c r="B258" s="14">
        <v>6.4854975E7</v>
      </c>
      <c r="C258" s="14">
        <v>2.6396475E8</v>
      </c>
      <c r="D258" s="2" t="s">
        <v>1003</v>
      </c>
      <c r="E258" s="1" t="s">
        <v>107</v>
      </c>
      <c r="F258" s="14">
        <v>0.9169</v>
      </c>
      <c r="G258" s="15"/>
      <c r="H258" s="16"/>
      <c r="I258" s="14"/>
    </row>
    <row r="259">
      <c r="A259" s="14">
        <v>380.0</v>
      </c>
      <c r="B259" s="14">
        <v>3110569.0</v>
      </c>
      <c r="C259" s="14">
        <v>1.3195338E7</v>
      </c>
      <c r="D259" s="2" t="s">
        <v>1006</v>
      </c>
      <c r="E259" s="1" t="s">
        <v>121</v>
      </c>
      <c r="F259" s="14">
        <v>0.9168</v>
      </c>
      <c r="G259" s="15"/>
      <c r="H259" s="16"/>
      <c r="I259" s="14"/>
    </row>
    <row r="260">
      <c r="A260" s="14">
        <v>380.0</v>
      </c>
      <c r="B260" s="14">
        <v>1.10859117E8</v>
      </c>
      <c r="C260" s="14">
        <v>4.80910596E8</v>
      </c>
      <c r="D260" s="2" t="s">
        <v>60</v>
      </c>
      <c r="E260" s="1" t="s">
        <v>107</v>
      </c>
      <c r="F260" s="14">
        <v>0.9166</v>
      </c>
      <c r="G260" s="15"/>
      <c r="H260" s="16"/>
      <c r="I260" s="14"/>
    </row>
    <row r="261">
      <c r="A261" s="14">
        <v>546.0</v>
      </c>
      <c r="B261" s="14">
        <v>8.2529319E7</v>
      </c>
      <c r="C261" s="14">
        <v>3.45875921E8</v>
      </c>
      <c r="D261" s="2" t="s">
        <v>1012</v>
      </c>
      <c r="E261" s="1" t="s">
        <v>107</v>
      </c>
      <c r="F261" s="14">
        <v>0.9165</v>
      </c>
      <c r="G261" s="15"/>
      <c r="H261" s="16"/>
      <c r="I261" s="14"/>
    </row>
    <row r="262">
      <c r="A262" s="14">
        <v>471.0</v>
      </c>
      <c r="B262" s="14">
        <v>2683687.0</v>
      </c>
      <c r="C262" s="14">
        <v>2.6409419E7</v>
      </c>
      <c r="D262" s="2" t="s">
        <v>1015</v>
      </c>
      <c r="E262" s="1" t="s">
        <v>107</v>
      </c>
      <c r="F262" s="14">
        <v>0.916</v>
      </c>
      <c r="G262" s="15"/>
      <c r="H262" s="16"/>
      <c r="I262" s="14"/>
    </row>
    <row r="263">
      <c r="A263" s="14">
        <v>678.0</v>
      </c>
      <c r="B263" s="14">
        <v>2.7125916E7</v>
      </c>
      <c r="C263" s="14">
        <v>1.09689529E8</v>
      </c>
      <c r="D263" s="2" t="s">
        <v>1019</v>
      </c>
      <c r="E263" s="1" t="s">
        <v>107</v>
      </c>
      <c r="F263" s="14">
        <v>0.9156</v>
      </c>
      <c r="G263" s="15"/>
      <c r="H263" s="16"/>
      <c r="I263" s="14"/>
    </row>
    <row r="264">
      <c r="A264" s="14">
        <v>504.0</v>
      </c>
      <c r="B264" s="14">
        <v>1.0016231E7</v>
      </c>
      <c r="C264" s="14">
        <v>4.2516744E7</v>
      </c>
      <c r="D264" s="2" t="s">
        <v>1021</v>
      </c>
      <c r="E264" s="1" t="s">
        <v>699</v>
      </c>
      <c r="F264" s="14">
        <v>0.9153</v>
      </c>
      <c r="G264" s="15"/>
      <c r="H264" s="16"/>
      <c r="I264" s="14"/>
    </row>
    <row r="265">
      <c r="A265" s="14">
        <v>503.0</v>
      </c>
      <c r="B265" s="14">
        <v>3.9509486E7</v>
      </c>
      <c r="C265" s="14">
        <v>1.57581E8</v>
      </c>
      <c r="D265" s="2" t="s">
        <v>1024</v>
      </c>
      <c r="E265" s="1" t="s">
        <v>121</v>
      </c>
      <c r="F265" s="14">
        <v>0.9153</v>
      </c>
      <c r="G265" s="15"/>
      <c r="H265" s="16"/>
      <c r="I265" s="14"/>
    </row>
    <row r="266">
      <c r="A266" s="14">
        <v>602.0</v>
      </c>
      <c r="B266" s="14">
        <v>5.7230676E7</v>
      </c>
      <c r="C266" s="14">
        <v>2.28031093E8</v>
      </c>
      <c r="D266" s="2" t="s">
        <v>1027</v>
      </c>
      <c r="E266" s="1" t="s">
        <v>121</v>
      </c>
      <c r="F266" s="14">
        <v>0.9153</v>
      </c>
      <c r="G266" s="15"/>
      <c r="H266" s="16"/>
      <c r="I266" s="14"/>
    </row>
    <row r="267">
      <c r="A267" s="14">
        <v>644.0</v>
      </c>
      <c r="B267" s="14">
        <v>8.0420772E7</v>
      </c>
      <c r="C267" s="14">
        <v>3.36518574E8</v>
      </c>
      <c r="D267" s="2" t="s">
        <v>1029</v>
      </c>
      <c r="E267" s="1" t="s">
        <v>121</v>
      </c>
      <c r="F267" s="14">
        <v>0.9153</v>
      </c>
      <c r="G267" s="15"/>
      <c r="H267" s="16"/>
      <c r="I267" s="14"/>
    </row>
    <row r="268">
      <c r="A268" s="14">
        <v>673.0</v>
      </c>
      <c r="B268" s="14">
        <v>7.6382504E7</v>
      </c>
      <c r="C268" s="14">
        <v>3.17516241E8</v>
      </c>
      <c r="D268" s="2" t="s">
        <v>1031</v>
      </c>
      <c r="E268" s="1" t="s">
        <v>107</v>
      </c>
      <c r="F268" s="14">
        <v>0.9151</v>
      </c>
      <c r="G268" s="15"/>
      <c r="H268" s="16"/>
      <c r="I268" s="14"/>
    </row>
    <row r="269">
      <c r="A269" s="14">
        <v>210.0</v>
      </c>
      <c r="B269" s="14">
        <v>2.1978827E7</v>
      </c>
      <c r="C269" s="14">
        <v>2.61693291E8</v>
      </c>
      <c r="D269" s="2" t="s">
        <v>1033</v>
      </c>
      <c r="E269" s="1" t="s">
        <v>107</v>
      </c>
      <c r="F269" s="14">
        <v>0.915</v>
      </c>
      <c r="G269" s="15"/>
      <c r="H269" s="16"/>
      <c r="I269" s="14"/>
    </row>
    <row r="270">
      <c r="A270" s="14">
        <v>678.0</v>
      </c>
      <c r="B270" s="14">
        <v>4281072.0</v>
      </c>
      <c r="C270" s="14">
        <v>1.8130055E7</v>
      </c>
      <c r="D270" s="2" t="s">
        <v>1035</v>
      </c>
      <c r="E270" s="1" t="s">
        <v>121</v>
      </c>
      <c r="F270" s="14">
        <v>0.9143</v>
      </c>
      <c r="G270" s="15"/>
      <c r="H270" s="16"/>
      <c r="I270" s="14"/>
    </row>
    <row r="271">
      <c r="A271" s="14">
        <v>403.0</v>
      </c>
      <c r="B271" s="14">
        <v>635218.0</v>
      </c>
      <c r="C271" s="14">
        <v>2.8598295E7</v>
      </c>
      <c r="D271" s="2" t="s">
        <v>1038</v>
      </c>
      <c r="E271" s="1" t="s">
        <v>107</v>
      </c>
      <c r="F271" s="14">
        <v>0.9136</v>
      </c>
      <c r="G271" s="15"/>
      <c r="H271" s="16"/>
      <c r="I271" s="14"/>
    </row>
    <row r="272">
      <c r="A272" s="14">
        <v>644.0</v>
      </c>
      <c r="B272" s="14">
        <v>4.8633577E7</v>
      </c>
      <c r="C272" s="14">
        <v>1.92336241E8</v>
      </c>
      <c r="D272" s="2" t="s">
        <v>1043</v>
      </c>
      <c r="E272" s="1" t="s">
        <v>107</v>
      </c>
      <c r="F272" s="14">
        <v>0.9136</v>
      </c>
      <c r="G272" s="15"/>
      <c r="H272" s="16"/>
      <c r="I272" s="14"/>
    </row>
    <row r="273">
      <c r="A273" s="14">
        <v>716.0</v>
      </c>
      <c r="B273" s="14">
        <v>5.6337392E7</v>
      </c>
      <c r="C273" s="14">
        <v>2.23901412E8</v>
      </c>
      <c r="D273" s="2" t="s">
        <v>1046</v>
      </c>
      <c r="E273" s="1" t="s">
        <v>107</v>
      </c>
      <c r="F273" s="14">
        <v>0.9136</v>
      </c>
      <c r="G273" s="15"/>
      <c r="H273" s="16"/>
      <c r="I273" s="14"/>
    </row>
    <row r="274">
      <c r="A274" s="14">
        <v>173.0</v>
      </c>
      <c r="B274" s="14">
        <v>1182493.0</v>
      </c>
      <c r="C274" s="14">
        <v>5343606.0</v>
      </c>
      <c r="D274" s="2" t="s">
        <v>1048</v>
      </c>
      <c r="E274" s="1" t="s">
        <v>121</v>
      </c>
      <c r="F274" s="14">
        <v>0.9136</v>
      </c>
      <c r="G274" s="15"/>
      <c r="H274" s="16"/>
      <c r="I274" s="14"/>
    </row>
    <row r="275">
      <c r="A275" s="14">
        <v>204.0</v>
      </c>
      <c r="B275" s="14">
        <v>6.0729884E7</v>
      </c>
      <c r="C275" s="14">
        <v>2.43977023E8</v>
      </c>
      <c r="D275" s="2" t="s">
        <v>1051</v>
      </c>
      <c r="E275" s="1" t="s">
        <v>121</v>
      </c>
      <c r="F275" s="14">
        <v>0.9136</v>
      </c>
      <c r="G275" s="15"/>
      <c r="H275" s="16"/>
      <c r="I275" s="14"/>
    </row>
    <row r="276">
      <c r="A276" s="14">
        <v>238.0</v>
      </c>
      <c r="B276" s="14">
        <v>1485353.0</v>
      </c>
      <c r="C276" s="14">
        <v>6557859.0</v>
      </c>
      <c r="D276" s="2" t="s">
        <v>1054</v>
      </c>
      <c r="E276" s="1" t="s">
        <v>107</v>
      </c>
      <c r="F276" s="14">
        <v>0.9133</v>
      </c>
      <c r="G276" s="15"/>
      <c r="H276" s="16"/>
      <c r="I276" s="14"/>
    </row>
    <row r="277">
      <c r="A277" s="14">
        <v>408.0</v>
      </c>
      <c r="B277" s="14">
        <v>9.9952541E7</v>
      </c>
      <c r="C277" s="14">
        <v>4.27918454E8</v>
      </c>
      <c r="D277" s="2" t="s">
        <v>596</v>
      </c>
      <c r="E277" s="1" t="s">
        <v>107</v>
      </c>
      <c r="F277" s="14">
        <v>0.9133</v>
      </c>
      <c r="G277" s="15"/>
      <c r="H277" s="16"/>
      <c r="I277" s="14"/>
    </row>
    <row r="278">
      <c r="A278" s="14">
        <v>484.0</v>
      </c>
      <c r="B278" s="14">
        <v>5.1175082E7</v>
      </c>
      <c r="C278" s="14">
        <v>2.02742507E8</v>
      </c>
      <c r="D278" s="2" t="s">
        <v>1059</v>
      </c>
      <c r="E278" s="1" t="s">
        <v>699</v>
      </c>
      <c r="F278" s="14">
        <v>0.9133</v>
      </c>
      <c r="G278" s="15"/>
      <c r="H278" s="16"/>
      <c r="I278" s="14"/>
    </row>
    <row r="279">
      <c r="A279" s="14">
        <v>204.0</v>
      </c>
      <c r="B279" s="14">
        <v>654770.0</v>
      </c>
      <c r="C279" s="14">
        <v>3171044.0</v>
      </c>
      <c r="D279" s="2" t="s">
        <v>1062</v>
      </c>
      <c r="E279" s="1" t="s">
        <v>107</v>
      </c>
      <c r="F279" s="14">
        <v>0.9132</v>
      </c>
      <c r="G279" s="15"/>
      <c r="H279" s="16"/>
      <c r="I279" s="14"/>
    </row>
    <row r="280">
      <c r="A280" s="14">
        <v>225.0</v>
      </c>
      <c r="B280" s="14">
        <v>5090084.0</v>
      </c>
      <c r="C280" s="14">
        <v>2.1693488E7</v>
      </c>
      <c r="D280" s="2" t="s">
        <v>1065</v>
      </c>
      <c r="E280" s="1" t="s">
        <v>107</v>
      </c>
      <c r="F280" s="14">
        <v>0.9124</v>
      </c>
      <c r="G280" s="15"/>
      <c r="H280" s="16"/>
      <c r="I280" s="14"/>
    </row>
    <row r="281">
      <c r="A281" s="14">
        <v>492.0</v>
      </c>
      <c r="B281" s="14">
        <v>8633947.0</v>
      </c>
      <c r="C281" s="14">
        <v>3.654915E7</v>
      </c>
      <c r="D281" s="2" t="s">
        <v>1068</v>
      </c>
      <c r="E281" s="1" t="s">
        <v>107</v>
      </c>
      <c r="F281" s="14">
        <v>0.9124</v>
      </c>
      <c r="G281" s="15"/>
      <c r="H281" s="16"/>
      <c r="I281" s="14"/>
    </row>
    <row r="282">
      <c r="A282" s="14">
        <v>476.0</v>
      </c>
      <c r="B282" s="14">
        <v>1004084.0</v>
      </c>
      <c r="C282" s="14">
        <v>4634823.0</v>
      </c>
      <c r="D282" s="2" t="s">
        <v>1070</v>
      </c>
      <c r="E282" s="1" t="s">
        <v>107</v>
      </c>
      <c r="F282" s="14">
        <v>0.9122</v>
      </c>
      <c r="G282" s="15"/>
      <c r="H282" s="16"/>
      <c r="I282" s="14"/>
    </row>
    <row r="283">
      <c r="A283" s="14">
        <v>546.0</v>
      </c>
      <c r="B283" s="14">
        <v>1.0862489E7</v>
      </c>
      <c r="C283" s="14">
        <v>4.6171701E7</v>
      </c>
      <c r="D283" s="2" t="s">
        <v>1073</v>
      </c>
      <c r="E283" s="1" t="s">
        <v>121</v>
      </c>
      <c r="F283" s="14">
        <v>0.9119</v>
      </c>
      <c r="G283" s="15"/>
      <c r="H283" s="16"/>
      <c r="I283" s="14"/>
    </row>
    <row r="284">
      <c r="A284" s="14">
        <v>410.0</v>
      </c>
      <c r="B284" s="14">
        <v>1.9832732E7</v>
      </c>
      <c r="C284" s="14">
        <v>8.3133806E7</v>
      </c>
      <c r="D284" s="2" t="s">
        <v>1077</v>
      </c>
      <c r="E284" s="1" t="s">
        <v>107</v>
      </c>
      <c r="F284" s="14">
        <v>0.9118</v>
      </c>
      <c r="G284" s="15"/>
      <c r="H284" s="16"/>
      <c r="I284" s="14"/>
    </row>
    <row r="285">
      <c r="A285" s="14">
        <v>671.0</v>
      </c>
      <c r="B285" s="14">
        <v>2.677512E7</v>
      </c>
      <c r="C285" s="14">
        <v>1.08471233E8</v>
      </c>
      <c r="D285" s="2" t="s">
        <v>1081</v>
      </c>
      <c r="E285" s="1" t="s">
        <v>107</v>
      </c>
      <c r="F285" s="14">
        <v>0.9118</v>
      </c>
      <c r="G285" s="15"/>
      <c r="H285" s="16"/>
      <c r="I285" s="14"/>
    </row>
    <row r="286">
      <c r="A286" s="14">
        <v>601.0</v>
      </c>
      <c r="B286" s="14">
        <v>1.2135654E7</v>
      </c>
      <c r="C286" s="14">
        <v>5.146485E7</v>
      </c>
      <c r="D286" s="2" t="s">
        <v>1084</v>
      </c>
      <c r="E286" s="1" t="s">
        <v>121</v>
      </c>
      <c r="F286" s="14">
        <v>0.9118</v>
      </c>
      <c r="G286" s="15"/>
      <c r="H286" s="16"/>
      <c r="I286" s="14"/>
    </row>
    <row r="287">
      <c r="A287" s="14">
        <v>607.0</v>
      </c>
      <c r="B287" s="14">
        <v>8.8790278E7</v>
      </c>
      <c r="C287" s="14">
        <v>3.76336021E8</v>
      </c>
      <c r="D287" s="2" t="s">
        <v>1088</v>
      </c>
      <c r="E287" s="1" t="s">
        <v>121</v>
      </c>
      <c r="F287" s="14">
        <v>0.9118</v>
      </c>
      <c r="G287" s="15"/>
      <c r="H287" s="16"/>
      <c r="I287" s="14"/>
    </row>
    <row r="288">
      <c r="A288" s="14">
        <v>257.0</v>
      </c>
      <c r="B288" s="14">
        <v>2.6104157E7</v>
      </c>
      <c r="C288" s="14">
        <v>1.05794143E8</v>
      </c>
      <c r="D288" s="2" t="s">
        <v>1091</v>
      </c>
      <c r="E288" s="1" t="s">
        <v>107</v>
      </c>
      <c r="F288" s="14">
        <v>0.9117</v>
      </c>
      <c r="G288" s="15"/>
      <c r="H288" s="16"/>
      <c r="I288" s="14"/>
    </row>
    <row r="289">
      <c r="A289" s="14">
        <v>665.0</v>
      </c>
      <c r="B289" s="14">
        <v>3.1695488E7</v>
      </c>
      <c r="C289" s="14">
        <v>1.27149681E8</v>
      </c>
      <c r="D289" s="2" t="s">
        <v>1093</v>
      </c>
      <c r="E289" s="1" t="s">
        <v>121</v>
      </c>
      <c r="F289" s="14">
        <v>0.9116</v>
      </c>
      <c r="G289" s="15"/>
      <c r="H289" s="16"/>
      <c r="I289" s="14"/>
    </row>
    <row r="290">
      <c r="A290" s="14">
        <v>504.0</v>
      </c>
      <c r="B290" s="14">
        <v>1.4727333E7</v>
      </c>
      <c r="C290" s="14">
        <v>6.2654279E7</v>
      </c>
      <c r="D290" s="2" t="s">
        <v>1097</v>
      </c>
      <c r="E290" s="1" t="s">
        <v>121</v>
      </c>
      <c r="F290" s="14">
        <v>0.9109</v>
      </c>
      <c r="G290" s="15"/>
      <c r="H290" s="16"/>
      <c r="I290" s="14"/>
    </row>
    <row r="291">
      <c r="A291" s="14">
        <v>353.0</v>
      </c>
      <c r="B291" s="14">
        <v>1.08429832E8</v>
      </c>
      <c r="C291" s="14">
        <v>4.69580999E8</v>
      </c>
      <c r="D291" s="2" t="s">
        <v>179</v>
      </c>
      <c r="E291" s="1" t="s">
        <v>107</v>
      </c>
      <c r="F291" s="14">
        <v>0.9108</v>
      </c>
      <c r="G291" s="15"/>
      <c r="H291" s="16"/>
      <c r="I291" s="14"/>
    </row>
    <row r="292">
      <c r="A292" s="14">
        <v>481.0</v>
      </c>
      <c r="B292" s="14">
        <v>5178988.0</v>
      </c>
      <c r="C292" s="14">
        <v>2.2089585E7</v>
      </c>
      <c r="D292" s="2" t="s">
        <v>1102</v>
      </c>
      <c r="E292" s="1" t="s">
        <v>107</v>
      </c>
      <c r="F292" s="14">
        <v>0.9107</v>
      </c>
      <c r="G292" s="15"/>
      <c r="H292" s="16"/>
      <c r="I292" s="14"/>
    </row>
    <row r="293">
      <c r="A293" s="14">
        <v>225.0</v>
      </c>
      <c r="B293" s="14">
        <v>1590412.0</v>
      </c>
      <c r="C293" s="14">
        <v>8492985.0</v>
      </c>
      <c r="D293" s="2" t="s">
        <v>1105</v>
      </c>
      <c r="E293" s="1" t="s">
        <v>121</v>
      </c>
      <c r="F293" s="14">
        <v>0.9106</v>
      </c>
      <c r="G293" s="15"/>
      <c r="H293" s="16"/>
      <c r="I293" s="14"/>
    </row>
    <row r="294">
      <c r="A294" s="14">
        <v>173.0</v>
      </c>
      <c r="B294" s="14">
        <v>9.8862056E7</v>
      </c>
      <c r="C294" s="14">
        <v>4.2278638E8</v>
      </c>
      <c r="D294" s="2" t="s">
        <v>661</v>
      </c>
      <c r="E294" s="1" t="s">
        <v>107</v>
      </c>
      <c r="F294" s="14">
        <v>0.9101</v>
      </c>
      <c r="G294" s="15"/>
      <c r="H294" s="16"/>
      <c r="I294" s="14"/>
    </row>
    <row r="295">
      <c r="A295" s="14">
        <v>571.0</v>
      </c>
      <c r="B295" s="14">
        <v>1232172.0</v>
      </c>
      <c r="C295" s="14">
        <v>2.3974052E7</v>
      </c>
      <c r="D295" s="2" t="s">
        <v>1111</v>
      </c>
      <c r="E295" s="1" t="s">
        <v>107</v>
      </c>
      <c r="F295" s="14">
        <v>0.91</v>
      </c>
      <c r="G295" s="15"/>
      <c r="H295" s="16"/>
      <c r="I295" s="14"/>
    </row>
    <row r="296">
      <c r="A296" s="14">
        <v>380.0</v>
      </c>
      <c r="B296" s="14">
        <v>9.3988862E7</v>
      </c>
      <c r="C296" s="14">
        <v>3.99688498E8</v>
      </c>
      <c r="D296" s="2" t="s">
        <v>929</v>
      </c>
      <c r="E296" s="1" t="s">
        <v>699</v>
      </c>
      <c r="F296" s="14">
        <v>0.91</v>
      </c>
      <c r="G296" s="15"/>
      <c r="H296" s="16"/>
      <c r="I296" s="14"/>
    </row>
    <row r="297">
      <c r="A297" s="14">
        <v>406.0</v>
      </c>
      <c r="B297" s="14">
        <v>3652336.0</v>
      </c>
      <c r="C297" s="14">
        <v>1.551063E7</v>
      </c>
      <c r="D297" s="2" t="s">
        <v>1115</v>
      </c>
      <c r="E297" s="1" t="s">
        <v>121</v>
      </c>
      <c r="F297" s="14">
        <v>0.91</v>
      </c>
      <c r="G297" s="15"/>
      <c r="H297" s="16"/>
      <c r="I297" s="14"/>
    </row>
    <row r="298">
      <c r="A298" s="14">
        <v>503.0</v>
      </c>
      <c r="B298" s="14">
        <v>9837031.0</v>
      </c>
      <c r="C298" s="14">
        <v>4.198893E7</v>
      </c>
      <c r="D298" s="2" t="s">
        <v>1119</v>
      </c>
      <c r="E298" s="1" t="s">
        <v>121</v>
      </c>
      <c r="F298" s="14">
        <v>0.9097</v>
      </c>
      <c r="G298" s="15"/>
      <c r="H298" s="16"/>
      <c r="I298" s="14"/>
    </row>
    <row r="299">
      <c r="A299" s="14">
        <v>120.0</v>
      </c>
      <c r="B299" s="14">
        <v>874383.0</v>
      </c>
      <c r="C299" s="14">
        <v>4106845.0</v>
      </c>
      <c r="D299" s="2" t="s">
        <v>1122</v>
      </c>
      <c r="E299" s="1" t="s">
        <v>107</v>
      </c>
      <c r="F299" s="14">
        <v>0.9095</v>
      </c>
      <c r="G299" s="15"/>
      <c r="H299" s="16"/>
      <c r="I299" s="14"/>
    </row>
    <row r="300">
      <c r="A300" s="14">
        <v>702.0</v>
      </c>
      <c r="B300" s="14">
        <v>3.3681124E7</v>
      </c>
      <c r="C300" s="14">
        <v>1.34732138E8</v>
      </c>
      <c r="D300" s="2" t="s">
        <v>1125</v>
      </c>
      <c r="E300" s="1" t="s">
        <v>121</v>
      </c>
      <c r="F300" s="14">
        <v>0.9093</v>
      </c>
      <c r="G300" s="15"/>
      <c r="H300" s="16"/>
      <c r="I300" s="14"/>
    </row>
    <row r="301">
      <c r="A301" s="14">
        <v>403.0</v>
      </c>
      <c r="B301" s="14">
        <v>635218.0</v>
      </c>
      <c r="C301" s="14">
        <v>3078322.0</v>
      </c>
      <c r="D301" s="2" t="s">
        <v>1128</v>
      </c>
      <c r="E301" s="1" t="s">
        <v>107</v>
      </c>
      <c r="F301" s="14">
        <v>0.9091</v>
      </c>
      <c r="G301" s="15"/>
      <c r="H301" s="16"/>
      <c r="I301" s="14"/>
    </row>
    <row r="302">
      <c r="A302" s="14">
        <v>173.0</v>
      </c>
      <c r="B302" s="14">
        <v>7.8127405E7</v>
      </c>
      <c r="C302" s="14">
        <v>3.25396945E8</v>
      </c>
      <c r="D302" s="2" t="s">
        <v>1130</v>
      </c>
      <c r="E302" s="1" t="s">
        <v>107</v>
      </c>
      <c r="F302" s="14">
        <v>0.9091</v>
      </c>
      <c r="G302" s="15"/>
      <c r="H302" s="16"/>
      <c r="I302" s="14"/>
    </row>
    <row r="303">
      <c r="A303" s="14">
        <v>610.0</v>
      </c>
      <c r="B303" s="14">
        <v>1.2292515E7</v>
      </c>
      <c r="C303" s="14">
        <v>5.231761E7</v>
      </c>
      <c r="D303" s="2" t="s">
        <v>1134</v>
      </c>
      <c r="E303" s="1" t="s">
        <v>107</v>
      </c>
      <c r="F303" s="14">
        <v>0.9081</v>
      </c>
      <c r="G303" s="15"/>
      <c r="H303" s="16"/>
      <c r="I303" s="14"/>
    </row>
    <row r="304">
      <c r="A304" s="14">
        <v>671.0</v>
      </c>
      <c r="B304" s="14">
        <v>2.7023614E7</v>
      </c>
      <c r="C304" s="14">
        <v>1.0949801E8</v>
      </c>
      <c r="D304" s="2" t="s">
        <v>1136</v>
      </c>
      <c r="E304" s="1" t="s">
        <v>107</v>
      </c>
      <c r="F304" s="14">
        <v>0.9081</v>
      </c>
      <c r="G304" s="15"/>
      <c r="H304" s="16"/>
      <c r="I304" s="14"/>
    </row>
    <row r="305">
      <c r="A305" s="14">
        <v>129.0</v>
      </c>
      <c r="B305" s="14">
        <v>5.6372339E7</v>
      </c>
      <c r="C305" s="14">
        <v>2.24025615E8</v>
      </c>
      <c r="D305" s="2" t="s">
        <v>1139</v>
      </c>
      <c r="E305" s="1" t="s">
        <v>107</v>
      </c>
      <c r="F305" s="14">
        <v>0.9081</v>
      </c>
      <c r="G305" s="15"/>
      <c r="H305" s="16"/>
      <c r="I305" s="14"/>
    </row>
    <row r="306">
      <c r="A306" s="14">
        <v>157.0</v>
      </c>
      <c r="B306" s="14">
        <v>768742.0</v>
      </c>
      <c r="C306" s="14">
        <v>3677573.0</v>
      </c>
      <c r="D306" s="2" t="s">
        <v>1141</v>
      </c>
      <c r="E306" s="1" t="s">
        <v>121</v>
      </c>
      <c r="F306" s="14">
        <v>0.9081</v>
      </c>
      <c r="G306" s="15"/>
      <c r="H306" s="16"/>
      <c r="I306" s="14"/>
    </row>
    <row r="307">
      <c r="A307" s="14">
        <v>609.0</v>
      </c>
      <c r="B307" s="14">
        <v>2810689.0</v>
      </c>
      <c r="C307" s="14">
        <v>1.1886111E7</v>
      </c>
      <c r="D307" s="2" t="s">
        <v>1144</v>
      </c>
      <c r="E307" s="1" t="s">
        <v>121</v>
      </c>
      <c r="F307" s="14">
        <v>0.9081</v>
      </c>
      <c r="G307" s="15"/>
      <c r="H307" s="16"/>
      <c r="I307" s="14"/>
    </row>
    <row r="308">
      <c r="A308" s="14">
        <v>228.0</v>
      </c>
      <c r="B308" s="14">
        <v>3984689.0</v>
      </c>
      <c r="C308" s="14">
        <v>1.7029622E7</v>
      </c>
      <c r="D308" s="2" t="s">
        <v>1148</v>
      </c>
      <c r="E308" s="1" t="s">
        <v>121</v>
      </c>
      <c r="F308" s="14">
        <v>0.9081</v>
      </c>
      <c r="G308" s="15"/>
      <c r="H308" s="16"/>
      <c r="I308" s="14"/>
    </row>
    <row r="309">
      <c r="A309" s="14">
        <v>142.0</v>
      </c>
      <c r="B309" s="14">
        <v>1.516032E7</v>
      </c>
      <c r="C309" s="14">
        <v>6.4647615E7</v>
      </c>
      <c r="D309" s="2" t="s">
        <v>1151</v>
      </c>
      <c r="E309" s="1" t="s">
        <v>121</v>
      </c>
      <c r="F309" s="14">
        <v>0.9081</v>
      </c>
      <c r="G309" s="15"/>
      <c r="H309" s="16"/>
      <c r="I309" s="14"/>
    </row>
    <row r="310">
      <c r="A310" s="14">
        <v>671.0</v>
      </c>
      <c r="B310" s="14">
        <v>3260771.0</v>
      </c>
      <c r="C310" s="14">
        <v>1.383129E7</v>
      </c>
      <c r="D310" s="2" t="s">
        <v>1154</v>
      </c>
      <c r="E310" s="1" t="s">
        <v>107</v>
      </c>
      <c r="F310" s="14">
        <v>0.908</v>
      </c>
      <c r="G310" s="15"/>
      <c r="H310" s="16"/>
      <c r="I310" s="14"/>
    </row>
    <row r="311">
      <c r="A311" s="14">
        <v>571.0</v>
      </c>
      <c r="B311" s="14">
        <v>7.434782E7</v>
      </c>
      <c r="C311" s="14">
        <v>3.07996551E8</v>
      </c>
      <c r="D311" s="2" t="s">
        <v>1156</v>
      </c>
      <c r="E311" s="1" t="s">
        <v>107</v>
      </c>
      <c r="F311" s="14">
        <v>0.9074</v>
      </c>
      <c r="G311" s="15"/>
      <c r="H311" s="16"/>
      <c r="I311" s="14"/>
    </row>
    <row r="312">
      <c r="A312" s="14">
        <v>403.0</v>
      </c>
      <c r="B312" s="14">
        <v>7.7158886E7</v>
      </c>
      <c r="C312" s="14">
        <v>3.20744431E8</v>
      </c>
      <c r="D312" s="2" t="s">
        <v>1159</v>
      </c>
      <c r="E312" s="1" t="s">
        <v>121</v>
      </c>
      <c r="F312" s="14">
        <v>0.9072</v>
      </c>
      <c r="G312" s="15"/>
      <c r="H312" s="16"/>
      <c r="I312" s="14"/>
    </row>
    <row r="313">
      <c r="A313" s="14">
        <v>407.0</v>
      </c>
      <c r="B313" s="14">
        <v>8.2674982E7</v>
      </c>
      <c r="C313" s="14">
        <v>3.47141554E8</v>
      </c>
      <c r="D313" s="2" t="s">
        <v>1163</v>
      </c>
      <c r="E313" s="1" t="s">
        <v>107</v>
      </c>
      <c r="F313" s="14">
        <v>0.907</v>
      </c>
      <c r="G313" s="15"/>
      <c r="H313" s="16"/>
      <c r="I313" s="14"/>
    </row>
    <row r="314">
      <c r="A314" s="14">
        <v>564.0</v>
      </c>
      <c r="B314" s="14">
        <v>3670243.0</v>
      </c>
      <c r="C314" s="14">
        <v>1.5542972E7</v>
      </c>
      <c r="D314" s="2" t="s">
        <v>1165</v>
      </c>
      <c r="E314" s="1" t="s">
        <v>121</v>
      </c>
      <c r="F314" s="14">
        <v>0.907</v>
      </c>
      <c r="G314" s="15"/>
      <c r="H314" s="16"/>
      <c r="I314" s="14"/>
    </row>
    <row r="315">
      <c r="A315" s="14">
        <v>455.0</v>
      </c>
      <c r="B315" s="14">
        <v>9.5918151E7</v>
      </c>
      <c r="C315" s="14">
        <v>4.08812577E8</v>
      </c>
      <c r="D315" s="2" t="s">
        <v>827</v>
      </c>
      <c r="E315" s="1" t="s">
        <v>107</v>
      </c>
      <c r="F315" s="14">
        <v>0.9069</v>
      </c>
      <c r="G315" s="15"/>
      <c r="H315" s="16"/>
      <c r="I315" s="14"/>
    </row>
    <row r="316">
      <c r="A316" s="14">
        <v>671.0</v>
      </c>
      <c r="B316" s="14">
        <v>2.9106852E7</v>
      </c>
      <c r="C316" s="14">
        <v>1.17234483E8</v>
      </c>
      <c r="D316" s="2" t="s">
        <v>1169</v>
      </c>
      <c r="E316" s="1" t="s">
        <v>107</v>
      </c>
      <c r="F316" s="14">
        <v>0.9062</v>
      </c>
      <c r="G316" s="15"/>
      <c r="H316" s="16"/>
      <c r="I316" s="14"/>
    </row>
    <row r="317">
      <c r="A317" s="14">
        <v>403.0</v>
      </c>
      <c r="B317" s="14">
        <v>1.2807715E7</v>
      </c>
      <c r="C317" s="14">
        <v>5.4311468E7</v>
      </c>
      <c r="D317" s="2" t="s">
        <v>1173</v>
      </c>
      <c r="E317" s="1" t="s">
        <v>121</v>
      </c>
      <c r="F317" s="14">
        <v>0.9061</v>
      </c>
      <c r="G317" s="15"/>
      <c r="H317" s="16"/>
      <c r="I317" s="14"/>
    </row>
    <row r="318">
      <c r="A318" s="14">
        <v>569.0</v>
      </c>
      <c r="B318" s="14">
        <v>7122053.0</v>
      </c>
      <c r="C318" s="14">
        <v>3.0261598E7</v>
      </c>
      <c r="D318" s="2" t="s">
        <v>1176</v>
      </c>
      <c r="E318" s="1" t="s">
        <v>107</v>
      </c>
      <c r="F318" s="14">
        <v>0.906</v>
      </c>
      <c r="G318" s="15"/>
      <c r="H318" s="16"/>
      <c r="I318" s="14"/>
    </row>
    <row r="319">
      <c r="A319" s="14">
        <v>173.0</v>
      </c>
      <c r="B319" s="14">
        <v>1.0622908E8</v>
      </c>
      <c r="C319" s="14">
        <v>4.57945143E8</v>
      </c>
      <c r="D319" s="2" t="s">
        <v>299</v>
      </c>
      <c r="E319" s="1" t="s">
        <v>107</v>
      </c>
      <c r="F319" s="14">
        <v>0.9059</v>
      </c>
      <c r="G319" s="15"/>
      <c r="H319" s="16"/>
      <c r="I319" s="14"/>
    </row>
    <row r="320">
      <c r="A320" s="14">
        <v>244.0</v>
      </c>
      <c r="B320" s="14">
        <v>1.0998076E7</v>
      </c>
      <c r="C320" s="14">
        <v>4.6775156E7</v>
      </c>
      <c r="D320" s="2" t="s">
        <v>1177</v>
      </c>
      <c r="E320" s="1" t="s">
        <v>121</v>
      </c>
      <c r="F320" s="14">
        <v>0.9059</v>
      </c>
      <c r="G320" s="15"/>
      <c r="H320" s="16"/>
      <c r="I320" s="14"/>
    </row>
    <row r="321">
      <c r="A321" s="14">
        <v>475.0</v>
      </c>
      <c r="B321" s="14">
        <v>1.513746E7</v>
      </c>
      <c r="C321" s="14">
        <v>6.4360143E7</v>
      </c>
      <c r="D321" s="2" t="s">
        <v>1178</v>
      </c>
      <c r="E321" s="1" t="s">
        <v>107</v>
      </c>
      <c r="F321" s="14">
        <v>0.9057</v>
      </c>
      <c r="G321" s="15"/>
      <c r="H321" s="16"/>
      <c r="I321" s="14"/>
    </row>
    <row r="322">
      <c r="A322" s="14">
        <v>671.0</v>
      </c>
      <c r="B322" s="14">
        <v>8.2091695E7</v>
      </c>
      <c r="C322" s="14">
        <v>3.44641258E8</v>
      </c>
      <c r="D322" s="2" t="s">
        <v>1181</v>
      </c>
      <c r="E322" s="1" t="s">
        <v>107</v>
      </c>
      <c r="F322" s="14">
        <v>0.9054</v>
      </c>
      <c r="G322" s="15"/>
      <c r="H322" s="16"/>
      <c r="I322" s="14"/>
    </row>
    <row r="323">
      <c r="A323" s="14">
        <v>679.0</v>
      </c>
      <c r="B323" s="14">
        <v>2.1797591E7</v>
      </c>
      <c r="C323" s="14">
        <v>9.0027926E7</v>
      </c>
      <c r="D323" s="2" t="s">
        <v>1183</v>
      </c>
      <c r="E323" s="1" t="s">
        <v>107</v>
      </c>
      <c r="F323" s="14">
        <v>0.9052</v>
      </c>
      <c r="G323" s="15"/>
      <c r="H323" s="16"/>
      <c r="I323" s="14"/>
    </row>
    <row r="324">
      <c r="A324" s="14">
        <v>458.0</v>
      </c>
      <c r="B324" s="14">
        <v>8.5229306E7</v>
      </c>
      <c r="C324" s="14">
        <v>3.58995344E8</v>
      </c>
      <c r="D324" s="2" t="s">
        <v>1186</v>
      </c>
      <c r="E324" s="1" t="s">
        <v>699</v>
      </c>
      <c r="F324" s="14">
        <v>0.9052</v>
      </c>
      <c r="G324" s="15"/>
      <c r="H324" s="16"/>
      <c r="I324" s="14"/>
    </row>
    <row r="325">
      <c r="A325" s="14">
        <v>194.0</v>
      </c>
      <c r="B325" s="14">
        <v>9.9218004E7</v>
      </c>
      <c r="C325" s="14">
        <v>4.24743028E8</v>
      </c>
      <c r="D325" s="2" t="s">
        <v>634</v>
      </c>
      <c r="E325" s="1" t="s">
        <v>699</v>
      </c>
      <c r="F325" s="14">
        <v>0.9052</v>
      </c>
      <c r="G325" s="15"/>
      <c r="H325" s="16"/>
      <c r="I325" s="14"/>
    </row>
    <row r="326">
      <c r="A326" s="14">
        <v>715.0</v>
      </c>
      <c r="B326" s="14">
        <v>1.0929791E7</v>
      </c>
      <c r="C326" s="14">
        <v>4.6426891E7</v>
      </c>
      <c r="D326" s="2" t="s">
        <v>1192</v>
      </c>
      <c r="E326" s="1" t="s">
        <v>121</v>
      </c>
      <c r="F326" s="14">
        <v>0.9052</v>
      </c>
      <c r="G326" s="15"/>
      <c r="H326" s="16"/>
      <c r="I326" s="14"/>
    </row>
    <row r="327">
      <c r="A327" s="14">
        <v>12.0</v>
      </c>
      <c r="B327" s="14">
        <v>1564808.0</v>
      </c>
      <c r="C327" s="14">
        <v>6877090.0</v>
      </c>
      <c r="D327" s="2" t="s">
        <v>1194</v>
      </c>
      <c r="E327" s="1" t="s">
        <v>121</v>
      </c>
      <c r="F327" s="14">
        <v>0.9042</v>
      </c>
      <c r="G327" s="15"/>
      <c r="H327" s="16"/>
      <c r="I327" s="14"/>
    </row>
    <row r="328">
      <c r="A328" s="14">
        <v>607.0</v>
      </c>
      <c r="B328" s="14">
        <v>2.5508122E7</v>
      </c>
      <c r="C328" s="14">
        <v>1.03542689E8</v>
      </c>
      <c r="D328" s="2" t="s">
        <v>1197</v>
      </c>
      <c r="E328" s="1" t="s">
        <v>121</v>
      </c>
      <c r="F328" s="14">
        <v>0.9042</v>
      </c>
      <c r="G328" s="15"/>
      <c r="H328" s="16"/>
      <c r="I328" s="14"/>
    </row>
    <row r="329">
      <c r="A329" s="14">
        <v>120.0</v>
      </c>
      <c r="B329" s="14">
        <v>57125.0</v>
      </c>
      <c r="C329" s="14">
        <v>202682.0</v>
      </c>
      <c r="D329" s="2" t="s">
        <v>1199</v>
      </c>
      <c r="E329" s="1" t="s">
        <v>107</v>
      </c>
      <c r="F329" s="14">
        <v>0.9041</v>
      </c>
      <c r="G329" s="15"/>
      <c r="H329" s="16"/>
      <c r="I329" s="14"/>
    </row>
    <row r="330">
      <c r="A330" s="14">
        <v>210.0</v>
      </c>
      <c r="B330" s="14">
        <v>2.7809858E7</v>
      </c>
      <c r="C330" s="14">
        <v>1.12505359E8</v>
      </c>
      <c r="D330" s="2" t="s">
        <v>1202</v>
      </c>
      <c r="E330" s="1" t="s">
        <v>107</v>
      </c>
      <c r="F330" s="14">
        <v>0.9041</v>
      </c>
      <c r="G330" s="15"/>
      <c r="H330" s="16"/>
      <c r="I330" s="14"/>
    </row>
    <row r="331">
      <c r="A331" s="14">
        <v>120.0</v>
      </c>
      <c r="B331" s="14">
        <v>70728.0</v>
      </c>
      <c r="C331" s="14">
        <v>255454.0</v>
      </c>
      <c r="D331" s="2" t="s">
        <v>1205</v>
      </c>
      <c r="E331" s="1" t="s">
        <v>699</v>
      </c>
      <c r="F331" s="14">
        <v>0.9041</v>
      </c>
      <c r="G331" s="15"/>
      <c r="H331" s="16"/>
      <c r="I331" s="14"/>
    </row>
    <row r="332">
      <c r="A332" s="14">
        <v>120.0</v>
      </c>
      <c r="B332" s="14">
        <v>2906552.0</v>
      </c>
      <c r="C332" s="14">
        <v>1.2501372E7</v>
      </c>
      <c r="D332" s="2" t="s">
        <v>1208</v>
      </c>
      <c r="E332" s="1" t="s">
        <v>107</v>
      </c>
      <c r="F332" s="14">
        <v>0.9035</v>
      </c>
      <c r="G332" s="15"/>
      <c r="H332" s="16"/>
      <c r="I332" s="14"/>
    </row>
    <row r="333">
      <c r="A333" s="14">
        <v>571.0</v>
      </c>
      <c r="B333" s="14">
        <v>5.3186663E7</v>
      </c>
      <c r="C333" s="14">
        <v>2.11069746E8</v>
      </c>
      <c r="D333" s="2" t="s">
        <v>1210</v>
      </c>
      <c r="E333" s="1" t="s">
        <v>107</v>
      </c>
      <c r="F333" s="14">
        <v>0.9032</v>
      </c>
      <c r="G333" s="15"/>
      <c r="H333" s="16"/>
      <c r="I333" s="14"/>
    </row>
    <row r="334">
      <c r="A334" s="14">
        <v>575.0</v>
      </c>
      <c r="B334" s="14">
        <v>2.3036798E7</v>
      </c>
      <c r="C334" s="14">
        <v>9.4937585E7</v>
      </c>
      <c r="D334" s="2" t="s">
        <v>1213</v>
      </c>
      <c r="E334" s="1" t="s">
        <v>107</v>
      </c>
      <c r="F334" s="14">
        <v>0.9026</v>
      </c>
      <c r="G334" s="15"/>
      <c r="H334" s="16"/>
      <c r="I334" s="14"/>
    </row>
    <row r="335">
      <c r="A335" s="14">
        <v>654.0</v>
      </c>
      <c r="B335" s="14">
        <v>1.1074805E7</v>
      </c>
      <c r="C335" s="14">
        <v>4.7085049E7</v>
      </c>
      <c r="D335" s="2" t="s">
        <v>1217</v>
      </c>
      <c r="E335" s="1" t="s">
        <v>107</v>
      </c>
      <c r="F335" s="14">
        <v>0.9022</v>
      </c>
      <c r="G335" s="15"/>
      <c r="H335" s="16"/>
      <c r="I335" s="14"/>
    </row>
    <row r="336">
      <c r="A336" s="14">
        <v>672.0</v>
      </c>
      <c r="B336" s="14">
        <v>3.2116249E7</v>
      </c>
      <c r="C336" s="14">
        <v>1.29007169E8</v>
      </c>
      <c r="D336" s="2" t="s">
        <v>1220</v>
      </c>
      <c r="E336" s="1" t="s">
        <v>107</v>
      </c>
      <c r="F336" s="14">
        <v>0.9022</v>
      </c>
      <c r="G336" s="15"/>
      <c r="H336" s="16"/>
      <c r="I336" s="14"/>
    </row>
    <row r="337">
      <c r="A337" s="14">
        <v>531.0</v>
      </c>
      <c r="B337" s="14">
        <v>2082095.0</v>
      </c>
      <c r="C337" s="14">
        <v>8989518.0</v>
      </c>
      <c r="D337" s="2" t="s">
        <v>1222</v>
      </c>
      <c r="E337" s="1" t="s">
        <v>121</v>
      </c>
      <c r="F337" s="14">
        <v>0.9022</v>
      </c>
      <c r="G337" s="15"/>
      <c r="H337" s="16"/>
      <c r="I337" s="14"/>
    </row>
    <row r="338">
      <c r="A338" s="14">
        <v>578.0</v>
      </c>
      <c r="B338" s="14">
        <v>2.798038E7</v>
      </c>
      <c r="C338" s="14">
        <v>1.12815422E8</v>
      </c>
      <c r="D338" s="2" t="s">
        <v>1225</v>
      </c>
      <c r="E338" s="1" t="s">
        <v>107</v>
      </c>
      <c r="F338" s="14">
        <v>0.9018</v>
      </c>
      <c r="G338" s="15"/>
      <c r="H338" s="16"/>
      <c r="I338" s="14"/>
    </row>
    <row r="339">
      <c r="A339" s="14">
        <v>571.0</v>
      </c>
      <c r="B339" s="14">
        <v>5634465.0</v>
      </c>
      <c r="C339" s="14">
        <v>2.418914E7</v>
      </c>
      <c r="D339" s="2" t="s">
        <v>1228</v>
      </c>
      <c r="E339" s="1" t="s">
        <v>107</v>
      </c>
      <c r="F339" s="14">
        <v>0.9014</v>
      </c>
      <c r="G339" s="15"/>
      <c r="H339" s="16"/>
      <c r="I339" s="14"/>
    </row>
    <row r="340">
      <c r="A340" s="14">
        <v>602.0</v>
      </c>
      <c r="B340" s="14">
        <v>5.9314761E7</v>
      </c>
      <c r="C340" s="14">
        <v>2.37153848E8</v>
      </c>
      <c r="D340" s="2" t="s">
        <v>1232</v>
      </c>
      <c r="E340" s="1" t="s">
        <v>121</v>
      </c>
      <c r="F340" s="14">
        <v>0.9008</v>
      </c>
      <c r="G340" s="15"/>
      <c r="H340" s="16"/>
      <c r="I340" s="14"/>
    </row>
    <row r="341">
      <c r="A341" s="14">
        <v>458.0</v>
      </c>
      <c r="B341" s="14">
        <v>9383221.0</v>
      </c>
      <c r="C341" s="14">
        <v>3.9786241E7</v>
      </c>
      <c r="D341" s="2" t="s">
        <v>1234</v>
      </c>
      <c r="E341" s="1" t="s">
        <v>107</v>
      </c>
      <c r="F341" s="14">
        <v>0.9001</v>
      </c>
      <c r="G341" s="15"/>
      <c r="H341" s="16"/>
      <c r="I341" s="14"/>
    </row>
    <row r="342">
      <c r="A342" s="14">
        <v>337.0</v>
      </c>
      <c r="B342" s="14">
        <v>1.322849E7</v>
      </c>
      <c r="C342" s="14">
        <v>5.6173052E7</v>
      </c>
      <c r="D342" s="2" t="s">
        <v>1237</v>
      </c>
      <c r="E342" s="1" t="s">
        <v>107</v>
      </c>
      <c r="F342" s="14">
        <v>0.9001</v>
      </c>
      <c r="G342" s="15"/>
      <c r="H342" s="16"/>
      <c r="I342" s="14"/>
    </row>
    <row r="343">
      <c r="A343" s="14">
        <v>238.0</v>
      </c>
      <c r="B343" s="14">
        <v>223780.0</v>
      </c>
      <c r="C343" s="14">
        <v>928384.0</v>
      </c>
      <c r="D343" s="2" t="s">
        <v>1240</v>
      </c>
      <c r="E343" s="1" t="s">
        <v>121</v>
      </c>
      <c r="F343" s="14">
        <v>0.9001</v>
      </c>
      <c r="G343" s="15"/>
      <c r="H343" s="16"/>
      <c r="I343" s="14"/>
    </row>
    <row r="344">
      <c r="A344" s="14">
        <v>395.0</v>
      </c>
      <c r="B344" s="14">
        <v>9418020.0</v>
      </c>
      <c r="C344" s="14">
        <v>3.9999819E7</v>
      </c>
      <c r="D344" s="2" t="s">
        <v>1244</v>
      </c>
      <c r="E344" s="1" t="s">
        <v>121</v>
      </c>
      <c r="F344" s="14">
        <v>0.9001</v>
      </c>
      <c r="G344" s="15"/>
      <c r="H344" s="16"/>
      <c r="I344" s="14"/>
    </row>
    <row r="345">
      <c r="A345" s="14">
        <v>215.0</v>
      </c>
      <c r="B345" s="14">
        <v>1.336842E7</v>
      </c>
      <c r="C345" s="14">
        <v>5.6955543E7</v>
      </c>
      <c r="D345" s="2" t="s">
        <v>1246</v>
      </c>
      <c r="E345" s="1" t="s">
        <v>121</v>
      </c>
      <c r="F345" s="14">
        <v>0.9001</v>
      </c>
      <c r="G345" s="15"/>
      <c r="H345" s="16"/>
      <c r="I345" s="14"/>
    </row>
    <row r="346">
      <c r="A346" s="14">
        <v>247.0</v>
      </c>
      <c r="B346" s="14">
        <v>6796170.0</v>
      </c>
      <c r="C346" s="14">
        <v>2.8987986E7</v>
      </c>
      <c r="D346" s="2" t="s">
        <v>1249</v>
      </c>
      <c r="E346" s="1" t="s">
        <v>107</v>
      </c>
      <c r="F346" s="14">
        <v>0.8999</v>
      </c>
      <c r="G346" s="15"/>
      <c r="H346" s="16"/>
      <c r="I346" s="14"/>
    </row>
    <row r="347">
      <c r="A347" s="14">
        <v>654.0</v>
      </c>
      <c r="B347" s="14">
        <v>9.8728076E7</v>
      </c>
      <c r="C347" s="14">
        <v>4.22374738E8</v>
      </c>
      <c r="D347" s="2" t="s">
        <v>666</v>
      </c>
      <c r="E347" s="1" t="s">
        <v>107</v>
      </c>
      <c r="F347" s="14">
        <v>0.8999</v>
      </c>
      <c r="G347" s="15"/>
      <c r="H347" s="16"/>
      <c r="I347" s="14"/>
    </row>
    <row r="348">
      <c r="A348" s="14">
        <v>608.0</v>
      </c>
      <c r="B348" s="14">
        <v>6.0923283E7</v>
      </c>
      <c r="C348" s="14">
        <v>2.44874114E8</v>
      </c>
      <c r="D348" s="2" t="s">
        <v>1253</v>
      </c>
      <c r="E348" s="1" t="s">
        <v>107</v>
      </c>
      <c r="F348" s="14">
        <v>0.8997</v>
      </c>
      <c r="G348" s="15"/>
      <c r="H348" s="16"/>
      <c r="I348" s="14"/>
    </row>
    <row r="349">
      <c r="A349" s="14">
        <v>173.0</v>
      </c>
      <c r="B349" s="14">
        <v>8.9386031E7</v>
      </c>
      <c r="C349" s="14">
        <v>3.78663104E8</v>
      </c>
      <c r="D349" s="2" t="s">
        <v>1167</v>
      </c>
      <c r="E349" s="1" t="s">
        <v>107</v>
      </c>
      <c r="F349" s="14">
        <v>0.8997</v>
      </c>
      <c r="G349" s="15"/>
      <c r="H349" s="16"/>
      <c r="I349" s="14"/>
    </row>
    <row r="350">
      <c r="A350" s="14">
        <v>173.0</v>
      </c>
      <c r="B350" s="14">
        <v>3619995.0</v>
      </c>
      <c r="C350" s="14">
        <v>1.5356193E7</v>
      </c>
      <c r="D350" s="2" t="s">
        <v>1257</v>
      </c>
      <c r="E350" s="1" t="s">
        <v>121</v>
      </c>
      <c r="F350" s="14">
        <v>0.8997</v>
      </c>
      <c r="G350" s="15"/>
      <c r="H350" s="16"/>
      <c r="I350" s="14"/>
    </row>
    <row r="351">
      <c r="A351" s="14">
        <v>353.0</v>
      </c>
      <c r="B351" s="14">
        <v>9.3758708E7</v>
      </c>
      <c r="C351" s="14">
        <v>4.31393747E8</v>
      </c>
      <c r="D351" s="2" t="s">
        <v>941</v>
      </c>
      <c r="E351" s="1" t="s">
        <v>107</v>
      </c>
      <c r="F351" s="14">
        <v>0.8996</v>
      </c>
      <c r="G351" s="15"/>
      <c r="H351" s="16"/>
      <c r="I351" s="14"/>
    </row>
    <row r="352">
      <c r="A352" s="14">
        <v>414.0</v>
      </c>
      <c r="B352" s="14">
        <v>1.4892827E7</v>
      </c>
      <c r="C352" s="14">
        <v>6.326568E7</v>
      </c>
      <c r="D352" s="2" t="s">
        <v>1262</v>
      </c>
      <c r="E352" s="1" t="s">
        <v>107</v>
      </c>
      <c r="F352" s="14">
        <v>0.8993</v>
      </c>
      <c r="G352" s="15"/>
      <c r="H352" s="16"/>
      <c r="I352" s="14"/>
    </row>
    <row r="353">
      <c r="A353" s="14">
        <v>503.0</v>
      </c>
      <c r="B353" s="14">
        <v>2061273.0</v>
      </c>
      <c r="C353" s="14">
        <v>8920887.0</v>
      </c>
      <c r="D353" s="2" t="s">
        <v>1265</v>
      </c>
      <c r="E353" s="1" t="s">
        <v>107</v>
      </c>
      <c r="F353" s="14">
        <v>0.899</v>
      </c>
      <c r="G353" s="15"/>
      <c r="H353" s="16"/>
      <c r="I353" s="14"/>
    </row>
    <row r="354">
      <c r="A354" s="14">
        <v>504.0</v>
      </c>
      <c r="B354" s="14">
        <v>1.1515705E7</v>
      </c>
      <c r="C354" s="14">
        <v>4.8896441E7</v>
      </c>
      <c r="D354" s="2" t="s">
        <v>1266</v>
      </c>
      <c r="E354" s="1" t="s">
        <v>121</v>
      </c>
      <c r="F354" s="14">
        <v>0.8979</v>
      </c>
      <c r="G354" s="15"/>
      <c r="H354" s="16"/>
      <c r="I354" s="14"/>
    </row>
    <row r="355">
      <c r="A355" s="14">
        <v>571.0</v>
      </c>
      <c r="B355" s="14">
        <v>5.9361226E7</v>
      </c>
      <c r="C355" s="14">
        <v>2.37370601E8</v>
      </c>
      <c r="D355" s="2" t="s">
        <v>1268</v>
      </c>
      <c r="E355" s="1" t="s">
        <v>121</v>
      </c>
      <c r="F355" s="14">
        <v>0.8976</v>
      </c>
      <c r="G355" s="15"/>
      <c r="H355" s="16"/>
      <c r="I355" s="14"/>
    </row>
    <row r="356">
      <c r="A356" s="14">
        <v>207.0</v>
      </c>
      <c r="B356" s="14">
        <v>204917.0</v>
      </c>
      <c r="C356" s="14">
        <v>840078.0</v>
      </c>
      <c r="D356" s="2" t="s">
        <v>1269</v>
      </c>
      <c r="E356" s="1" t="s">
        <v>107</v>
      </c>
      <c r="F356" s="14">
        <v>0.8973</v>
      </c>
      <c r="G356" s="15"/>
      <c r="H356" s="16"/>
      <c r="I356" s="14"/>
    </row>
    <row r="357">
      <c r="A357" s="14">
        <v>492.0</v>
      </c>
      <c r="B357" s="14">
        <v>5032474.0</v>
      </c>
      <c r="C357" s="14">
        <v>2.1381621E7</v>
      </c>
      <c r="D357" s="2" t="s">
        <v>1273</v>
      </c>
      <c r="E357" s="1" t="s">
        <v>121</v>
      </c>
      <c r="F357" s="14">
        <v>0.897</v>
      </c>
      <c r="G357" s="15"/>
      <c r="H357" s="16"/>
      <c r="I357" s="14"/>
    </row>
    <row r="358">
      <c r="A358" s="14">
        <v>157.0</v>
      </c>
      <c r="B358" s="14">
        <v>122503.0</v>
      </c>
      <c r="C358" s="14">
        <v>2.1730425E7</v>
      </c>
      <c r="D358" s="2" t="s">
        <v>1276</v>
      </c>
      <c r="E358" s="1" t="s">
        <v>107</v>
      </c>
      <c r="F358" s="14">
        <v>0.8965</v>
      </c>
      <c r="G358" s="15"/>
      <c r="H358" s="16"/>
      <c r="I358" s="14"/>
    </row>
    <row r="359">
      <c r="A359" s="14">
        <v>403.0</v>
      </c>
      <c r="B359" s="14">
        <v>1330401.0</v>
      </c>
      <c r="C359" s="14">
        <v>5936631.0</v>
      </c>
      <c r="D359" s="2" t="s">
        <v>1278</v>
      </c>
      <c r="E359" s="1" t="s">
        <v>699</v>
      </c>
      <c r="F359" s="14">
        <v>0.8962</v>
      </c>
      <c r="G359" s="15"/>
      <c r="H359" s="16"/>
      <c r="I359" s="14"/>
    </row>
    <row r="360">
      <c r="A360" s="14">
        <v>462.0</v>
      </c>
      <c r="B360" s="14">
        <v>5.1295652E7</v>
      </c>
      <c r="C360" s="14">
        <v>2.03215315E8</v>
      </c>
      <c r="D360" s="2" t="s">
        <v>1281</v>
      </c>
      <c r="E360" s="1" t="s">
        <v>107</v>
      </c>
      <c r="F360" s="14">
        <v>0.8961</v>
      </c>
      <c r="G360" s="15"/>
      <c r="H360" s="16"/>
      <c r="I360" s="14"/>
    </row>
    <row r="361">
      <c r="A361" s="14">
        <v>394.0</v>
      </c>
      <c r="B361" s="14">
        <v>1994727.0</v>
      </c>
      <c r="C361" s="14">
        <v>8623029.0</v>
      </c>
      <c r="D361" s="2" t="s">
        <v>1284</v>
      </c>
      <c r="E361" s="1" t="s">
        <v>121</v>
      </c>
      <c r="F361" s="14">
        <v>0.8958</v>
      </c>
      <c r="G361" s="15"/>
      <c r="H361" s="16"/>
      <c r="I361" s="14"/>
    </row>
    <row r="362">
      <c r="A362" s="14">
        <v>578.0</v>
      </c>
      <c r="B362" s="14">
        <v>1.0048379E7</v>
      </c>
      <c r="C362" s="14">
        <v>4.2630054E7</v>
      </c>
      <c r="D362" s="2" t="s">
        <v>1288</v>
      </c>
      <c r="E362" s="1" t="s">
        <v>107</v>
      </c>
      <c r="F362" s="14">
        <v>0.8957</v>
      </c>
      <c r="G362" s="15"/>
      <c r="H362" s="16"/>
      <c r="I362" s="14"/>
    </row>
    <row r="363">
      <c r="A363" s="14">
        <v>504.0</v>
      </c>
      <c r="B363" s="14">
        <v>4.999984E7</v>
      </c>
      <c r="C363" s="14">
        <v>1.97840564E8</v>
      </c>
      <c r="D363" s="2" t="s">
        <v>1290</v>
      </c>
      <c r="E363" s="1" t="s">
        <v>107</v>
      </c>
      <c r="F363" s="14">
        <v>0.8957</v>
      </c>
      <c r="G363" s="15"/>
      <c r="H363" s="16"/>
      <c r="I363" s="14"/>
    </row>
    <row r="364">
      <c r="A364" s="14">
        <v>215.0</v>
      </c>
      <c r="B364" s="14">
        <v>3.8389751E7</v>
      </c>
      <c r="C364" s="14">
        <v>1.52826428E8</v>
      </c>
      <c r="D364" s="2" t="s">
        <v>1293</v>
      </c>
      <c r="E364" s="1" t="s">
        <v>121</v>
      </c>
      <c r="F364" s="14">
        <v>0.8957</v>
      </c>
      <c r="G364" s="15"/>
      <c r="H364" s="16"/>
      <c r="I364" s="14"/>
    </row>
    <row r="365">
      <c r="A365" s="14">
        <v>573.0</v>
      </c>
      <c r="B365" s="14">
        <v>2979879.0</v>
      </c>
      <c r="C365" s="14">
        <v>1.2646066E7</v>
      </c>
      <c r="D365" s="2" t="s">
        <v>1296</v>
      </c>
      <c r="E365" s="1" t="s">
        <v>121</v>
      </c>
      <c r="F365" s="14">
        <v>0.8955</v>
      </c>
      <c r="G365" s="15"/>
      <c r="H365" s="16"/>
      <c r="I365" s="14"/>
    </row>
    <row r="366">
      <c r="A366" s="14">
        <v>120.0</v>
      </c>
      <c r="B366" s="14">
        <v>442202.0</v>
      </c>
      <c r="C366" s="14">
        <v>2032872.0</v>
      </c>
      <c r="D366" s="2" t="s">
        <v>1300</v>
      </c>
      <c r="E366" s="1" t="s">
        <v>121</v>
      </c>
      <c r="F366" s="14">
        <v>0.8952</v>
      </c>
      <c r="G366" s="15"/>
      <c r="H366" s="16"/>
      <c r="I366" s="14"/>
    </row>
    <row r="367">
      <c r="A367" s="14">
        <v>610.0</v>
      </c>
      <c r="B367" s="14">
        <v>4259259.0</v>
      </c>
      <c r="C367" s="14">
        <v>1.8066024E7</v>
      </c>
      <c r="D367" s="2" t="s">
        <v>1302</v>
      </c>
      <c r="E367" s="1" t="s">
        <v>107</v>
      </c>
      <c r="F367" s="14">
        <v>0.8951</v>
      </c>
      <c r="G367" s="15"/>
      <c r="H367" s="16"/>
      <c r="I367" s="14"/>
    </row>
    <row r="368">
      <c r="A368" s="14">
        <v>142.0</v>
      </c>
      <c r="B368" s="14">
        <v>6541995.0</v>
      </c>
      <c r="C368" s="14">
        <v>2.7909054E7</v>
      </c>
      <c r="D368" s="2" t="s">
        <v>1305</v>
      </c>
      <c r="E368" s="1" t="s">
        <v>107</v>
      </c>
      <c r="F368" s="14">
        <v>0.8946</v>
      </c>
      <c r="G368" s="15"/>
      <c r="H368" s="16"/>
      <c r="I368" s="14"/>
    </row>
    <row r="369">
      <c r="A369" s="14">
        <v>609.0</v>
      </c>
      <c r="B369" s="14">
        <v>5529525.0</v>
      </c>
      <c r="C369" s="14">
        <v>2.3683963E7</v>
      </c>
      <c r="D369" s="2" t="s">
        <v>1307</v>
      </c>
      <c r="E369" s="1" t="s">
        <v>107</v>
      </c>
      <c r="F369" s="14">
        <v>0.8945</v>
      </c>
      <c r="G369" s="15"/>
      <c r="H369" s="16"/>
      <c r="I369" s="14"/>
    </row>
    <row r="370">
      <c r="A370" s="14">
        <v>215.0</v>
      </c>
      <c r="B370" s="14">
        <v>5012445.0</v>
      </c>
      <c r="C370" s="14">
        <v>2.1388941E7</v>
      </c>
      <c r="D370" s="2" t="s">
        <v>1310</v>
      </c>
      <c r="E370" s="1" t="s">
        <v>107</v>
      </c>
      <c r="F370" s="14">
        <v>0.8943</v>
      </c>
      <c r="G370" s="15"/>
      <c r="H370" s="16"/>
      <c r="I370" s="14"/>
    </row>
    <row r="371">
      <c r="A371" s="14">
        <v>194.0</v>
      </c>
      <c r="B371" s="14">
        <v>9032451.0</v>
      </c>
      <c r="C371" s="14">
        <v>3.8290058E7</v>
      </c>
      <c r="D371" s="2" t="s">
        <v>1314</v>
      </c>
      <c r="E371" s="1" t="s">
        <v>107</v>
      </c>
      <c r="F371" s="14">
        <v>0.8941</v>
      </c>
      <c r="G371" s="15"/>
      <c r="H371" s="16"/>
      <c r="I371" s="14"/>
    </row>
    <row r="372">
      <c r="A372" s="14">
        <v>601.0</v>
      </c>
      <c r="B372" s="14">
        <v>1269683.0</v>
      </c>
      <c r="C372" s="14">
        <v>5672083.0</v>
      </c>
      <c r="D372" s="2" t="s">
        <v>1316</v>
      </c>
      <c r="E372" s="1" t="s">
        <v>121</v>
      </c>
      <c r="F372" s="14">
        <v>0.8938</v>
      </c>
      <c r="G372" s="15"/>
      <c r="H372" s="16"/>
      <c r="I372" s="14"/>
    </row>
    <row r="373">
      <c r="A373" s="14">
        <v>503.0</v>
      </c>
      <c r="B373" s="14">
        <v>4407567.0</v>
      </c>
      <c r="C373" s="14">
        <v>1.8730438E7</v>
      </c>
      <c r="D373" s="2" t="s">
        <v>1319</v>
      </c>
      <c r="E373" s="1" t="s">
        <v>107</v>
      </c>
      <c r="F373" s="14">
        <v>0.8934</v>
      </c>
      <c r="G373" s="15"/>
      <c r="H373" s="16"/>
      <c r="I373" s="14"/>
    </row>
    <row r="374">
      <c r="A374" s="14">
        <v>587.0</v>
      </c>
      <c r="B374" s="14">
        <v>1.2798714E7</v>
      </c>
      <c r="C374" s="14">
        <v>5.4319891E7</v>
      </c>
      <c r="D374" s="2" t="s">
        <v>1322</v>
      </c>
      <c r="E374" s="1" t="s">
        <v>107</v>
      </c>
      <c r="F374" s="14">
        <v>0.8934</v>
      </c>
      <c r="G374" s="15"/>
      <c r="H374" s="16"/>
      <c r="I374" s="14"/>
    </row>
    <row r="375">
      <c r="A375" s="14">
        <v>426.0</v>
      </c>
      <c r="B375" s="14">
        <v>6.6338042E7</v>
      </c>
      <c r="C375" s="14">
        <v>2.71105923E8</v>
      </c>
      <c r="D375" s="2" t="s">
        <v>1324</v>
      </c>
      <c r="E375" s="1" t="s">
        <v>107</v>
      </c>
      <c r="F375" s="14">
        <v>0.8934</v>
      </c>
      <c r="G375" s="15"/>
      <c r="H375" s="16"/>
      <c r="I375" s="14"/>
    </row>
    <row r="376">
      <c r="A376" s="14">
        <v>570.0</v>
      </c>
      <c r="B376" s="14">
        <v>9.822722E7</v>
      </c>
      <c r="C376" s="14">
        <v>4.19762228E8</v>
      </c>
      <c r="D376" s="2" t="s">
        <v>688</v>
      </c>
      <c r="E376" s="1" t="s">
        <v>121</v>
      </c>
      <c r="F376" s="14">
        <v>0.8934</v>
      </c>
      <c r="G376" s="15"/>
      <c r="H376" s="16"/>
      <c r="I376" s="14"/>
    </row>
    <row r="377">
      <c r="A377" s="14">
        <v>503.0</v>
      </c>
      <c r="B377" s="14">
        <v>3.5336844E7</v>
      </c>
      <c r="C377" s="14">
        <v>1.40983082E8</v>
      </c>
      <c r="D377" s="2" t="s">
        <v>1330</v>
      </c>
      <c r="E377" s="1" t="s">
        <v>121</v>
      </c>
      <c r="F377" s="14">
        <v>0.8932</v>
      </c>
      <c r="G377" s="15"/>
      <c r="H377" s="16"/>
      <c r="I377" s="14"/>
    </row>
    <row r="378">
      <c r="A378" s="14">
        <v>715.0</v>
      </c>
      <c r="B378" s="14">
        <v>6.7767667E7</v>
      </c>
      <c r="C378" s="14">
        <v>2.78043131E8</v>
      </c>
      <c r="D378" s="2" t="s">
        <v>1332</v>
      </c>
      <c r="E378" s="1" t="s">
        <v>107</v>
      </c>
      <c r="F378" s="14">
        <v>0.893</v>
      </c>
      <c r="G378" s="15"/>
      <c r="H378" s="16"/>
      <c r="I378" s="14"/>
    </row>
    <row r="379">
      <c r="A379" s="14">
        <v>119.0</v>
      </c>
      <c r="B379" s="14">
        <v>84803.0</v>
      </c>
      <c r="C379" s="14">
        <v>1995379.0</v>
      </c>
      <c r="D379" s="2" t="s">
        <v>1335</v>
      </c>
      <c r="E379" s="1" t="s">
        <v>107</v>
      </c>
      <c r="F379" s="14">
        <v>0.8922</v>
      </c>
      <c r="G379" s="15"/>
      <c r="H379" s="16"/>
      <c r="I379" s="14"/>
    </row>
    <row r="380">
      <c r="A380" s="14">
        <v>120.0</v>
      </c>
      <c r="B380" s="14">
        <v>85319.0</v>
      </c>
      <c r="C380" s="14">
        <v>311515.0</v>
      </c>
      <c r="D380" s="2" t="s">
        <v>1337</v>
      </c>
      <c r="E380" s="1" t="s">
        <v>107</v>
      </c>
      <c r="F380" s="14">
        <v>0.8922</v>
      </c>
      <c r="G380" s="15"/>
      <c r="H380" s="16"/>
      <c r="I380" s="14"/>
    </row>
    <row r="381">
      <c r="A381" s="14">
        <v>531.0</v>
      </c>
      <c r="B381" s="14">
        <v>4.0373491E7</v>
      </c>
      <c r="C381" s="14">
        <v>1.60465096E8</v>
      </c>
      <c r="D381" s="2" t="s">
        <v>1340</v>
      </c>
      <c r="E381" s="1" t="s">
        <v>121</v>
      </c>
      <c r="F381" s="14">
        <v>0.8921</v>
      </c>
      <c r="G381" s="15"/>
      <c r="H381" s="16"/>
      <c r="I381" s="14"/>
    </row>
    <row r="382">
      <c r="A382" s="14">
        <v>410.0</v>
      </c>
      <c r="B382" s="14">
        <v>2.2248429E7</v>
      </c>
      <c r="C382" s="14">
        <v>9.2065607E7</v>
      </c>
      <c r="D382" s="2" t="s">
        <v>1344</v>
      </c>
      <c r="E382" s="1" t="s">
        <v>121</v>
      </c>
      <c r="F382" s="14">
        <v>0.892</v>
      </c>
      <c r="G382" s="15"/>
      <c r="H382" s="16"/>
      <c r="I382" s="14"/>
    </row>
    <row r="383">
      <c r="A383" s="14">
        <v>673.0</v>
      </c>
      <c r="B383" s="14">
        <v>3141178.0</v>
      </c>
      <c r="C383" s="14">
        <v>1.3308707E7</v>
      </c>
      <c r="D383" s="2" t="s">
        <v>1346</v>
      </c>
      <c r="E383" s="1" t="s">
        <v>107</v>
      </c>
      <c r="F383" s="14">
        <v>0.8916</v>
      </c>
      <c r="G383" s="15"/>
      <c r="H383" s="16"/>
      <c r="I383" s="14"/>
    </row>
    <row r="384">
      <c r="A384" s="14">
        <v>120.0</v>
      </c>
      <c r="B384" s="14">
        <v>427087.0</v>
      </c>
      <c r="C384" s="14">
        <v>1948555.0</v>
      </c>
      <c r="D384" s="2" t="s">
        <v>1349</v>
      </c>
      <c r="E384" s="1" t="s">
        <v>107</v>
      </c>
      <c r="F384" s="14">
        <v>0.891</v>
      </c>
      <c r="G384" s="15"/>
      <c r="H384" s="16"/>
      <c r="I384" s="14"/>
    </row>
    <row r="385">
      <c r="A385" s="14">
        <v>173.0</v>
      </c>
      <c r="B385" s="14">
        <v>3.0373748E7</v>
      </c>
      <c r="C385" s="14">
        <v>3.0980317E8</v>
      </c>
      <c r="D385" s="2" t="s">
        <v>1352</v>
      </c>
      <c r="E385" s="1" t="s">
        <v>107</v>
      </c>
      <c r="F385" s="14">
        <v>0.891</v>
      </c>
      <c r="G385" s="15"/>
      <c r="H385" s="16"/>
      <c r="I385" s="14"/>
    </row>
    <row r="386">
      <c r="A386" s="14">
        <v>173.0</v>
      </c>
      <c r="B386" s="14">
        <v>7.7420988E7</v>
      </c>
      <c r="C386" s="14">
        <v>3.21997707E8</v>
      </c>
      <c r="D386" s="2" t="s">
        <v>1354</v>
      </c>
      <c r="E386" s="1" t="s">
        <v>107</v>
      </c>
      <c r="F386" s="14">
        <v>0.891</v>
      </c>
      <c r="G386" s="15"/>
      <c r="H386" s="16"/>
      <c r="I386" s="14"/>
    </row>
    <row r="387">
      <c r="A387" s="14">
        <v>597.0</v>
      </c>
      <c r="B387" s="14">
        <v>3285543.0</v>
      </c>
      <c r="C387" s="14">
        <v>1.3939753E7</v>
      </c>
      <c r="D387" s="2" t="s">
        <v>1358</v>
      </c>
      <c r="E387" s="1" t="s">
        <v>107</v>
      </c>
      <c r="F387" s="14">
        <v>0.8905</v>
      </c>
      <c r="G387" s="15"/>
      <c r="H387" s="16"/>
      <c r="I387" s="14"/>
    </row>
    <row r="388">
      <c r="A388" s="14">
        <v>173.0</v>
      </c>
      <c r="B388" s="14">
        <v>5.9124043E7</v>
      </c>
      <c r="C388" s="14">
        <v>3.31441517E8</v>
      </c>
      <c r="D388" s="2" t="s">
        <v>1360</v>
      </c>
      <c r="E388" s="1" t="s">
        <v>107</v>
      </c>
      <c r="F388" s="14">
        <v>0.8905</v>
      </c>
      <c r="G388" s="15"/>
      <c r="H388" s="16"/>
      <c r="I388" s="14"/>
    </row>
    <row r="389">
      <c r="A389" s="14">
        <v>142.0</v>
      </c>
      <c r="B389" s="14">
        <v>1.1012208E7</v>
      </c>
      <c r="C389" s="14">
        <v>4.7012063E7</v>
      </c>
      <c r="D389" s="2" t="s">
        <v>1363</v>
      </c>
      <c r="E389" s="1" t="s">
        <v>107</v>
      </c>
      <c r="F389" s="14">
        <v>0.8898</v>
      </c>
      <c r="G389" s="15"/>
      <c r="H389" s="16"/>
      <c r="I389" s="14"/>
    </row>
    <row r="390">
      <c r="A390" s="14">
        <v>644.0</v>
      </c>
      <c r="B390" s="14">
        <v>5517831.0</v>
      </c>
      <c r="C390" s="14">
        <v>1.96310318E8</v>
      </c>
      <c r="D390" s="2" t="s">
        <v>1365</v>
      </c>
      <c r="E390" s="1" t="s">
        <v>121</v>
      </c>
      <c r="F390" s="14">
        <v>0.8898</v>
      </c>
      <c r="G390" s="15"/>
      <c r="H390" s="16"/>
      <c r="I390" s="14"/>
    </row>
    <row r="391">
      <c r="A391" s="14">
        <v>210.0</v>
      </c>
      <c r="B391" s="14">
        <v>7.6102731E7</v>
      </c>
      <c r="C391" s="14">
        <v>3.15810321E8</v>
      </c>
      <c r="D391" s="2" t="s">
        <v>1368</v>
      </c>
      <c r="E391" s="1" t="s">
        <v>121</v>
      </c>
      <c r="F391" s="14">
        <v>0.8898</v>
      </c>
      <c r="G391" s="15"/>
      <c r="H391" s="16"/>
      <c r="I391" s="14"/>
    </row>
    <row r="392">
      <c r="A392" s="14">
        <v>671.0</v>
      </c>
      <c r="B392" s="14">
        <v>9.6633332E7</v>
      </c>
      <c r="C392" s="14">
        <v>4.12505236E8</v>
      </c>
      <c r="D392" s="2" t="s">
        <v>784</v>
      </c>
      <c r="E392" s="1" t="s">
        <v>121</v>
      </c>
      <c r="F392" s="14">
        <v>0.8894</v>
      </c>
      <c r="G392" s="15"/>
      <c r="H392" s="16"/>
      <c r="I392" s="14"/>
    </row>
    <row r="393">
      <c r="A393" s="14">
        <v>173.0</v>
      </c>
      <c r="B393" s="14">
        <v>7347790.0</v>
      </c>
      <c r="C393" s="14">
        <v>3.1256842E7</v>
      </c>
      <c r="D393" s="2" t="s">
        <v>1378</v>
      </c>
      <c r="E393" s="1" t="s">
        <v>107</v>
      </c>
      <c r="F393" s="14">
        <v>0.8885</v>
      </c>
      <c r="G393" s="15"/>
      <c r="H393" s="16"/>
      <c r="I393" s="14"/>
    </row>
    <row r="394">
      <c r="A394" s="14">
        <v>319.0</v>
      </c>
      <c r="B394" s="14">
        <v>3.0636915E7</v>
      </c>
      <c r="C394" s="14">
        <v>2.47987684E8</v>
      </c>
      <c r="D394" s="2" t="s">
        <v>1380</v>
      </c>
      <c r="E394" s="1" t="s">
        <v>107</v>
      </c>
      <c r="F394" s="14">
        <v>0.8885</v>
      </c>
      <c r="G394" s="15"/>
      <c r="H394" s="16"/>
      <c r="I394" s="14"/>
    </row>
    <row r="395">
      <c r="A395" s="14">
        <v>179.0</v>
      </c>
      <c r="B395" s="14">
        <v>6.3891852E7</v>
      </c>
      <c r="C395" s="14">
        <v>2.59368212E8</v>
      </c>
      <c r="D395" s="2" t="s">
        <v>1384</v>
      </c>
      <c r="E395" s="1" t="s">
        <v>107</v>
      </c>
      <c r="F395" s="14">
        <v>0.8885</v>
      </c>
      <c r="G395" s="15"/>
      <c r="H395" s="16"/>
      <c r="I395" s="14"/>
    </row>
    <row r="396">
      <c r="A396" s="14">
        <v>654.0</v>
      </c>
      <c r="B396" s="14">
        <v>9.3139721E7</v>
      </c>
      <c r="C396" s="14">
        <v>3.95586013E8</v>
      </c>
      <c r="D396" s="2" t="s">
        <v>980</v>
      </c>
      <c r="E396" s="1" t="s">
        <v>107</v>
      </c>
      <c r="F396" s="14">
        <v>0.8885</v>
      </c>
      <c r="G396" s="15"/>
      <c r="H396" s="16"/>
      <c r="I396" s="14"/>
    </row>
    <row r="397">
      <c r="A397" s="14">
        <v>403.0</v>
      </c>
      <c r="B397" s="14">
        <v>1461082.0</v>
      </c>
      <c r="C397" s="14">
        <v>2.60868994E8</v>
      </c>
      <c r="D397" s="2" t="s">
        <v>1388</v>
      </c>
      <c r="E397" s="1" t="s">
        <v>107</v>
      </c>
      <c r="F397" s="14">
        <v>0.8883</v>
      </c>
      <c r="G397" s="15"/>
      <c r="H397" s="16"/>
      <c r="I397" s="14"/>
    </row>
    <row r="398">
      <c r="A398" s="14">
        <v>696.0</v>
      </c>
      <c r="B398" s="14">
        <v>3.1298335E7</v>
      </c>
      <c r="C398" s="14">
        <v>1.26086316E8</v>
      </c>
      <c r="D398" s="2" t="s">
        <v>1391</v>
      </c>
      <c r="E398" s="1" t="s">
        <v>107</v>
      </c>
      <c r="F398" s="14">
        <v>0.8883</v>
      </c>
      <c r="G398" s="15"/>
      <c r="H398" s="16"/>
      <c r="I398" s="14"/>
    </row>
    <row r="399">
      <c r="A399" s="14">
        <v>394.0</v>
      </c>
      <c r="B399" s="14">
        <v>5541008.0</v>
      </c>
      <c r="C399" s="14">
        <v>2.3675919E7</v>
      </c>
      <c r="D399" s="2" t="s">
        <v>1393</v>
      </c>
      <c r="E399" s="1" t="s">
        <v>121</v>
      </c>
      <c r="F399" s="14">
        <v>0.8883</v>
      </c>
      <c r="G399" s="15"/>
      <c r="H399" s="16"/>
      <c r="I399" s="14"/>
    </row>
    <row r="400">
      <c r="A400" s="14">
        <v>630.0</v>
      </c>
      <c r="B400" s="14">
        <v>9.4856208E7</v>
      </c>
      <c r="C400" s="14">
        <v>4.03448422E8</v>
      </c>
      <c r="D400" s="2" t="s">
        <v>884</v>
      </c>
      <c r="E400" s="1" t="s">
        <v>121</v>
      </c>
      <c r="F400" s="14">
        <v>0.8883</v>
      </c>
      <c r="G400" s="15"/>
      <c r="H400" s="16"/>
      <c r="I400" s="14"/>
    </row>
    <row r="401">
      <c r="A401" s="14">
        <v>716.0</v>
      </c>
      <c r="B401" s="14">
        <v>6.6462073E7</v>
      </c>
      <c r="C401" s="14">
        <v>2.71909069E8</v>
      </c>
      <c r="D401" s="2" t="s">
        <v>1397</v>
      </c>
      <c r="E401" s="1" t="s">
        <v>121</v>
      </c>
      <c r="F401" s="14">
        <v>0.8878</v>
      </c>
      <c r="G401" s="15"/>
      <c r="H401" s="16"/>
      <c r="I401" s="14"/>
    </row>
    <row r="402">
      <c r="A402" s="14">
        <v>671.0</v>
      </c>
      <c r="B402" s="14">
        <v>3653169.0</v>
      </c>
      <c r="C402" s="14">
        <v>1.5492554E7</v>
      </c>
      <c r="D402" s="2" t="s">
        <v>1400</v>
      </c>
      <c r="E402" s="1" t="s">
        <v>121</v>
      </c>
      <c r="F402" s="14">
        <v>0.8873</v>
      </c>
      <c r="G402" s="15"/>
      <c r="H402" s="16"/>
      <c r="I402" s="14"/>
    </row>
    <row r="403">
      <c r="A403" s="14">
        <v>671.0</v>
      </c>
      <c r="B403" s="14">
        <v>1.319584E7</v>
      </c>
      <c r="C403" s="14">
        <v>5.6096725E7</v>
      </c>
      <c r="D403" s="2" t="s">
        <v>1403</v>
      </c>
      <c r="E403" s="1" t="s">
        <v>107</v>
      </c>
      <c r="F403" s="14">
        <v>0.887</v>
      </c>
      <c r="G403" s="15"/>
      <c r="H403" s="16"/>
      <c r="I403" s="14"/>
    </row>
    <row r="404">
      <c r="A404" s="14">
        <v>380.0</v>
      </c>
      <c r="B404" s="14">
        <v>7889432.0</v>
      </c>
      <c r="C404" s="14">
        <v>3.3498037E7</v>
      </c>
      <c r="D404" s="2" t="s">
        <v>1407</v>
      </c>
      <c r="E404" s="1" t="s">
        <v>107</v>
      </c>
      <c r="F404" s="14">
        <v>0.886</v>
      </c>
      <c r="G404" s="15"/>
      <c r="H404" s="16"/>
      <c r="I404" s="14"/>
    </row>
    <row r="405">
      <c r="A405" s="14">
        <v>609.0</v>
      </c>
      <c r="B405" s="14">
        <v>8287077.0</v>
      </c>
      <c r="C405" s="14">
        <v>3.6360908E7</v>
      </c>
      <c r="D405" s="2" t="s">
        <v>1409</v>
      </c>
      <c r="E405" s="1" t="s">
        <v>107</v>
      </c>
      <c r="F405" s="14">
        <v>0.886</v>
      </c>
      <c r="G405" s="15"/>
      <c r="H405" s="16"/>
      <c r="I405" s="14"/>
    </row>
    <row r="406">
      <c r="A406" s="14">
        <v>641.0</v>
      </c>
      <c r="B406" s="14">
        <v>1.1902406E7</v>
      </c>
      <c r="C406" s="14">
        <v>5.0614305E7</v>
      </c>
      <c r="D406" s="2" t="s">
        <v>1412</v>
      </c>
      <c r="E406" s="1" t="s">
        <v>107</v>
      </c>
      <c r="F406" s="14">
        <v>0.886</v>
      </c>
      <c r="G406" s="15"/>
      <c r="H406" s="16"/>
      <c r="I406" s="14"/>
    </row>
    <row r="407">
      <c r="A407" s="14">
        <v>715.0</v>
      </c>
      <c r="B407" s="14">
        <v>2.8309587E7</v>
      </c>
      <c r="C407" s="14">
        <v>1.13999118E8</v>
      </c>
      <c r="D407" s="2" t="s">
        <v>1413</v>
      </c>
      <c r="E407" s="1" t="s">
        <v>699</v>
      </c>
      <c r="F407" s="14">
        <v>0.886</v>
      </c>
      <c r="G407" s="15"/>
      <c r="H407" s="16"/>
      <c r="I407" s="14"/>
    </row>
    <row r="408">
      <c r="A408" s="14">
        <v>140.0</v>
      </c>
      <c r="B408" s="14">
        <v>3963506.0</v>
      </c>
      <c r="C408" s="14">
        <v>1.6805884E7</v>
      </c>
      <c r="D408" s="2" t="s">
        <v>1416</v>
      </c>
      <c r="E408" s="1" t="s">
        <v>121</v>
      </c>
      <c r="F408" s="14">
        <v>0.886</v>
      </c>
      <c r="G408" s="15"/>
      <c r="H408" s="16"/>
      <c r="I408" s="14"/>
    </row>
    <row r="409">
      <c r="A409" s="14">
        <v>337.0</v>
      </c>
      <c r="B409" s="14">
        <v>2.917023E7</v>
      </c>
      <c r="C409" s="14">
        <v>1.18654085E8</v>
      </c>
      <c r="D409" s="2" t="s">
        <v>1420</v>
      </c>
      <c r="E409" s="1" t="s">
        <v>107</v>
      </c>
      <c r="F409" s="14">
        <v>0.8858</v>
      </c>
      <c r="G409" s="15"/>
      <c r="H409" s="16"/>
      <c r="I409" s="14"/>
    </row>
    <row r="410">
      <c r="A410" s="14">
        <v>410.0</v>
      </c>
      <c r="B410" s="14">
        <v>3.0897566E7</v>
      </c>
      <c r="C410" s="14">
        <v>1.24070327E8</v>
      </c>
      <c r="D410" s="2" t="s">
        <v>1422</v>
      </c>
      <c r="E410" s="1" t="s">
        <v>107</v>
      </c>
      <c r="F410" s="14">
        <v>0.8858</v>
      </c>
      <c r="G410" s="15"/>
      <c r="H410" s="16"/>
      <c r="I410" s="14"/>
    </row>
    <row r="411">
      <c r="A411" s="14">
        <v>678.0</v>
      </c>
      <c r="B411" s="14">
        <v>7103730.0</v>
      </c>
      <c r="C411" s="14">
        <v>3.0159945E7</v>
      </c>
      <c r="D411" s="2" t="s">
        <v>1425</v>
      </c>
      <c r="E411" s="1" t="s">
        <v>121</v>
      </c>
      <c r="F411" s="14">
        <v>0.8858</v>
      </c>
      <c r="G411" s="15"/>
      <c r="H411" s="16"/>
      <c r="I411" s="14"/>
    </row>
    <row r="412">
      <c r="A412" s="14">
        <v>414.0</v>
      </c>
      <c r="B412" s="14">
        <v>6540194.0</v>
      </c>
      <c r="C412" s="14">
        <v>2.7781973E7</v>
      </c>
      <c r="D412" s="2" t="s">
        <v>1427</v>
      </c>
      <c r="E412" s="1" t="s">
        <v>121</v>
      </c>
      <c r="F412" s="14">
        <v>0.8857</v>
      </c>
      <c r="G412" s="15"/>
      <c r="H412" s="16"/>
      <c r="I412" s="14"/>
    </row>
    <row r="413">
      <c r="A413" s="14">
        <v>604.0</v>
      </c>
      <c r="B413" s="14">
        <v>6.5094536E7</v>
      </c>
      <c r="C413" s="14">
        <v>2.65590404E8</v>
      </c>
      <c r="D413" s="2" t="s">
        <v>1429</v>
      </c>
      <c r="E413" s="1" t="s">
        <v>107</v>
      </c>
      <c r="F413" s="14">
        <v>0.8856</v>
      </c>
      <c r="G413" s="15"/>
      <c r="H413" s="16"/>
      <c r="I413" s="14"/>
    </row>
    <row r="414">
      <c r="A414" s="14">
        <v>578.0</v>
      </c>
      <c r="B414" s="14">
        <v>1.1270697E7</v>
      </c>
      <c r="C414" s="14">
        <v>4.7870847E7</v>
      </c>
      <c r="D414" s="2" t="s">
        <v>1433</v>
      </c>
      <c r="E414" s="1" t="s">
        <v>121</v>
      </c>
      <c r="F414" s="14">
        <v>0.8851</v>
      </c>
      <c r="G414" s="15"/>
      <c r="H414" s="16"/>
      <c r="I414" s="14"/>
    </row>
    <row r="415">
      <c r="A415" s="14">
        <v>285.0</v>
      </c>
      <c r="B415" s="14">
        <v>8498915.0</v>
      </c>
      <c r="C415" s="14">
        <v>3.6004357E7</v>
      </c>
      <c r="D415" s="2" t="s">
        <v>1436</v>
      </c>
      <c r="E415" s="1" t="s">
        <v>699</v>
      </c>
      <c r="F415" s="14">
        <v>0.885</v>
      </c>
      <c r="G415" s="15"/>
      <c r="H415" s="16"/>
      <c r="I415" s="14"/>
    </row>
    <row r="416">
      <c r="A416" s="14">
        <v>643.0</v>
      </c>
      <c r="B416" s="14">
        <v>1.0686774E7</v>
      </c>
      <c r="C416" s="14">
        <v>4.5407967E7</v>
      </c>
      <c r="D416" s="2" t="s">
        <v>1439</v>
      </c>
      <c r="E416" s="1" t="s">
        <v>121</v>
      </c>
      <c r="F416" s="14">
        <v>0.8849</v>
      </c>
      <c r="G416" s="15"/>
      <c r="H416" s="16"/>
      <c r="I416" s="14"/>
    </row>
    <row r="417">
      <c r="A417" s="14">
        <v>500.0</v>
      </c>
      <c r="B417" s="14">
        <v>1.1917231E7</v>
      </c>
      <c r="C417" s="14">
        <v>5.0618905E7</v>
      </c>
      <c r="D417" s="2" t="s">
        <v>1441</v>
      </c>
      <c r="E417" s="1" t="s">
        <v>121</v>
      </c>
      <c r="F417" s="14">
        <v>0.8849</v>
      </c>
      <c r="G417" s="15"/>
      <c r="H417" s="16"/>
      <c r="I417" s="14"/>
    </row>
    <row r="418">
      <c r="A418" s="14">
        <v>142.0</v>
      </c>
      <c r="B418" s="14">
        <v>7382925.0</v>
      </c>
      <c r="C418" s="14">
        <v>3.1432519E7</v>
      </c>
      <c r="D418" s="2" t="s">
        <v>1445</v>
      </c>
      <c r="E418" s="1" t="s">
        <v>107</v>
      </c>
      <c r="F418" s="14">
        <v>0.8836</v>
      </c>
      <c r="G418" s="15"/>
      <c r="H418" s="16"/>
      <c r="I418" s="14"/>
    </row>
    <row r="419">
      <c r="A419" s="14">
        <v>578.0</v>
      </c>
      <c r="B419" s="14">
        <v>3139782.0</v>
      </c>
      <c r="C419" s="14">
        <v>1.3359878E7</v>
      </c>
      <c r="D419" s="2" t="s">
        <v>1447</v>
      </c>
      <c r="E419" s="1" t="s">
        <v>107</v>
      </c>
      <c r="F419" s="14">
        <v>0.8834</v>
      </c>
      <c r="G419" s="15"/>
      <c r="H419" s="16"/>
      <c r="I419" s="14"/>
    </row>
    <row r="420">
      <c r="A420" s="14">
        <v>578.0</v>
      </c>
      <c r="B420" s="14">
        <v>1.6598176E7</v>
      </c>
      <c r="C420" s="14">
        <v>7.0347876E7</v>
      </c>
      <c r="D420" s="2" t="s">
        <v>1450</v>
      </c>
      <c r="E420" s="1" t="s">
        <v>107</v>
      </c>
      <c r="F420" s="14">
        <v>0.8834</v>
      </c>
      <c r="G420" s="15"/>
      <c r="H420" s="16"/>
      <c r="I420" s="14"/>
    </row>
    <row r="421">
      <c r="A421" s="14">
        <v>630.0</v>
      </c>
      <c r="B421" s="14">
        <v>7.5024193E7</v>
      </c>
      <c r="C421" s="14">
        <v>3.21277151E8</v>
      </c>
      <c r="D421" s="2" t="s">
        <v>1452</v>
      </c>
      <c r="E421" s="1" t="s">
        <v>107</v>
      </c>
      <c r="F421" s="14">
        <v>0.8834</v>
      </c>
      <c r="G421" s="15"/>
      <c r="H421" s="16"/>
      <c r="I421" s="14"/>
    </row>
    <row r="422">
      <c r="A422" s="14">
        <v>353.0</v>
      </c>
      <c r="B422" s="14">
        <v>7.1992735E7</v>
      </c>
      <c r="C422" s="14">
        <v>4.54379771E8</v>
      </c>
      <c r="D422" s="2" t="s">
        <v>1456</v>
      </c>
      <c r="E422" s="1" t="s">
        <v>699</v>
      </c>
      <c r="F422" s="14">
        <v>0.8834</v>
      </c>
      <c r="G422" s="15"/>
      <c r="H422" s="16"/>
      <c r="I422" s="14"/>
    </row>
    <row r="423">
      <c r="A423" s="14">
        <v>587.0</v>
      </c>
      <c r="B423" s="14">
        <v>8891310.0</v>
      </c>
      <c r="C423" s="14">
        <v>3.7640443E7</v>
      </c>
      <c r="D423" s="2" t="s">
        <v>1458</v>
      </c>
      <c r="E423" s="1" t="s">
        <v>107</v>
      </c>
      <c r="F423" s="14">
        <v>0.8832</v>
      </c>
      <c r="G423" s="15"/>
      <c r="H423" s="16"/>
      <c r="I423" s="14"/>
    </row>
    <row r="424">
      <c r="A424" s="14">
        <v>394.0</v>
      </c>
      <c r="B424" s="14">
        <v>5.4379239E7</v>
      </c>
      <c r="C424" s="14">
        <v>2.15811063E8</v>
      </c>
      <c r="D424" s="2" t="s">
        <v>1461</v>
      </c>
      <c r="E424" s="1" t="s">
        <v>107</v>
      </c>
      <c r="F424" s="14">
        <v>0.8832</v>
      </c>
      <c r="G424" s="15"/>
      <c r="H424" s="16"/>
      <c r="I424" s="14"/>
    </row>
    <row r="425">
      <c r="A425" s="14">
        <v>587.0</v>
      </c>
      <c r="B425" s="14">
        <v>9.8050766E7</v>
      </c>
      <c r="C425" s="14">
        <v>4.19314574E8</v>
      </c>
      <c r="D425" s="2" t="s">
        <v>700</v>
      </c>
      <c r="E425" s="1" t="s">
        <v>121</v>
      </c>
      <c r="F425" s="14">
        <v>0.8832</v>
      </c>
      <c r="G425" s="15"/>
      <c r="H425" s="16"/>
      <c r="I425" s="14"/>
    </row>
    <row r="426">
      <c r="A426" s="14">
        <v>410.0</v>
      </c>
      <c r="B426" s="14">
        <v>2.4243515E7</v>
      </c>
      <c r="C426" s="14">
        <v>9.9527446E7</v>
      </c>
      <c r="D426" s="2" t="s">
        <v>1464</v>
      </c>
      <c r="E426" s="1" t="s">
        <v>107</v>
      </c>
      <c r="F426" s="14">
        <v>0.8822</v>
      </c>
      <c r="G426" s="15"/>
      <c r="H426" s="16"/>
      <c r="I426" s="14"/>
    </row>
    <row r="427">
      <c r="A427" s="14">
        <v>715.0</v>
      </c>
      <c r="B427" s="14">
        <v>7.3564225E7</v>
      </c>
      <c r="C427" s="14">
        <v>3.04296245E8</v>
      </c>
      <c r="D427" s="2" t="s">
        <v>1466</v>
      </c>
      <c r="E427" s="1" t="s">
        <v>699</v>
      </c>
      <c r="F427" s="14">
        <v>0.8822</v>
      </c>
      <c r="G427" s="15"/>
      <c r="H427" s="16"/>
      <c r="I427" s="14"/>
    </row>
    <row r="428">
      <c r="A428" s="14">
        <v>676.0</v>
      </c>
      <c r="B428" s="14">
        <v>1.2728465E7</v>
      </c>
      <c r="C428" s="14">
        <v>5.4013674E7</v>
      </c>
      <c r="D428" s="2" t="s">
        <v>1470</v>
      </c>
      <c r="E428" s="1" t="s">
        <v>107</v>
      </c>
      <c r="F428" s="14">
        <v>0.8807</v>
      </c>
      <c r="G428" s="15"/>
      <c r="H428" s="16"/>
      <c r="I428" s="14"/>
    </row>
    <row r="429">
      <c r="A429" s="14">
        <v>694.0</v>
      </c>
      <c r="B429" s="14">
        <v>1.5170577E7</v>
      </c>
      <c r="C429" s="14">
        <v>6.4473533E7</v>
      </c>
      <c r="D429" s="2" t="s">
        <v>1472</v>
      </c>
      <c r="E429" s="1" t="s">
        <v>107</v>
      </c>
      <c r="F429" s="14">
        <v>0.8807</v>
      </c>
      <c r="G429" s="15"/>
      <c r="H429" s="16"/>
      <c r="I429" s="14"/>
    </row>
    <row r="430">
      <c r="A430" s="14">
        <v>674.0</v>
      </c>
      <c r="B430" s="14">
        <v>6.8065286E7</v>
      </c>
      <c r="C430" s="14">
        <v>2.79418261E8</v>
      </c>
      <c r="D430" s="2" t="s">
        <v>1475</v>
      </c>
      <c r="E430" s="1" t="s">
        <v>107</v>
      </c>
      <c r="F430" s="14">
        <v>0.8807</v>
      </c>
      <c r="G430" s="15"/>
      <c r="H430" s="16"/>
      <c r="I430" s="14"/>
    </row>
    <row r="431">
      <c r="A431" s="14">
        <v>173.0</v>
      </c>
      <c r="B431" s="14">
        <v>9.2536373E7</v>
      </c>
      <c r="C431" s="14">
        <v>3.92808292E8</v>
      </c>
      <c r="D431" s="2" t="s">
        <v>1005</v>
      </c>
      <c r="E431" s="1" t="s">
        <v>699</v>
      </c>
      <c r="F431" s="14">
        <v>0.8807</v>
      </c>
      <c r="G431" s="15"/>
      <c r="H431" s="16"/>
      <c r="I431" s="14"/>
    </row>
    <row r="432">
      <c r="A432" s="14">
        <v>672.0</v>
      </c>
      <c r="B432" s="14">
        <v>1.9242551E7</v>
      </c>
      <c r="C432" s="14">
        <v>8.0728327E7</v>
      </c>
      <c r="D432" s="2" t="s">
        <v>1479</v>
      </c>
      <c r="E432" s="1" t="s">
        <v>121</v>
      </c>
      <c r="F432" s="14">
        <v>0.8807</v>
      </c>
      <c r="G432" s="15"/>
      <c r="H432" s="16"/>
      <c r="I432" s="14"/>
    </row>
    <row r="433">
      <c r="A433" s="14">
        <v>481.0</v>
      </c>
      <c r="B433" s="14">
        <v>2765654.0</v>
      </c>
      <c r="C433" s="14">
        <v>1.1669256E7</v>
      </c>
      <c r="D433" s="2" t="s">
        <v>1484</v>
      </c>
      <c r="E433" s="1" t="s">
        <v>107</v>
      </c>
      <c r="F433" s="14">
        <v>0.8805</v>
      </c>
      <c r="G433" s="15"/>
      <c r="H433" s="16"/>
      <c r="I433" s="14"/>
    </row>
    <row r="434">
      <c r="A434" s="14">
        <v>680.0</v>
      </c>
      <c r="B434" s="14">
        <v>4775714.0</v>
      </c>
      <c r="C434" s="14">
        <v>2.0274055E7</v>
      </c>
      <c r="D434" s="2" t="s">
        <v>1486</v>
      </c>
      <c r="E434" s="1" t="s">
        <v>107</v>
      </c>
      <c r="F434" s="14">
        <v>0.8805</v>
      </c>
      <c r="G434" s="15"/>
      <c r="H434" s="16"/>
      <c r="I434" s="14"/>
    </row>
    <row r="435">
      <c r="A435" s="14">
        <v>531.0</v>
      </c>
      <c r="B435" s="14">
        <v>2.4253978E7</v>
      </c>
      <c r="C435" s="14">
        <v>9.9661125E7</v>
      </c>
      <c r="D435" s="2" t="s">
        <v>1489</v>
      </c>
      <c r="E435" s="1" t="s">
        <v>107</v>
      </c>
      <c r="F435" s="14">
        <v>0.88</v>
      </c>
      <c r="G435" s="15"/>
      <c r="H435" s="16"/>
      <c r="I435" s="14"/>
    </row>
    <row r="436">
      <c r="A436" s="14">
        <v>679.0</v>
      </c>
      <c r="B436" s="14">
        <v>2830942.0</v>
      </c>
      <c r="C436" s="14">
        <v>1.1991557E7</v>
      </c>
      <c r="D436" s="2" t="s">
        <v>1491</v>
      </c>
      <c r="E436" s="1" t="s">
        <v>121</v>
      </c>
      <c r="F436" s="14">
        <v>0.88</v>
      </c>
      <c r="G436" s="15"/>
      <c r="H436" s="16"/>
      <c r="I436" s="14"/>
    </row>
    <row r="437">
      <c r="A437" s="14">
        <v>394.0</v>
      </c>
      <c r="B437" s="14">
        <v>5.9821623E7</v>
      </c>
      <c r="C437" s="14">
        <v>2.3987502E8</v>
      </c>
      <c r="D437" s="2" t="s">
        <v>1494</v>
      </c>
      <c r="E437" s="1" t="s">
        <v>107</v>
      </c>
      <c r="F437" s="14">
        <v>0.8799</v>
      </c>
      <c r="G437" s="15"/>
      <c r="H437" s="16"/>
      <c r="I437" s="14"/>
    </row>
    <row r="438">
      <c r="A438" s="14">
        <v>671.0</v>
      </c>
      <c r="B438" s="14">
        <v>6990030.0</v>
      </c>
      <c r="C438" s="14">
        <v>2.9713908E7</v>
      </c>
      <c r="D438" s="2" t="s">
        <v>1496</v>
      </c>
      <c r="E438" s="1" t="s">
        <v>107</v>
      </c>
      <c r="F438" s="14">
        <v>0.8797</v>
      </c>
      <c r="G438" s="15"/>
      <c r="H438" s="16"/>
      <c r="I438" s="14"/>
    </row>
    <row r="439">
      <c r="A439" s="14">
        <v>472.0</v>
      </c>
      <c r="B439" s="14">
        <v>1.4194165E7</v>
      </c>
      <c r="C439" s="14">
        <v>6.0444923E7</v>
      </c>
      <c r="D439" s="2" t="s">
        <v>1498</v>
      </c>
      <c r="E439" s="1" t="s">
        <v>107</v>
      </c>
      <c r="F439" s="14">
        <v>0.8796</v>
      </c>
      <c r="G439" s="15"/>
      <c r="H439" s="16"/>
      <c r="I439" s="14"/>
    </row>
    <row r="440">
      <c r="A440" s="14">
        <v>565.0</v>
      </c>
      <c r="B440" s="14">
        <v>1.0770769E8</v>
      </c>
      <c r="C440" s="14">
        <v>4.65499123E8</v>
      </c>
      <c r="D440" s="2" t="s">
        <v>228</v>
      </c>
      <c r="E440" s="1" t="s">
        <v>121</v>
      </c>
      <c r="F440" s="14">
        <v>0.8791</v>
      </c>
      <c r="G440" s="15"/>
      <c r="H440" s="16"/>
      <c r="I440" s="14"/>
    </row>
    <row r="441">
      <c r="A441" s="14">
        <v>55.0</v>
      </c>
      <c r="B441" s="14">
        <v>4811552.0</v>
      </c>
      <c r="C441" s="14">
        <v>2.0472073E7</v>
      </c>
      <c r="D441" s="2" t="s">
        <v>1501</v>
      </c>
      <c r="E441" s="1" t="s">
        <v>107</v>
      </c>
      <c r="F441" s="14">
        <v>0.879</v>
      </c>
      <c r="G441" s="15"/>
      <c r="H441" s="16"/>
      <c r="I441" s="14"/>
    </row>
    <row r="442">
      <c r="A442" s="14">
        <v>409.0</v>
      </c>
      <c r="B442" s="14">
        <v>8.8075166E7</v>
      </c>
      <c r="C442" s="14">
        <v>3.72646642E8</v>
      </c>
      <c r="D442" s="2" t="s">
        <v>1235</v>
      </c>
      <c r="E442" s="1" t="s">
        <v>121</v>
      </c>
      <c r="F442" s="14">
        <v>0.879</v>
      </c>
      <c r="G442" s="15"/>
      <c r="H442" s="16"/>
      <c r="I442" s="14"/>
    </row>
    <row r="443">
      <c r="A443" s="14">
        <v>531.0</v>
      </c>
      <c r="B443" s="14">
        <v>1.0315308E7</v>
      </c>
      <c r="C443" s="14">
        <v>4.4620417E7</v>
      </c>
      <c r="D443" s="2" t="s">
        <v>1506</v>
      </c>
      <c r="E443" s="1" t="s">
        <v>107</v>
      </c>
      <c r="F443" s="14">
        <v>0.8779</v>
      </c>
      <c r="G443" s="15"/>
      <c r="H443" s="16"/>
      <c r="I443" s="14"/>
    </row>
    <row r="444">
      <c r="A444" s="14">
        <v>596.0</v>
      </c>
      <c r="B444" s="14">
        <v>1.8477249E7</v>
      </c>
      <c r="C444" s="14">
        <v>7.7600273E7</v>
      </c>
      <c r="D444" s="2" t="s">
        <v>1509</v>
      </c>
      <c r="E444" s="1" t="s">
        <v>107</v>
      </c>
      <c r="F444" s="14">
        <v>0.8779</v>
      </c>
      <c r="G444" s="15"/>
      <c r="H444" s="16"/>
      <c r="I444" s="14"/>
    </row>
    <row r="445">
      <c r="A445" s="14">
        <v>173.0</v>
      </c>
      <c r="B445" s="14">
        <v>7.7854278E7</v>
      </c>
      <c r="C445" s="14">
        <v>3.23963898E8</v>
      </c>
      <c r="D445" s="2" t="s">
        <v>1511</v>
      </c>
      <c r="E445" s="1" t="s">
        <v>107</v>
      </c>
      <c r="F445" s="14">
        <v>0.8779</v>
      </c>
      <c r="G445" s="15"/>
      <c r="H445" s="16"/>
      <c r="I445" s="14"/>
    </row>
    <row r="446">
      <c r="A446" s="14">
        <v>532.0</v>
      </c>
      <c r="B446" s="14">
        <v>9.559357E7</v>
      </c>
      <c r="C446" s="14">
        <v>4.0704121E8</v>
      </c>
      <c r="D446" s="2" t="s">
        <v>843</v>
      </c>
      <c r="E446" s="1" t="s">
        <v>107</v>
      </c>
      <c r="F446" s="14">
        <v>0.8779</v>
      </c>
      <c r="G446" s="15"/>
      <c r="H446" s="16"/>
      <c r="I446" s="14"/>
    </row>
    <row r="447">
      <c r="A447" s="14">
        <v>157.0</v>
      </c>
      <c r="B447" s="14">
        <v>627443.0</v>
      </c>
      <c r="C447" s="14">
        <v>3045284.0</v>
      </c>
      <c r="D447" s="2" t="s">
        <v>1517</v>
      </c>
      <c r="E447" s="1" t="s">
        <v>121</v>
      </c>
      <c r="F447" s="14">
        <v>0.8779</v>
      </c>
      <c r="G447" s="15"/>
      <c r="H447" s="16"/>
      <c r="I447" s="14"/>
    </row>
    <row r="448">
      <c r="A448" s="14">
        <v>120.0</v>
      </c>
      <c r="B448" s="14">
        <v>969175.0</v>
      </c>
      <c r="C448" s="14">
        <v>4488557.0</v>
      </c>
      <c r="D448" s="2" t="s">
        <v>1520</v>
      </c>
      <c r="E448" s="1" t="s">
        <v>121</v>
      </c>
      <c r="F448" s="14">
        <v>0.8779</v>
      </c>
      <c r="G448" s="15"/>
      <c r="H448" s="16"/>
      <c r="I448" s="14"/>
    </row>
    <row r="449">
      <c r="A449" s="14">
        <v>663.0</v>
      </c>
      <c r="B449" s="14">
        <v>5556381.0</v>
      </c>
      <c r="C449" s="14">
        <v>2.3758824E7</v>
      </c>
      <c r="D449" s="2" t="s">
        <v>1522</v>
      </c>
      <c r="E449" s="1" t="s">
        <v>121</v>
      </c>
      <c r="F449" s="14">
        <v>0.8779</v>
      </c>
      <c r="G449" s="15"/>
      <c r="H449" s="16"/>
      <c r="I449" s="14"/>
    </row>
    <row r="450">
      <c r="A450" s="14">
        <v>120.0</v>
      </c>
      <c r="B450" s="14">
        <v>255362.0</v>
      </c>
      <c r="C450" s="14">
        <v>1075501.0</v>
      </c>
      <c r="D450" s="2" t="s">
        <v>1525</v>
      </c>
      <c r="E450" s="1" t="s">
        <v>107</v>
      </c>
      <c r="F450" s="14">
        <v>0.8777</v>
      </c>
      <c r="G450" s="15"/>
      <c r="H450" s="16"/>
      <c r="I450" s="14"/>
    </row>
    <row r="451">
      <c r="A451" s="14">
        <v>609.0</v>
      </c>
      <c r="B451" s="14">
        <v>5184853.0</v>
      </c>
      <c r="C451" s="14">
        <v>2.2087346E7</v>
      </c>
      <c r="D451" s="2" t="s">
        <v>1529</v>
      </c>
      <c r="E451" s="1" t="s">
        <v>121</v>
      </c>
      <c r="F451" s="14">
        <v>0.8777</v>
      </c>
      <c r="G451" s="15"/>
      <c r="H451" s="16"/>
      <c r="I451" s="14"/>
    </row>
    <row r="452">
      <c r="A452" s="14">
        <v>571.0</v>
      </c>
      <c r="B452" s="14">
        <v>2.5072229E7</v>
      </c>
      <c r="C452" s="14">
        <v>1.0187952E8</v>
      </c>
      <c r="D452" s="2" t="s">
        <v>1532</v>
      </c>
      <c r="E452" s="1" t="s">
        <v>121</v>
      </c>
      <c r="F452" s="14">
        <v>0.8777</v>
      </c>
      <c r="G452" s="15"/>
      <c r="H452" s="16"/>
      <c r="I452" s="14"/>
    </row>
    <row r="453">
      <c r="A453" s="14">
        <v>531.0</v>
      </c>
      <c r="B453" s="14">
        <v>1.08905476E8</v>
      </c>
      <c r="C453" s="14">
        <v>4.71414856E8</v>
      </c>
      <c r="D453" s="2" t="s">
        <v>159</v>
      </c>
      <c r="E453" s="1" t="s">
        <v>121</v>
      </c>
      <c r="F453" s="14">
        <v>0.8777</v>
      </c>
      <c r="G453" s="15"/>
      <c r="H453" s="16"/>
      <c r="I453" s="14"/>
    </row>
    <row r="454">
      <c r="A454" s="14">
        <v>671.0</v>
      </c>
      <c r="B454" s="14">
        <v>1.11519396E8</v>
      </c>
      <c r="C454" s="14">
        <v>4.83753839E8</v>
      </c>
      <c r="D454" s="2" t="s">
        <v>43</v>
      </c>
      <c r="E454" s="1" t="s">
        <v>107</v>
      </c>
      <c r="F454" s="14">
        <v>0.8774</v>
      </c>
      <c r="G454" s="15"/>
      <c r="H454" s="16"/>
      <c r="I454" s="14"/>
    </row>
    <row r="455">
      <c r="A455" s="14">
        <v>337.0</v>
      </c>
      <c r="B455" s="14">
        <v>1.0513329E7</v>
      </c>
      <c r="C455" s="14">
        <v>4.4610238E7</v>
      </c>
      <c r="D455" s="2" t="s">
        <v>1537</v>
      </c>
      <c r="E455" s="1" t="s">
        <v>107</v>
      </c>
      <c r="F455" s="14">
        <v>0.8772</v>
      </c>
      <c r="G455" s="15"/>
      <c r="H455" s="16"/>
      <c r="I455" s="14"/>
    </row>
    <row r="456">
      <c r="A456" s="14">
        <v>353.0</v>
      </c>
      <c r="B456" s="14">
        <v>1.03333605E8</v>
      </c>
      <c r="C456" s="14">
        <v>4.4447838E8</v>
      </c>
      <c r="D456" s="2" t="s">
        <v>408</v>
      </c>
      <c r="E456" s="1" t="s">
        <v>107</v>
      </c>
      <c r="F456" s="14">
        <v>0.8772</v>
      </c>
      <c r="G456" s="15"/>
      <c r="H456" s="16"/>
      <c r="I456" s="14"/>
    </row>
    <row r="457">
      <c r="A457" s="14">
        <v>173.0</v>
      </c>
      <c r="B457" s="14">
        <v>8.2189184E7</v>
      </c>
      <c r="C457" s="14">
        <v>3.45434351E8</v>
      </c>
      <c r="D457" s="2" t="s">
        <v>1541</v>
      </c>
      <c r="E457" s="1" t="s">
        <v>107</v>
      </c>
      <c r="F457" s="14">
        <v>0.8762</v>
      </c>
      <c r="G457" s="15"/>
      <c r="H457" s="16"/>
      <c r="I457" s="14"/>
    </row>
    <row r="458">
      <c r="A458" s="14">
        <v>500.0</v>
      </c>
      <c r="B458" s="14">
        <v>1154038.0</v>
      </c>
      <c r="C458" s="14">
        <v>5186058.0</v>
      </c>
      <c r="D458" s="2" t="s">
        <v>1545</v>
      </c>
      <c r="E458" s="1" t="s">
        <v>121</v>
      </c>
      <c r="F458" s="14">
        <v>0.8762</v>
      </c>
      <c r="G458" s="15"/>
      <c r="H458" s="16"/>
      <c r="I458" s="14"/>
    </row>
    <row r="459">
      <c r="A459" s="14">
        <v>414.0</v>
      </c>
      <c r="B459" s="14">
        <v>3.4687705E7</v>
      </c>
      <c r="C459" s="14">
        <v>1.38486871E8</v>
      </c>
      <c r="D459" s="2" t="s">
        <v>1548</v>
      </c>
      <c r="E459" s="1" t="s">
        <v>121</v>
      </c>
      <c r="F459" s="14">
        <v>0.8761</v>
      </c>
      <c r="G459" s="15"/>
      <c r="H459" s="16"/>
      <c r="I459" s="14"/>
    </row>
    <row r="460">
      <c r="A460" s="14">
        <v>597.0</v>
      </c>
      <c r="B460" s="14">
        <v>8.4037155E7</v>
      </c>
      <c r="C460" s="14">
        <v>3.53406012E8</v>
      </c>
      <c r="D460" s="2" t="s">
        <v>1508</v>
      </c>
      <c r="E460" s="1" t="s">
        <v>107</v>
      </c>
      <c r="F460" s="14">
        <v>0.8759</v>
      </c>
      <c r="G460" s="15"/>
      <c r="H460" s="16"/>
      <c r="I460" s="14"/>
    </row>
    <row r="461">
      <c r="A461" s="14">
        <v>212.0</v>
      </c>
      <c r="B461" s="14">
        <v>133432.0</v>
      </c>
      <c r="C461" s="14">
        <v>830557.0</v>
      </c>
      <c r="D461" s="2" t="s">
        <v>1552</v>
      </c>
      <c r="E461" s="1" t="s">
        <v>107</v>
      </c>
      <c r="F461" s="14">
        <v>0.875</v>
      </c>
      <c r="G461" s="15"/>
      <c r="H461" s="16"/>
      <c r="I461" s="14"/>
    </row>
    <row r="462">
      <c r="A462" s="14">
        <v>215.0</v>
      </c>
      <c r="B462" s="14">
        <v>4269658.0</v>
      </c>
      <c r="C462" s="14">
        <v>1.817091E7</v>
      </c>
      <c r="D462" s="2" t="s">
        <v>1553</v>
      </c>
      <c r="E462" s="1" t="s">
        <v>107</v>
      </c>
      <c r="F462" s="14">
        <v>0.875</v>
      </c>
      <c r="G462" s="15"/>
      <c r="H462" s="16"/>
      <c r="I462" s="14"/>
    </row>
    <row r="463">
      <c r="A463" s="14">
        <v>379.0</v>
      </c>
      <c r="B463" s="14">
        <v>2.4231787E7</v>
      </c>
      <c r="C463" s="14">
        <v>9.9463011E7</v>
      </c>
      <c r="D463" s="2" t="s">
        <v>1555</v>
      </c>
      <c r="E463" s="1" t="s">
        <v>107</v>
      </c>
      <c r="F463" s="14">
        <v>0.875</v>
      </c>
      <c r="G463" s="15"/>
      <c r="H463" s="16"/>
      <c r="I463" s="14"/>
    </row>
    <row r="464">
      <c r="A464" s="14">
        <v>353.0</v>
      </c>
      <c r="B464" s="14">
        <v>8.4387913E7</v>
      </c>
      <c r="C464" s="14">
        <v>3.54891818E8</v>
      </c>
      <c r="D464" s="2" t="s">
        <v>1474</v>
      </c>
      <c r="E464" s="1" t="s">
        <v>107</v>
      </c>
      <c r="F464" s="14">
        <v>0.875</v>
      </c>
      <c r="G464" s="15"/>
      <c r="H464" s="16"/>
      <c r="I464" s="14"/>
    </row>
    <row r="465">
      <c r="A465" s="14">
        <v>173.0</v>
      </c>
      <c r="B465" s="14">
        <v>1.01563209E8</v>
      </c>
      <c r="C465" s="14">
        <v>4.35810108E8</v>
      </c>
      <c r="D465" s="2" t="s">
        <v>495</v>
      </c>
      <c r="E465" s="1" t="s">
        <v>107</v>
      </c>
      <c r="F465" s="14">
        <v>0.875</v>
      </c>
      <c r="G465" s="15"/>
      <c r="H465" s="16"/>
      <c r="I465" s="14"/>
    </row>
    <row r="466">
      <c r="A466" s="14">
        <v>419.0</v>
      </c>
      <c r="B466" s="14">
        <v>4.1906112E7</v>
      </c>
      <c r="C466" s="14">
        <v>1.65781759E8</v>
      </c>
      <c r="D466" s="2" t="s">
        <v>1561</v>
      </c>
      <c r="E466" s="1" t="s">
        <v>107</v>
      </c>
      <c r="F466" s="14">
        <v>0.8748</v>
      </c>
      <c r="G466" s="15"/>
      <c r="H466" s="16"/>
      <c r="I466" s="14"/>
    </row>
    <row r="467">
      <c r="A467" s="14">
        <v>587.0</v>
      </c>
      <c r="B467" s="14">
        <v>9.876241E7</v>
      </c>
      <c r="C467" s="14">
        <v>4.224219E8</v>
      </c>
      <c r="D467" s="2" t="s">
        <v>663</v>
      </c>
      <c r="E467" s="1" t="s">
        <v>107</v>
      </c>
      <c r="F467" s="14">
        <v>0.8748</v>
      </c>
      <c r="G467" s="15"/>
      <c r="H467" s="16"/>
      <c r="I467" s="14"/>
    </row>
    <row r="468">
      <c r="A468" s="14">
        <v>676.0</v>
      </c>
      <c r="B468" s="14">
        <v>5520296.0</v>
      </c>
      <c r="C468" s="14">
        <v>2.3601658E7</v>
      </c>
      <c r="D468" s="2" t="s">
        <v>1569</v>
      </c>
      <c r="E468" s="1" t="s">
        <v>107</v>
      </c>
      <c r="F468" s="14">
        <v>0.8746</v>
      </c>
      <c r="G468" s="15"/>
      <c r="H468" s="16"/>
      <c r="I468" s="14"/>
    </row>
    <row r="469">
      <c r="A469" s="14">
        <v>644.0</v>
      </c>
      <c r="B469" s="14">
        <v>8.7371238E7</v>
      </c>
      <c r="C469" s="14">
        <v>3.69387734E8</v>
      </c>
      <c r="D469" s="2" t="s">
        <v>1279</v>
      </c>
      <c r="E469" s="1" t="s">
        <v>107</v>
      </c>
      <c r="F469" s="14">
        <v>0.8744</v>
      </c>
      <c r="G469" s="15"/>
      <c r="H469" s="16"/>
      <c r="I469" s="14"/>
    </row>
    <row r="470">
      <c r="A470" s="14">
        <v>671.0</v>
      </c>
      <c r="B470" s="14">
        <v>1.0876402E7</v>
      </c>
      <c r="C470" s="14">
        <v>4.6249596E7</v>
      </c>
      <c r="D470" s="2" t="s">
        <v>1572</v>
      </c>
      <c r="E470" s="1" t="s">
        <v>121</v>
      </c>
      <c r="F470" s="14">
        <v>0.8742</v>
      </c>
      <c r="G470" s="15"/>
      <c r="H470" s="16"/>
      <c r="I470" s="14"/>
    </row>
    <row r="471">
      <c r="A471" s="14">
        <v>715.0</v>
      </c>
      <c r="B471" s="14">
        <v>8645343.0</v>
      </c>
      <c r="C471" s="14">
        <v>3.6621929E7</v>
      </c>
      <c r="D471" s="2" t="s">
        <v>1575</v>
      </c>
      <c r="E471" s="1" t="s">
        <v>107</v>
      </c>
      <c r="F471" s="14">
        <v>0.8741</v>
      </c>
      <c r="G471" s="15"/>
      <c r="H471" s="16"/>
      <c r="I471" s="14"/>
    </row>
    <row r="472">
      <c r="A472" s="14">
        <v>609.0</v>
      </c>
      <c r="B472" s="14">
        <v>1.0426274E7</v>
      </c>
      <c r="C472" s="14">
        <v>4.4256683E7</v>
      </c>
      <c r="D472" s="2" t="s">
        <v>1578</v>
      </c>
      <c r="E472" s="1" t="s">
        <v>121</v>
      </c>
      <c r="F472" s="14">
        <v>0.8737</v>
      </c>
      <c r="G472" s="15"/>
      <c r="H472" s="16"/>
      <c r="I472" s="14"/>
    </row>
    <row r="473">
      <c r="A473" s="14">
        <v>609.0</v>
      </c>
      <c r="B473" s="14">
        <v>1.0079952E7</v>
      </c>
      <c r="C473" s="14">
        <v>4.2786413E7</v>
      </c>
      <c r="D473" s="2" t="s">
        <v>1581</v>
      </c>
      <c r="E473" s="1" t="s">
        <v>107</v>
      </c>
      <c r="F473" s="14">
        <v>0.8735</v>
      </c>
      <c r="G473" s="15"/>
      <c r="H473" s="16"/>
      <c r="I473" s="14"/>
    </row>
    <row r="474">
      <c r="A474" s="14">
        <v>392.0</v>
      </c>
      <c r="B474" s="14">
        <v>4927557.0</v>
      </c>
      <c r="C474" s="14">
        <v>2.0940903E7</v>
      </c>
      <c r="D474" s="2" t="s">
        <v>1583</v>
      </c>
      <c r="E474" s="1" t="s">
        <v>121</v>
      </c>
      <c r="F474" s="14">
        <v>0.8731</v>
      </c>
      <c r="G474" s="15"/>
      <c r="H474" s="16"/>
      <c r="I474" s="14"/>
    </row>
    <row r="475">
      <c r="A475" s="14">
        <v>665.0</v>
      </c>
      <c r="B475" s="14">
        <v>1.9213642E7</v>
      </c>
      <c r="C475" s="14">
        <v>8.0477197E7</v>
      </c>
      <c r="D475" s="2" t="s">
        <v>1586</v>
      </c>
      <c r="E475" s="1" t="s">
        <v>107</v>
      </c>
      <c r="F475" s="14">
        <v>0.873</v>
      </c>
      <c r="G475" s="15"/>
      <c r="H475" s="16"/>
      <c r="I475" s="14"/>
    </row>
    <row r="476">
      <c r="A476" s="14">
        <v>129.0</v>
      </c>
      <c r="B476" s="14">
        <v>9.6130138E7</v>
      </c>
      <c r="C476" s="14">
        <v>4.09957535E8</v>
      </c>
      <c r="D476" s="2" t="s">
        <v>815</v>
      </c>
      <c r="E476" s="1" t="s">
        <v>107</v>
      </c>
      <c r="F476" s="14">
        <v>0.873</v>
      </c>
      <c r="G476" s="15"/>
      <c r="H476" s="16"/>
      <c r="I476" s="14"/>
    </row>
    <row r="477">
      <c r="A477" s="14">
        <v>531.0</v>
      </c>
      <c r="B477" s="14">
        <v>1.6738444E7</v>
      </c>
      <c r="C477" s="14">
        <v>7.132768E7</v>
      </c>
      <c r="D477" s="2" t="s">
        <v>1590</v>
      </c>
      <c r="E477" s="1" t="s">
        <v>107</v>
      </c>
      <c r="F477" s="14">
        <v>0.8721</v>
      </c>
      <c r="G477" s="15"/>
      <c r="H477" s="16"/>
      <c r="I477" s="14"/>
    </row>
    <row r="478">
      <c r="A478" s="14">
        <v>173.0</v>
      </c>
      <c r="B478" s="14">
        <v>8.2621472E7</v>
      </c>
      <c r="C478" s="14">
        <v>3.46595323E8</v>
      </c>
      <c r="D478" s="2" t="s">
        <v>1588</v>
      </c>
      <c r="E478" s="1" t="s">
        <v>107</v>
      </c>
      <c r="F478" s="14">
        <v>0.8721</v>
      </c>
      <c r="G478" s="15"/>
      <c r="H478" s="16"/>
      <c r="I478" s="14"/>
    </row>
    <row r="479">
      <c r="A479" s="14">
        <v>120.0</v>
      </c>
      <c r="B479" s="14">
        <v>498621.0</v>
      </c>
      <c r="C479" s="14">
        <v>2357069.0</v>
      </c>
      <c r="D479" s="2" t="s">
        <v>1594</v>
      </c>
      <c r="E479" s="1" t="s">
        <v>107</v>
      </c>
      <c r="F479" s="14">
        <v>0.872</v>
      </c>
      <c r="G479" s="15"/>
      <c r="H479" s="16"/>
      <c r="I479" s="14"/>
    </row>
    <row r="480">
      <c r="A480" s="14">
        <v>210.0</v>
      </c>
      <c r="B480" s="14">
        <v>8.4228495E7</v>
      </c>
      <c r="C480" s="14">
        <v>3.54269336E8</v>
      </c>
      <c r="D480" s="2" t="s">
        <v>1495</v>
      </c>
      <c r="E480" s="1" t="s">
        <v>107</v>
      </c>
      <c r="F480" s="14">
        <v>0.872</v>
      </c>
      <c r="G480" s="15"/>
      <c r="H480" s="16"/>
      <c r="I480" s="14"/>
    </row>
    <row r="481">
      <c r="A481" s="14">
        <v>644.0</v>
      </c>
      <c r="B481" s="14">
        <v>8.5435426E7</v>
      </c>
      <c r="C481" s="14">
        <v>3.60142419E8</v>
      </c>
      <c r="D481" s="2" t="s">
        <v>1396</v>
      </c>
      <c r="E481" s="1" t="s">
        <v>107</v>
      </c>
      <c r="F481" s="14">
        <v>0.872</v>
      </c>
      <c r="G481" s="15"/>
      <c r="H481" s="16"/>
      <c r="I481" s="14"/>
    </row>
    <row r="482">
      <c r="A482" s="14">
        <v>206.0</v>
      </c>
      <c r="B482" s="14">
        <v>264480.0</v>
      </c>
      <c r="C482" s="14">
        <v>3034648.0</v>
      </c>
      <c r="D482" s="2" t="s">
        <v>1600</v>
      </c>
      <c r="E482" s="1" t="s">
        <v>121</v>
      </c>
      <c r="F482" s="14">
        <v>0.872</v>
      </c>
      <c r="G482" s="15"/>
      <c r="H482" s="16"/>
      <c r="I482" s="14"/>
    </row>
    <row r="483">
      <c r="A483" s="14">
        <v>665.0</v>
      </c>
      <c r="B483" s="14">
        <v>1.301933E7</v>
      </c>
      <c r="C483" s="14">
        <v>5.5223308E7</v>
      </c>
      <c r="D483" s="2" t="s">
        <v>1603</v>
      </c>
      <c r="E483" s="1" t="s">
        <v>107</v>
      </c>
      <c r="F483" s="14">
        <v>0.8718</v>
      </c>
      <c r="G483" s="15"/>
      <c r="H483" s="16"/>
      <c r="I483" s="14"/>
    </row>
    <row r="484">
      <c r="A484" s="14">
        <v>353.0</v>
      </c>
      <c r="B484" s="14">
        <v>6.8811899E7</v>
      </c>
      <c r="C484" s="14">
        <v>2.83057698E8</v>
      </c>
      <c r="D484" s="2" t="s">
        <v>1605</v>
      </c>
      <c r="E484" s="1" t="s">
        <v>107</v>
      </c>
      <c r="F484" s="14">
        <v>0.8718</v>
      </c>
      <c r="G484" s="15"/>
      <c r="H484" s="16"/>
      <c r="I484" s="14"/>
    </row>
    <row r="485">
      <c r="A485" s="14">
        <v>353.0</v>
      </c>
      <c r="B485" s="14">
        <v>7.913712E7</v>
      </c>
      <c r="C485" s="14">
        <v>3.3009025E8</v>
      </c>
      <c r="D485" s="2" t="s">
        <v>1608</v>
      </c>
      <c r="E485" s="1" t="s">
        <v>107</v>
      </c>
      <c r="F485" s="14">
        <v>0.8718</v>
      </c>
      <c r="G485" s="15"/>
      <c r="H485" s="16"/>
      <c r="I485" s="14"/>
    </row>
    <row r="486">
      <c r="A486" s="14">
        <v>173.0</v>
      </c>
      <c r="B486" s="14">
        <v>3341783.0</v>
      </c>
      <c r="C486" s="14">
        <v>1.414941E7</v>
      </c>
      <c r="D486" s="2" t="s">
        <v>1610</v>
      </c>
      <c r="E486" s="1" t="s">
        <v>107</v>
      </c>
      <c r="F486" s="14">
        <v>0.8715</v>
      </c>
      <c r="G486" s="15"/>
      <c r="H486" s="16"/>
      <c r="I486" s="14"/>
    </row>
    <row r="487">
      <c r="A487" s="14">
        <v>216.0</v>
      </c>
      <c r="B487" s="14">
        <v>381697.0</v>
      </c>
      <c r="C487" s="14">
        <v>1673222.0</v>
      </c>
      <c r="D487" s="2" t="s">
        <v>1613</v>
      </c>
      <c r="E487" s="1" t="s">
        <v>107</v>
      </c>
      <c r="F487" s="14">
        <v>0.8713</v>
      </c>
      <c r="G487" s="15"/>
      <c r="H487" s="16"/>
      <c r="I487" s="14"/>
    </row>
    <row r="488">
      <c r="A488" s="14">
        <v>609.0</v>
      </c>
      <c r="B488" s="14">
        <v>3.0844281E7</v>
      </c>
      <c r="C488" s="14">
        <v>1.34049853E8</v>
      </c>
      <c r="D488" s="2" t="s">
        <v>1616</v>
      </c>
      <c r="E488" s="1" t="s">
        <v>107</v>
      </c>
      <c r="F488" s="14">
        <v>0.8713</v>
      </c>
      <c r="G488" s="15"/>
      <c r="H488" s="16"/>
      <c r="I488" s="14"/>
    </row>
    <row r="489">
      <c r="A489" s="14">
        <v>671.0</v>
      </c>
      <c r="B489" s="14">
        <v>6.3109655E7</v>
      </c>
      <c r="C489" s="14">
        <v>2.55850162E8</v>
      </c>
      <c r="D489" s="2" t="s">
        <v>1618</v>
      </c>
      <c r="E489" s="1" t="s">
        <v>107</v>
      </c>
      <c r="F489" s="14">
        <v>0.8713</v>
      </c>
      <c r="G489" s="15"/>
      <c r="H489" s="16"/>
      <c r="I489" s="14"/>
    </row>
    <row r="490">
      <c r="A490" s="14">
        <v>630.0</v>
      </c>
      <c r="B490" s="14">
        <v>1.02390685E8</v>
      </c>
      <c r="C490" s="14">
        <v>4.4034822E8</v>
      </c>
      <c r="D490" s="2" t="s">
        <v>445</v>
      </c>
      <c r="E490" s="1" t="s">
        <v>107</v>
      </c>
      <c r="F490" s="14">
        <v>0.8713</v>
      </c>
      <c r="G490" s="15"/>
      <c r="H490" s="16"/>
      <c r="I490" s="14"/>
    </row>
    <row r="491">
      <c r="A491" s="14">
        <v>210.0</v>
      </c>
      <c r="B491" s="14">
        <v>9.2387608E7</v>
      </c>
      <c r="C491" s="14">
        <v>3.92288048E8</v>
      </c>
      <c r="D491" s="2" t="s">
        <v>1009</v>
      </c>
      <c r="E491" s="1" t="s">
        <v>107</v>
      </c>
      <c r="F491" s="14">
        <v>0.8712</v>
      </c>
      <c r="G491" s="15"/>
      <c r="H491" s="16"/>
      <c r="I491" s="14"/>
    </row>
    <row r="492">
      <c r="A492" s="14">
        <v>455.0</v>
      </c>
      <c r="B492" s="14">
        <v>9.558113E7</v>
      </c>
      <c r="C492" s="14">
        <v>4.09458982E8</v>
      </c>
      <c r="D492" s="2" t="s">
        <v>844</v>
      </c>
      <c r="E492" s="1" t="s">
        <v>121</v>
      </c>
      <c r="F492" s="14">
        <v>0.8709</v>
      </c>
      <c r="G492" s="15"/>
      <c r="H492" s="16"/>
      <c r="I492" s="14"/>
    </row>
    <row r="493">
      <c r="A493" s="14">
        <v>656.0</v>
      </c>
      <c r="B493" s="14">
        <v>4.8689227E7</v>
      </c>
      <c r="C493" s="14">
        <v>1.92589855E8</v>
      </c>
      <c r="D493" s="2" t="s">
        <v>1623</v>
      </c>
      <c r="E493" s="1" t="s">
        <v>107</v>
      </c>
      <c r="F493" s="14">
        <v>0.8705</v>
      </c>
      <c r="G493" s="15"/>
      <c r="H493" s="16"/>
      <c r="I493" s="14"/>
    </row>
    <row r="494">
      <c r="A494" s="14">
        <v>550.0</v>
      </c>
      <c r="B494" s="14">
        <v>6353616.0</v>
      </c>
      <c r="C494" s="14">
        <v>2.701558E7</v>
      </c>
      <c r="D494" s="2" t="s">
        <v>1626</v>
      </c>
      <c r="E494" s="1" t="s">
        <v>121</v>
      </c>
      <c r="F494" s="14">
        <v>0.87</v>
      </c>
      <c r="G494" s="15"/>
      <c r="H494" s="16"/>
      <c r="I494" s="14"/>
    </row>
    <row r="495">
      <c r="A495" s="14">
        <v>504.0</v>
      </c>
      <c r="B495" s="14">
        <v>1.2997334E7</v>
      </c>
      <c r="C495" s="14">
        <v>5.5196491E7</v>
      </c>
      <c r="D495" s="2" t="s">
        <v>1628</v>
      </c>
      <c r="E495" s="1" t="s">
        <v>107</v>
      </c>
      <c r="F495" s="14">
        <v>0.8689</v>
      </c>
      <c r="G495" s="15"/>
      <c r="H495" s="16"/>
      <c r="I495" s="14"/>
    </row>
    <row r="496">
      <c r="A496" s="14">
        <v>609.0</v>
      </c>
      <c r="B496" s="14">
        <v>3.2683512E7</v>
      </c>
      <c r="C496" s="14">
        <v>1.30781128E8</v>
      </c>
      <c r="D496" s="2" t="s">
        <v>1631</v>
      </c>
      <c r="E496" s="1" t="s">
        <v>107</v>
      </c>
      <c r="F496" s="14">
        <v>0.8689</v>
      </c>
      <c r="G496" s="15"/>
      <c r="H496" s="16"/>
      <c r="I496" s="14"/>
    </row>
    <row r="497">
      <c r="A497" s="14">
        <v>593.0</v>
      </c>
      <c r="B497" s="14">
        <v>7.0142582E7</v>
      </c>
      <c r="C497" s="14">
        <v>2.89277426E8</v>
      </c>
      <c r="D497" s="2" t="s">
        <v>1633</v>
      </c>
      <c r="E497" s="1" t="s">
        <v>107</v>
      </c>
      <c r="F497" s="14">
        <v>0.8689</v>
      </c>
      <c r="G497" s="15"/>
      <c r="H497" s="16"/>
      <c r="I497" s="14"/>
    </row>
    <row r="498">
      <c r="A498" s="14">
        <v>609.0</v>
      </c>
      <c r="B498" s="14">
        <v>8200114.0</v>
      </c>
      <c r="C498" s="14">
        <v>3.4956184E7</v>
      </c>
      <c r="D498" s="2" t="s">
        <v>1635</v>
      </c>
      <c r="E498" s="1" t="s">
        <v>121</v>
      </c>
      <c r="F498" s="14">
        <v>0.8689</v>
      </c>
      <c r="G498" s="15"/>
      <c r="H498" s="16"/>
      <c r="I498" s="14"/>
    </row>
    <row r="499">
      <c r="A499" s="14">
        <v>120.0</v>
      </c>
      <c r="B499" s="14">
        <v>419189.0</v>
      </c>
      <c r="C499" s="14">
        <v>1902128.0</v>
      </c>
      <c r="D499" s="2" t="s">
        <v>1636</v>
      </c>
      <c r="E499" s="1" t="s">
        <v>107</v>
      </c>
      <c r="F499" s="14">
        <v>0.8687</v>
      </c>
      <c r="G499" s="15"/>
      <c r="H499" s="16"/>
      <c r="I499" s="14"/>
    </row>
    <row r="500">
      <c r="A500" s="14">
        <v>671.0</v>
      </c>
      <c r="B500" s="14">
        <v>9685511.0</v>
      </c>
      <c r="C500" s="14">
        <v>4.1115406E7</v>
      </c>
      <c r="D500" s="2" t="s">
        <v>1639</v>
      </c>
      <c r="E500" s="1" t="s">
        <v>107</v>
      </c>
      <c r="F500" s="14">
        <v>0.8687</v>
      </c>
      <c r="G500" s="15"/>
      <c r="H500" s="16"/>
      <c r="I500" s="14"/>
    </row>
    <row r="501">
      <c r="A501" s="14">
        <v>410.0</v>
      </c>
      <c r="B501" s="14">
        <v>3991000.0</v>
      </c>
      <c r="C501" s="14">
        <v>1.6929917E7</v>
      </c>
      <c r="D501" s="2" t="s">
        <v>1640</v>
      </c>
      <c r="E501" s="1" t="s">
        <v>107</v>
      </c>
      <c r="F501" s="14">
        <v>0.8684</v>
      </c>
      <c r="G501" s="15"/>
      <c r="H501" s="16"/>
      <c r="I501" s="14"/>
    </row>
    <row r="502">
      <c r="A502" s="14">
        <v>715.0</v>
      </c>
      <c r="B502" s="14">
        <v>8219419.0</v>
      </c>
      <c r="C502" s="14">
        <v>3.4842333E7</v>
      </c>
      <c r="D502" s="2" t="s">
        <v>1642</v>
      </c>
      <c r="E502" s="1" t="s">
        <v>107</v>
      </c>
      <c r="F502" s="14">
        <v>0.8679</v>
      </c>
      <c r="G502" s="15"/>
      <c r="H502" s="16"/>
      <c r="I502" s="14"/>
    </row>
    <row r="503">
      <c r="A503" s="14">
        <v>320.0</v>
      </c>
      <c r="B503" s="14">
        <v>3.8747654E7</v>
      </c>
      <c r="C503" s="14">
        <v>1.54116158E8</v>
      </c>
      <c r="D503" s="2" t="s">
        <v>1645</v>
      </c>
      <c r="E503" s="1" t="s">
        <v>121</v>
      </c>
      <c r="F503" s="14">
        <v>0.8675</v>
      </c>
      <c r="G503" s="15"/>
      <c r="H503" s="16"/>
      <c r="I503" s="14"/>
    </row>
    <row r="504">
      <c r="A504" s="14">
        <v>12.0</v>
      </c>
      <c r="B504" s="14">
        <v>340091.0</v>
      </c>
      <c r="C504" s="14">
        <v>1463700.0</v>
      </c>
      <c r="D504" s="2" t="s">
        <v>1648</v>
      </c>
      <c r="E504" s="1" t="s">
        <v>121</v>
      </c>
      <c r="F504" s="14">
        <v>0.8674</v>
      </c>
      <c r="G504" s="15"/>
      <c r="H504" s="16"/>
      <c r="I504" s="14"/>
    </row>
    <row r="505">
      <c r="A505" s="14">
        <v>564.0</v>
      </c>
      <c r="B505" s="14">
        <v>2665161.0</v>
      </c>
      <c r="C505" s="14">
        <v>1.1225905E7</v>
      </c>
      <c r="D505" s="2" t="s">
        <v>1652</v>
      </c>
      <c r="E505" s="1" t="s">
        <v>121</v>
      </c>
      <c r="F505" s="14">
        <v>0.8672</v>
      </c>
      <c r="G505" s="15"/>
      <c r="H505" s="16"/>
      <c r="I505" s="14"/>
    </row>
    <row r="506">
      <c r="A506" s="14">
        <v>173.0</v>
      </c>
      <c r="B506" s="14">
        <v>7.6908515E7</v>
      </c>
      <c r="C506" s="14">
        <v>3.19507292E8</v>
      </c>
      <c r="D506" s="2" t="s">
        <v>1655</v>
      </c>
      <c r="E506" s="1" t="s">
        <v>107</v>
      </c>
      <c r="F506" s="14">
        <v>0.8658</v>
      </c>
      <c r="G506" s="15"/>
      <c r="H506" s="16"/>
      <c r="I506" s="14"/>
    </row>
    <row r="507">
      <c r="A507" s="14">
        <v>403.0</v>
      </c>
      <c r="B507" s="14">
        <v>1.00196167E8</v>
      </c>
      <c r="C507" s="14">
        <v>4.29610227E8</v>
      </c>
      <c r="D507" s="2" t="s">
        <v>577</v>
      </c>
      <c r="E507" s="1" t="s">
        <v>107</v>
      </c>
      <c r="F507" s="14">
        <v>0.8658</v>
      </c>
      <c r="G507" s="15"/>
      <c r="H507" s="16"/>
      <c r="I507" s="14"/>
    </row>
    <row r="508">
      <c r="A508" s="14">
        <v>488.0</v>
      </c>
      <c r="B508" s="14">
        <v>4429663.0</v>
      </c>
      <c r="C508" s="14">
        <v>1.8777305E7</v>
      </c>
      <c r="D508" s="2" t="s">
        <v>1659</v>
      </c>
      <c r="E508" s="1" t="s">
        <v>121</v>
      </c>
      <c r="F508" s="14">
        <v>0.8658</v>
      </c>
      <c r="G508" s="15"/>
      <c r="H508" s="16"/>
      <c r="I508" s="14"/>
    </row>
    <row r="509">
      <c r="A509" s="14">
        <v>587.0</v>
      </c>
      <c r="B509" s="14">
        <v>1.5469654E7</v>
      </c>
      <c r="C509" s="14">
        <v>6.5712898E7</v>
      </c>
      <c r="D509" s="2" t="s">
        <v>1661</v>
      </c>
      <c r="E509" s="1" t="s">
        <v>121</v>
      </c>
      <c r="F509" s="14">
        <v>0.8658</v>
      </c>
      <c r="G509" s="15"/>
      <c r="H509" s="16"/>
      <c r="I509" s="14"/>
    </row>
    <row r="510">
      <c r="A510" s="14">
        <v>353.0</v>
      </c>
      <c r="B510" s="14">
        <v>9.5888347E7</v>
      </c>
      <c r="C510" s="14">
        <v>4.08894895E8</v>
      </c>
      <c r="D510" s="2" t="s">
        <v>829</v>
      </c>
      <c r="E510" s="1" t="s">
        <v>121</v>
      </c>
      <c r="F510" s="14">
        <v>0.8658</v>
      </c>
      <c r="G510" s="15"/>
      <c r="H510" s="16"/>
      <c r="I510" s="14"/>
    </row>
    <row r="511">
      <c r="A511" s="14">
        <v>667.0</v>
      </c>
      <c r="B511" s="14">
        <v>2.1281849E7</v>
      </c>
      <c r="C511" s="14">
        <v>8.8336748E7</v>
      </c>
      <c r="D511" s="2" t="s">
        <v>1665</v>
      </c>
      <c r="E511" s="1" t="s">
        <v>107</v>
      </c>
      <c r="F511" s="14">
        <v>0.8655</v>
      </c>
      <c r="G511" s="15"/>
      <c r="H511" s="16"/>
      <c r="I511" s="14"/>
    </row>
    <row r="512">
      <c r="A512" s="14">
        <v>565.0</v>
      </c>
      <c r="B512" s="14">
        <v>1.1565025E7</v>
      </c>
      <c r="C512" s="14">
        <v>4.915294E7</v>
      </c>
      <c r="D512" s="2" t="s">
        <v>1667</v>
      </c>
      <c r="E512" s="1" t="s">
        <v>699</v>
      </c>
      <c r="F512" s="14">
        <v>0.8655</v>
      </c>
      <c r="G512" s="15"/>
      <c r="H512" s="16"/>
      <c r="I512" s="14"/>
    </row>
    <row r="513">
      <c r="A513" s="14">
        <v>353.0</v>
      </c>
      <c r="B513" s="14">
        <v>7.1180111E7</v>
      </c>
      <c r="C513" s="14">
        <v>2.9384752E8</v>
      </c>
      <c r="D513" s="2" t="s">
        <v>1669</v>
      </c>
      <c r="E513" s="1" t="s">
        <v>107</v>
      </c>
      <c r="F513" s="14">
        <v>0.8647</v>
      </c>
      <c r="G513" s="15"/>
      <c r="H513" s="16"/>
      <c r="I513" s="14"/>
    </row>
    <row r="514">
      <c r="A514" s="14">
        <v>609.0</v>
      </c>
      <c r="B514" s="14">
        <v>3971137.0</v>
      </c>
      <c r="C514" s="14">
        <v>1.6812753E7</v>
      </c>
      <c r="D514" s="2" t="s">
        <v>1673</v>
      </c>
      <c r="E514" s="1" t="s">
        <v>107</v>
      </c>
      <c r="F514" s="14">
        <v>0.8645</v>
      </c>
      <c r="G514" s="15"/>
      <c r="H514" s="16"/>
      <c r="I514" s="14"/>
    </row>
    <row r="515">
      <c r="A515" s="14">
        <v>409.0</v>
      </c>
      <c r="B515" s="14">
        <v>4809959.0</v>
      </c>
      <c r="C515" s="14">
        <v>2.0461843E7</v>
      </c>
      <c r="D515" s="2" t="s">
        <v>1676</v>
      </c>
      <c r="E515" s="1" t="s">
        <v>121</v>
      </c>
      <c r="F515" s="14">
        <v>0.864</v>
      </c>
      <c r="G515" s="15"/>
      <c r="H515" s="16"/>
      <c r="I515" s="14"/>
    </row>
    <row r="516">
      <c r="A516" s="14">
        <v>207.0</v>
      </c>
      <c r="B516" s="14">
        <v>1.0927887E7</v>
      </c>
      <c r="C516" s="14">
        <v>4.6454845E7</v>
      </c>
      <c r="D516" s="2" t="s">
        <v>1678</v>
      </c>
      <c r="E516" s="1" t="s">
        <v>121</v>
      </c>
      <c r="F516" s="14">
        <v>0.8636</v>
      </c>
      <c r="G516" s="15"/>
      <c r="H516" s="16"/>
      <c r="I516" s="14"/>
    </row>
    <row r="517">
      <c r="A517" s="14">
        <v>484.0</v>
      </c>
      <c r="B517" s="14">
        <v>1.7042428E7</v>
      </c>
      <c r="C517" s="14">
        <v>7.2215809E7</v>
      </c>
      <c r="D517" s="2" t="s">
        <v>1681</v>
      </c>
      <c r="E517" s="1" t="s">
        <v>107</v>
      </c>
      <c r="F517" s="14">
        <v>0.8625</v>
      </c>
      <c r="G517" s="15"/>
      <c r="H517" s="16"/>
      <c r="I517" s="14"/>
    </row>
    <row r="518">
      <c r="A518" s="14">
        <v>557.0</v>
      </c>
      <c r="B518" s="14">
        <v>2.1765979E7</v>
      </c>
      <c r="C518" s="14">
        <v>9.0013611E7</v>
      </c>
      <c r="D518" s="2" t="s">
        <v>1683</v>
      </c>
      <c r="E518" s="1" t="s">
        <v>107</v>
      </c>
      <c r="F518" s="14">
        <v>0.8625</v>
      </c>
      <c r="G518" s="15"/>
      <c r="H518" s="16"/>
      <c r="I518" s="14"/>
    </row>
    <row r="519">
      <c r="A519" s="14">
        <v>678.0</v>
      </c>
      <c r="B519" s="14">
        <v>5.9160864E7</v>
      </c>
      <c r="C519" s="14">
        <v>2.59567881E8</v>
      </c>
      <c r="D519" s="2" t="s">
        <v>1686</v>
      </c>
      <c r="E519" s="1" t="s">
        <v>107</v>
      </c>
      <c r="F519" s="14">
        <v>0.8625</v>
      </c>
      <c r="G519" s="15"/>
      <c r="H519" s="16"/>
      <c r="I519" s="14"/>
    </row>
    <row r="520">
      <c r="A520" s="14">
        <v>461.0</v>
      </c>
      <c r="B520" s="14">
        <v>8.6443687E7</v>
      </c>
      <c r="C520" s="14">
        <v>3.65279161E8</v>
      </c>
      <c r="D520" s="2" t="s">
        <v>1329</v>
      </c>
      <c r="E520" s="1" t="s">
        <v>107</v>
      </c>
      <c r="F520" s="14">
        <v>0.8625</v>
      </c>
      <c r="G520" s="15"/>
      <c r="H520" s="16"/>
      <c r="I520" s="14"/>
    </row>
    <row r="521">
      <c r="A521" s="14">
        <v>610.0</v>
      </c>
      <c r="B521" s="14">
        <v>9.7802282E7</v>
      </c>
      <c r="C521" s="14">
        <v>4.17779602E8</v>
      </c>
      <c r="D521" s="2" t="s">
        <v>722</v>
      </c>
      <c r="E521" s="1" t="s">
        <v>107</v>
      </c>
      <c r="F521" s="14">
        <v>0.8625</v>
      </c>
      <c r="G521" s="15"/>
      <c r="H521" s="16"/>
      <c r="I521" s="14"/>
    </row>
    <row r="522">
      <c r="A522" s="14">
        <v>120.0</v>
      </c>
      <c r="B522" s="14">
        <v>423812.0</v>
      </c>
      <c r="C522" s="14">
        <v>1931775.0</v>
      </c>
      <c r="D522" s="2" t="s">
        <v>1693</v>
      </c>
      <c r="E522" s="1" t="s">
        <v>121</v>
      </c>
      <c r="F522" s="14">
        <v>0.8625</v>
      </c>
      <c r="G522" s="15"/>
      <c r="H522" s="16"/>
      <c r="I522" s="14"/>
    </row>
    <row r="523">
      <c r="A523" s="14">
        <v>604.0</v>
      </c>
      <c r="B523" s="14">
        <v>1.2676944E7</v>
      </c>
      <c r="C523" s="14">
        <v>1.12698033E8</v>
      </c>
      <c r="D523" s="2" t="s">
        <v>1696</v>
      </c>
      <c r="E523" s="1" t="s">
        <v>107</v>
      </c>
      <c r="F523" s="14">
        <v>0.8622</v>
      </c>
      <c r="G523" s="15"/>
      <c r="H523" s="16"/>
      <c r="I523" s="14"/>
    </row>
    <row r="524">
      <c r="A524" s="14">
        <v>353.0</v>
      </c>
      <c r="B524" s="14">
        <v>8.971936E7</v>
      </c>
      <c r="C524" s="14">
        <v>3.80121275E8</v>
      </c>
      <c r="D524" s="2" t="s">
        <v>1158</v>
      </c>
      <c r="E524" s="1" t="s">
        <v>107</v>
      </c>
      <c r="F524" s="14">
        <v>0.8622</v>
      </c>
      <c r="G524" s="15"/>
      <c r="H524" s="16"/>
      <c r="I524" s="14"/>
    </row>
    <row r="525">
      <c r="A525" s="14">
        <v>564.0</v>
      </c>
      <c r="B525" s="14">
        <v>5721052.0</v>
      </c>
      <c r="C525" s="14">
        <v>2.4567067E7</v>
      </c>
      <c r="D525" s="2" t="s">
        <v>1700</v>
      </c>
      <c r="E525" s="1" t="s">
        <v>121</v>
      </c>
      <c r="F525" s="14">
        <v>0.8622</v>
      </c>
      <c r="G525" s="15"/>
      <c r="H525" s="16"/>
      <c r="I525" s="14"/>
    </row>
    <row r="526">
      <c r="A526" s="14">
        <v>213.0</v>
      </c>
      <c r="B526" s="14">
        <v>8.1788226E7</v>
      </c>
      <c r="C526" s="14">
        <v>3.4289462E8</v>
      </c>
      <c r="D526" s="2" t="s">
        <v>1653</v>
      </c>
      <c r="E526" s="1" t="s">
        <v>107</v>
      </c>
      <c r="F526" s="14">
        <v>0.862</v>
      </c>
      <c r="G526" s="15"/>
      <c r="H526" s="16"/>
      <c r="I526" s="14"/>
    </row>
    <row r="527">
      <c r="A527" s="14">
        <v>120.0</v>
      </c>
      <c r="B527" s="14">
        <v>6.1961306E7</v>
      </c>
      <c r="C527" s="14">
        <v>2.62335027E8</v>
      </c>
      <c r="D527" s="2" t="s">
        <v>1705</v>
      </c>
      <c r="E527" s="1" t="s">
        <v>107</v>
      </c>
      <c r="F527" s="14">
        <v>0.8619</v>
      </c>
      <c r="G527" s="15"/>
      <c r="H527" s="16"/>
      <c r="I527" s="14"/>
    </row>
    <row r="528">
      <c r="A528" s="14">
        <v>414.0</v>
      </c>
      <c r="B528" s="14">
        <v>4.8983686E7</v>
      </c>
      <c r="C528" s="14">
        <v>1.93711724E8</v>
      </c>
      <c r="D528" s="2" t="s">
        <v>1708</v>
      </c>
      <c r="E528" s="1" t="s">
        <v>107</v>
      </c>
      <c r="F528" s="14">
        <v>0.8618</v>
      </c>
      <c r="G528" s="15"/>
      <c r="H528" s="16"/>
      <c r="I528" s="14"/>
    </row>
    <row r="529">
      <c r="A529" s="14">
        <v>641.0</v>
      </c>
      <c r="B529" s="14">
        <v>7839517.0</v>
      </c>
      <c r="C529" s="14">
        <v>3.3321648E7</v>
      </c>
      <c r="D529" s="2" t="s">
        <v>1710</v>
      </c>
      <c r="E529" s="1" t="s">
        <v>121</v>
      </c>
      <c r="F529" s="14">
        <v>0.8614</v>
      </c>
      <c r="G529" s="15"/>
      <c r="H529" s="16"/>
      <c r="I529" s="14"/>
    </row>
    <row r="530">
      <c r="A530" s="14">
        <v>565.0</v>
      </c>
      <c r="B530" s="14">
        <v>1.02009991E8</v>
      </c>
      <c r="C530" s="14">
        <v>4.3892278E8</v>
      </c>
      <c r="D530" s="2" t="s">
        <v>458</v>
      </c>
      <c r="E530" s="1" t="s">
        <v>107</v>
      </c>
      <c r="F530" s="14">
        <v>0.8612</v>
      </c>
      <c r="G530" s="15"/>
      <c r="H530" s="16"/>
      <c r="I530" s="14"/>
    </row>
    <row r="531">
      <c r="A531" s="14">
        <v>609.0</v>
      </c>
      <c r="B531" s="14">
        <v>2706990.0</v>
      </c>
      <c r="C531" s="14">
        <v>5.5008568E7</v>
      </c>
      <c r="D531" s="2" t="s">
        <v>1712</v>
      </c>
      <c r="E531" s="1" t="s">
        <v>121</v>
      </c>
      <c r="F531" s="14">
        <v>0.8602</v>
      </c>
      <c r="G531" s="15"/>
      <c r="H531" s="16"/>
      <c r="I531" s="14"/>
    </row>
    <row r="532">
      <c r="A532" s="14">
        <v>355.0</v>
      </c>
      <c r="B532" s="14">
        <v>1.2860978E7</v>
      </c>
      <c r="C532" s="14">
        <v>5.4533285E7</v>
      </c>
      <c r="D532" s="2" t="s">
        <v>1714</v>
      </c>
      <c r="E532" s="1" t="s">
        <v>121</v>
      </c>
      <c r="F532" s="14">
        <v>0.8593</v>
      </c>
      <c r="G532" s="15"/>
      <c r="H532" s="16"/>
      <c r="I532" s="14"/>
    </row>
    <row r="533">
      <c r="A533" s="14">
        <v>120.0</v>
      </c>
      <c r="B533" s="14">
        <v>367958.0</v>
      </c>
      <c r="C533" s="14">
        <v>1603297.0</v>
      </c>
      <c r="D533" s="2" t="s">
        <v>1717</v>
      </c>
      <c r="E533" s="1" t="s">
        <v>107</v>
      </c>
      <c r="F533" s="14">
        <v>0.8591</v>
      </c>
      <c r="G533" s="15"/>
      <c r="H533" s="16"/>
      <c r="I533" s="14"/>
    </row>
    <row r="534">
      <c r="A534" s="14">
        <v>667.0</v>
      </c>
      <c r="B534" s="14">
        <v>4886020.0</v>
      </c>
      <c r="C534" s="14">
        <v>2.0744092E7</v>
      </c>
      <c r="D534" s="2" t="s">
        <v>1720</v>
      </c>
      <c r="E534" s="1" t="s">
        <v>107</v>
      </c>
      <c r="F534" s="14">
        <v>0.8591</v>
      </c>
      <c r="G534" s="15"/>
      <c r="H534" s="16"/>
      <c r="I534" s="14"/>
    </row>
    <row r="535">
      <c r="A535" s="14">
        <v>380.0</v>
      </c>
      <c r="B535" s="14">
        <v>5093789.0</v>
      </c>
      <c r="C535" s="14">
        <v>2.166653E7</v>
      </c>
      <c r="D535" s="2" t="s">
        <v>1722</v>
      </c>
      <c r="E535" s="1" t="s">
        <v>107</v>
      </c>
      <c r="F535" s="14">
        <v>0.8591</v>
      </c>
      <c r="G535" s="15"/>
      <c r="H535" s="16"/>
      <c r="I535" s="14"/>
    </row>
    <row r="536">
      <c r="A536" s="14">
        <v>207.0</v>
      </c>
      <c r="B536" s="14">
        <v>3.1086787E7</v>
      </c>
      <c r="C536" s="14">
        <v>1.2460297E8</v>
      </c>
      <c r="D536" s="2" t="s">
        <v>1726</v>
      </c>
      <c r="E536" s="1" t="s">
        <v>107</v>
      </c>
      <c r="F536" s="14">
        <v>0.8591</v>
      </c>
      <c r="G536" s="15"/>
      <c r="H536" s="16"/>
      <c r="I536" s="14"/>
    </row>
    <row r="537">
      <c r="A537" s="14">
        <v>671.0</v>
      </c>
      <c r="B537" s="14">
        <v>9.7803602E7</v>
      </c>
      <c r="C537" s="14">
        <v>4.18153466E8</v>
      </c>
      <c r="D537" s="2" t="s">
        <v>721</v>
      </c>
      <c r="E537" s="1" t="s">
        <v>107</v>
      </c>
      <c r="F537" s="14">
        <v>0.8591</v>
      </c>
      <c r="G537" s="15"/>
      <c r="H537" s="16"/>
      <c r="I537" s="14"/>
    </row>
    <row r="538">
      <c r="A538" s="14">
        <v>353.0</v>
      </c>
      <c r="B538" s="14">
        <v>1.05935199E8</v>
      </c>
      <c r="C538" s="14">
        <v>4.56843962E8</v>
      </c>
      <c r="D538" s="2" t="s">
        <v>312</v>
      </c>
      <c r="E538" s="1" t="s">
        <v>107</v>
      </c>
      <c r="F538" s="14">
        <v>0.8591</v>
      </c>
      <c r="G538" s="15"/>
      <c r="H538" s="16"/>
      <c r="I538" s="14"/>
    </row>
    <row r="539">
      <c r="A539" s="14">
        <v>597.0</v>
      </c>
      <c r="B539" s="14">
        <v>2950359.0</v>
      </c>
      <c r="C539" s="14">
        <v>1.2518154E7</v>
      </c>
      <c r="D539" s="2" t="s">
        <v>1731</v>
      </c>
      <c r="E539" s="1" t="s">
        <v>121</v>
      </c>
      <c r="F539" s="14">
        <v>0.8591</v>
      </c>
      <c r="G539" s="15"/>
      <c r="H539" s="16"/>
      <c r="I539" s="14"/>
    </row>
    <row r="540">
      <c r="A540" s="14">
        <v>108.0</v>
      </c>
      <c r="B540" s="14">
        <v>74973.0</v>
      </c>
      <c r="C540" s="14">
        <v>273349.0</v>
      </c>
      <c r="D540" s="2" t="s">
        <v>1735</v>
      </c>
      <c r="E540" s="1" t="s">
        <v>107</v>
      </c>
      <c r="F540" s="14">
        <v>0.8588</v>
      </c>
      <c r="G540" s="15"/>
      <c r="H540" s="16"/>
      <c r="I540" s="14"/>
    </row>
    <row r="541">
      <c r="A541" s="14">
        <v>672.0</v>
      </c>
      <c r="B541" s="14">
        <v>4032100.0</v>
      </c>
      <c r="C541" s="14">
        <v>1.80676779E8</v>
      </c>
      <c r="D541" s="2" t="s">
        <v>1737</v>
      </c>
      <c r="E541" s="1" t="s">
        <v>107</v>
      </c>
      <c r="F541" s="14">
        <v>0.8588</v>
      </c>
      <c r="G541" s="15"/>
      <c r="H541" s="16"/>
      <c r="I541" s="14"/>
    </row>
    <row r="542">
      <c r="A542" s="14">
        <v>503.0</v>
      </c>
      <c r="B542" s="14">
        <v>3605964.0</v>
      </c>
      <c r="C542" s="14">
        <v>1.5361781E7</v>
      </c>
      <c r="D542" s="2" t="s">
        <v>1740</v>
      </c>
      <c r="E542" s="1" t="s">
        <v>107</v>
      </c>
      <c r="F542" s="14">
        <v>0.8585</v>
      </c>
      <c r="G542" s="15"/>
      <c r="H542" s="16"/>
      <c r="I542" s="14"/>
    </row>
    <row r="543">
      <c r="A543" s="14">
        <v>355.0</v>
      </c>
      <c r="B543" s="14">
        <v>5147159.0</v>
      </c>
      <c r="C543" s="14">
        <v>5.8063379E7</v>
      </c>
      <c r="D543" s="2" t="s">
        <v>1742</v>
      </c>
      <c r="E543" s="1" t="s">
        <v>107</v>
      </c>
      <c r="F543" s="14">
        <v>0.8585</v>
      </c>
      <c r="G543" s="15"/>
      <c r="H543" s="16"/>
      <c r="I543" s="14"/>
    </row>
    <row r="544">
      <c r="A544" s="14">
        <v>353.0</v>
      </c>
      <c r="B544" s="14">
        <v>8.1289641E7</v>
      </c>
      <c r="C544" s="14">
        <v>3.40277549E8</v>
      </c>
      <c r="D544" s="2" t="s">
        <v>1682</v>
      </c>
      <c r="E544" s="1" t="s">
        <v>107</v>
      </c>
      <c r="F544" s="14">
        <v>0.8582</v>
      </c>
      <c r="G544" s="15"/>
      <c r="H544" s="16"/>
      <c r="I544" s="14"/>
    </row>
    <row r="545">
      <c r="A545" s="14">
        <v>484.0</v>
      </c>
      <c r="B545" s="14">
        <v>1486094.0</v>
      </c>
      <c r="C545" s="14">
        <v>2.4765197E7</v>
      </c>
      <c r="D545" s="2" t="s">
        <v>1745</v>
      </c>
      <c r="E545" s="1" t="s">
        <v>107</v>
      </c>
      <c r="F545" s="14">
        <v>0.8576</v>
      </c>
      <c r="G545" s="15"/>
      <c r="H545" s="16"/>
      <c r="I545" s="14"/>
    </row>
    <row r="546">
      <c r="A546" s="14">
        <v>597.0</v>
      </c>
      <c r="B546" s="14">
        <v>6513781.0</v>
      </c>
      <c r="C546" s="14">
        <v>2.7709449E7</v>
      </c>
      <c r="D546" s="2" t="s">
        <v>1748</v>
      </c>
      <c r="E546" s="1" t="s">
        <v>121</v>
      </c>
      <c r="F546" s="14">
        <v>0.8576</v>
      </c>
      <c r="G546" s="15"/>
      <c r="H546" s="16"/>
      <c r="I546" s="14"/>
    </row>
    <row r="547">
      <c r="A547" s="14">
        <v>671.0</v>
      </c>
      <c r="B547" s="14">
        <v>1.5273879E7</v>
      </c>
      <c r="C547" s="14">
        <v>6.4962571E7</v>
      </c>
      <c r="D547" s="2" t="s">
        <v>1751</v>
      </c>
      <c r="E547" s="1" t="s">
        <v>121</v>
      </c>
      <c r="F547" s="14">
        <v>0.8573</v>
      </c>
      <c r="G547" s="15"/>
      <c r="H547" s="16"/>
      <c r="I547" s="14"/>
    </row>
    <row r="548">
      <c r="A548" s="14">
        <v>673.0</v>
      </c>
      <c r="B548" s="14">
        <v>2743298.0</v>
      </c>
      <c r="C548" s="14">
        <v>1.1528543E7</v>
      </c>
      <c r="D548" s="2" t="s">
        <v>1753</v>
      </c>
      <c r="E548" s="1" t="s">
        <v>107</v>
      </c>
      <c r="F548" s="14">
        <v>0.8567</v>
      </c>
      <c r="G548" s="15"/>
      <c r="H548" s="16"/>
      <c r="I548" s="14"/>
    </row>
    <row r="549">
      <c r="A549" s="14">
        <v>172.0</v>
      </c>
      <c r="B549" s="14">
        <v>1.0112276E7</v>
      </c>
      <c r="C549" s="14">
        <v>4.2931119E7</v>
      </c>
      <c r="D549" s="2" t="s">
        <v>1756</v>
      </c>
      <c r="E549" s="1" t="s">
        <v>107</v>
      </c>
      <c r="F549" s="14">
        <v>0.8566</v>
      </c>
      <c r="G549" s="15"/>
      <c r="H549" s="16"/>
      <c r="I549" s="14"/>
    </row>
    <row r="550">
      <c r="A550" s="14">
        <v>609.0</v>
      </c>
      <c r="B550" s="14">
        <v>9644185.0</v>
      </c>
      <c r="C550" s="14">
        <v>4.0924981E7</v>
      </c>
      <c r="D550" s="2" t="s">
        <v>1760</v>
      </c>
      <c r="E550" s="1" t="s">
        <v>121</v>
      </c>
      <c r="F550" s="14">
        <v>0.8565</v>
      </c>
      <c r="G550" s="15"/>
      <c r="H550" s="16"/>
      <c r="I550" s="14"/>
    </row>
    <row r="551">
      <c r="A551" s="14">
        <v>571.0</v>
      </c>
      <c r="B551" s="14">
        <v>5504420.0</v>
      </c>
      <c r="C551" s="14">
        <v>3.14556274E8</v>
      </c>
      <c r="D551" s="2" t="s">
        <v>1762</v>
      </c>
      <c r="E551" s="1" t="s">
        <v>107</v>
      </c>
      <c r="F551" s="14">
        <v>0.8564</v>
      </c>
      <c r="G551" s="15"/>
      <c r="H551" s="16"/>
      <c r="I551" s="14"/>
    </row>
    <row r="552">
      <c r="A552" s="14">
        <v>667.0</v>
      </c>
      <c r="B552" s="14">
        <v>3588471.0</v>
      </c>
      <c r="C552" s="14">
        <v>1.5219432E7</v>
      </c>
      <c r="D552" s="2" t="s">
        <v>1765</v>
      </c>
      <c r="E552" s="1" t="s">
        <v>121</v>
      </c>
      <c r="F552" s="14">
        <v>0.8558</v>
      </c>
      <c r="G552" s="15"/>
      <c r="H552" s="16"/>
      <c r="I552" s="14"/>
    </row>
    <row r="553">
      <c r="A553" s="14">
        <v>395.0</v>
      </c>
      <c r="B553" s="14">
        <v>2.6448186E7</v>
      </c>
      <c r="C553" s="14">
        <v>1.8928415E8</v>
      </c>
      <c r="D553" s="2" t="s">
        <v>1767</v>
      </c>
      <c r="E553" s="1" t="s">
        <v>107</v>
      </c>
      <c r="F553" s="14">
        <v>0.8555</v>
      </c>
      <c r="G553" s="15"/>
      <c r="H553" s="16"/>
      <c r="I553" s="14"/>
    </row>
    <row r="554">
      <c r="A554" s="14">
        <v>498.0</v>
      </c>
      <c r="B554" s="14">
        <v>5.7933021E7</v>
      </c>
      <c r="C554" s="14">
        <v>2.31079711E8</v>
      </c>
      <c r="D554" s="2" t="s">
        <v>1769</v>
      </c>
      <c r="E554" s="1" t="s">
        <v>121</v>
      </c>
      <c r="F554" s="14">
        <v>0.8555</v>
      </c>
      <c r="G554" s="15"/>
      <c r="H554" s="16"/>
      <c r="I554" s="14"/>
    </row>
    <row r="555">
      <c r="A555" s="14">
        <v>672.0</v>
      </c>
      <c r="B555" s="14">
        <v>7.4604268E7</v>
      </c>
      <c r="C555" s="14">
        <v>3.08861423E8</v>
      </c>
      <c r="D555" s="2" t="s">
        <v>1773</v>
      </c>
      <c r="E555" s="1" t="s">
        <v>121</v>
      </c>
      <c r="F555" s="14">
        <v>0.8555</v>
      </c>
      <c r="G555" s="15"/>
      <c r="H555" s="16"/>
      <c r="I555" s="14"/>
    </row>
    <row r="556">
      <c r="A556" s="14">
        <v>587.0</v>
      </c>
      <c r="B556" s="14">
        <v>1.09376334E8</v>
      </c>
      <c r="C556" s="14">
        <v>4.74037573E8</v>
      </c>
      <c r="D556" s="2" t="s">
        <v>115</v>
      </c>
      <c r="E556" s="1" t="s">
        <v>121</v>
      </c>
      <c r="F556" s="14">
        <v>0.8555</v>
      </c>
      <c r="G556" s="15"/>
      <c r="H556" s="16"/>
      <c r="I556" s="14"/>
    </row>
    <row r="557">
      <c r="A557" s="14">
        <v>403.0</v>
      </c>
      <c r="B557" s="14">
        <v>7770583.0</v>
      </c>
      <c r="C557" s="14">
        <v>3.3037283E7</v>
      </c>
      <c r="D557" s="2" t="s">
        <v>1777</v>
      </c>
      <c r="E557" s="1" t="s">
        <v>107</v>
      </c>
      <c r="F557" s="14">
        <v>0.8553</v>
      </c>
      <c r="G557" s="15"/>
      <c r="H557" s="16"/>
      <c r="I557" s="14"/>
    </row>
    <row r="558">
      <c r="A558" s="14">
        <v>173.0</v>
      </c>
      <c r="B558" s="14">
        <v>8436421.0</v>
      </c>
      <c r="C558" s="14">
        <v>3.5745169E7</v>
      </c>
      <c r="D558" s="2" t="s">
        <v>1779</v>
      </c>
      <c r="E558" s="1" t="s">
        <v>107</v>
      </c>
      <c r="F558" s="14">
        <v>0.8553</v>
      </c>
      <c r="G558" s="15"/>
      <c r="H558" s="16"/>
      <c r="I558" s="14"/>
    </row>
    <row r="559">
      <c r="A559" s="14">
        <v>353.0</v>
      </c>
      <c r="B559" s="14">
        <v>1.0471912E7</v>
      </c>
      <c r="C559" s="14">
        <v>4.4621938E7</v>
      </c>
      <c r="D559" s="2" t="s">
        <v>1781</v>
      </c>
      <c r="E559" s="1" t="s">
        <v>107</v>
      </c>
      <c r="F559" s="14">
        <v>0.8553</v>
      </c>
      <c r="G559" s="15"/>
      <c r="H559" s="16"/>
      <c r="I559" s="14"/>
    </row>
    <row r="560">
      <c r="A560" s="14">
        <v>380.0</v>
      </c>
      <c r="B560" s="14">
        <v>9.0152092E7</v>
      </c>
      <c r="C560" s="14">
        <v>3.82055964E8</v>
      </c>
      <c r="D560" s="2" t="s">
        <v>1133</v>
      </c>
      <c r="E560" s="1" t="s">
        <v>107</v>
      </c>
      <c r="F560" s="14">
        <v>0.8553</v>
      </c>
      <c r="G560" s="15"/>
      <c r="H560" s="16"/>
      <c r="I560" s="14"/>
    </row>
    <row r="561">
      <c r="A561" s="14">
        <v>475.0</v>
      </c>
      <c r="B561" s="14">
        <v>1.3945356E7</v>
      </c>
      <c r="C561" s="14">
        <v>5.9232062E7</v>
      </c>
      <c r="D561" s="2" t="s">
        <v>1786</v>
      </c>
      <c r="E561" s="1" t="s">
        <v>121</v>
      </c>
      <c r="F561" s="14">
        <v>0.8553</v>
      </c>
      <c r="G561" s="15"/>
      <c r="H561" s="16"/>
      <c r="I561" s="14"/>
    </row>
    <row r="562">
      <c r="A562" s="14">
        <v>403.0</v>
      </c>
      <c r="B562" s="14">
        <v>8.5539233E7</v>
      </c>
      <c r="C562" s="14">
        <v>3.60707851E8</v>
      </c>
      <c r="D562" s="2" t="s">
        <v>1389</v>
      </c>
      <c r="E562" s="1" t="s">
        <v>121</v>
      </c>
      <c r="F562" s="14">
        <v>0.8553</v>
      </c>
      <c r="G562" s="15"/>
      <c r="H562" s="16"/>
      <c r="I562" s="14"/>
    </row>
    <row r="563">
      <c r="A563" s="14">
        <v>414.0</v>
      </c>
      <c r="B563" s="14">
        <v>9532305.0</v>
      </c>
      <c r="C563" s="14">
        <v>4.0419163E7</v>
      </c>
      <c r="D563" s="2" t="s">
        <v>1790</v>
      </c>
      <c r="E563" s="1" t="s">
        <v>121</v>
      </c>
      <c r="F563" s="14">
        <v>0.8552</v>
      </c>
      <c r="G563" s="15"/>
      <c r="H563" s="16"/>
      <c r="I563" s="14"/>
    </row>
    <row r="564">
      <c r="A564" s="14">
        <v>597.0</v>
      </c>
      <c r="B564" s="14">
        <v>3.5953949E7</v>
      </c>
      <c r="C564" s="14">
        <v>1.43345835E8</v>
      </c>
      <c r="D564" s="2" t="s">
        <v>1792</v>
      </c>
      <c r="E564" s="1" t="s">
        <v>121</v>
      </c>
      <c r="F564" s="14">
        <v>0.8551</v>
      </c>
      <c r="G564" s="15"/>
      <c r="H564" s="16"/>
      <c r="I564" s="14"/>
    </row>
    <row r="565">
      <c r="A565" s="14">
        <v>365.0</v>
      </c>
      <c r="B565" s="14">
        <v>4.6358272E7</v>
      </c>
      <c r="C565" s="14">
        <v>3.25112742E8</v>
      </c>
      <c r="D565" s="2" t="s">
        <v>1793</v>
      </c>
      <c r="E565" s="1" t="s">
        <v>107</v>
      </c>
      <c r="F565" s="14">
        <v>0.855</v>
      </c>
      <c r="G565" s="15"/>
      <c r="H565" s="16"/>
      <c r="I565" s="14"/>
    </row>
    <row r="566">
      <c r="A566" s="14">
        <v>337.0</v>
      </c>
      <c r="B566" s="14">
        <v>5.0425638E7</v>
      </c>
      <c r="C566" s="14">
        <v>1.99417279E8</v>
      </c>
      <c r="D566" s="2" t="s">
        <v>1796</v>
      </c>
      <c r="E566" s="1" t="s">
        <v>107</v>
      </c>
      <c r="F566" s="14">
        <v>0.855</v>
      </c>
      <c r="G566" s="15"/>
      <c r="H566" s="16"/>
      <c r="I566" s="14"/>
    </row>
    <row r="567">
      <c r="A567" s="14">
        <v>353.0</v>
      </c>
      <c r="B567" s="14">
        <v>1.04697673E8</v>
      </c>
      <c r="C567" s="14">
        <v>4.50775258E8</v>
      </c>
      <c r="D567" s="2" t="s">
        <v>356</v>
      </c>
      <c r="E567" s="1" t="s">
        <v>107</v>
      </c>
      <c r="F567" s="14">
        <v>0.855</v>
      </c>
      <c r="G567" s="15"/>
      <c r="H567" s="16"/>
      <c r="I567" s="14"/>
    </row>
    <row r="568">
      <c r="A568" s="14">
        <v>609.0</v>
      </c>
      <c r="B568" s="14">
        <v>3.3517438E7</v>
      </c>
      <c r="C568" s="14">
        <v>1.34045544E8</v>
      </c>
      <c r="D568" s="2" t="s">
        <v>1801</v>
      </c>
      <c r="E568" s="1" t="s">
        <v>107</v>
      </c>
      <c r="F568" s="14">
        <v>0.8547</v>
      </c>
      <c r="G568" s="15"/>
      <c r="H568" s="16"/>
      <c r="I568" s="14"/>
    </row>
    <row r="569">
      <c r="A569" s="14">
        <v>644.0</v>
      </c>
      <c r="B569" s="14">
        <v>6.9435908E7</v>
      </c>
      <c r="C569" s="14">
        <v>2.85797857E8</v>
      </c>
      <c r="D569" s="2" t="s">
        <v>1803</v>
      </c>
      <c r="E569" s="1" t="s">
        <v>107</v>
      </c>
      <c r="F569" s="14">
        <v>0.8545</v>
      </c>
      <c r="G569" s="15"/>
      <c r="H569" s="16"/>
      <c r="I569" s="14"/>
    </row>
    <row r="570">
      <c r="A570" s="14">
        <v>597.0</v>
      </c>
      <c r="B570" s="14">
        <v>7.886441E7</v>
      </c>
      <c r="C570" s="14">
        <v>3.28663141E8</v>
      </c>
      <c r="D570" s="2" t="s">
        <v>1805</v>
      </c>
      <c r="E570" s="1" t="s">
        <v>121</v>
      </c>
      <c r="F570" s="14">
        <v>0.8545</v>
      </c>
      <c r="G570" s="15"/>
      <c r="H570" s="16"/>
      <c r="I570" s="14"/>
    </row>
    <row r="571">
      <c r="A571" s="14">
        <v>678.0</v>
      </c>
      <c r="B571" s="14">
        <v>4.8628193E7</v>
      </c>
      <c r="C571" s="14">
        <v>1.92285232E8</v>
      </c>
      <c r="D571" s="2" t="s">
        <v>1809</v>
      </c>
      <c r="E571" s="1" t="s">
        <v>699</v>
      </c>
      <c r="F571" s="14">
        <v>0.8542</v>
      </c>
      <c r="G571" s="15"/>
      <c r="H571" s="16"/>
      <c r="I571" s="14"/>
    </row>
    <row r="572">
      <c r="A572" s="14">
        <v>504.0</v>
      </c>
      <c r="B572" s="14">
        <v>5.3544634E7</v>
      </c>
      <c r="C572" s="14">
        <v>4.18049137E8</v>
      </c>
      <c r="D572" s="2" t="s">
        <v>1811</v>
      </c>
      <c r="E572" s="1" t="s">
        <v>699</v>
      </c>
      <c r="F572" s="14">
        <v>0.8541</v>
      </c>
      <c r="G572" s="15"/>
      <c r="H572" s="16"/>
      <c r="I572" s="14"/>
    </row>
    <row r="573">
      <c r="A573" s="14">
        <v>409.0</v>
      </c>
      <c r="B573" s="14">
        <v>1.3499471E7</v>
      </c>
      <c r="C573" s="14">
        <v>5.7291486E7</v>
      </c>
      <c r="D573" s="2" t="s">
        <v>1812</v>
      </c>
      <c r="E573" s="1" t="s">
        <v>107</v>
      </c>
      <c r="F573" s="14">
        <v>0.8539</v>
      </c>
      <c r="G573" s="15"/>
      <c r="H573" s="16"/>
      <c r="I573" s="14"/>
    </row>
    <row r="574">
      <c r="A574" s="14">
        <v>609.0</v>
      </c>
      <c r="B574" s="14">
        <v>3801985.0</v>
      </c>
      <c r="C574" s="14">
        <v>1.60994E7</v>
      </c>
      <c r="D574" s="2" t="s">
        <v>1815</v>
      </c>
      <c r="E574" s="1" t="s">
        <v>107</v>
      </c>
      <c r="F574" s="14">
        <v>0.8537</v>
      </c>
      <c r="G574" s="15"/>
      <c r="H574" s="16"/>
      <c r="I574" s="14"/>
    </row>
    <row r="575">
      <c r="A575" s="14">
        <v>656.0</v>
      </c>
      <c r="B575" s="14">
        <v>9.0663174E7</v>
      </c>
      <c r="C575" s="14">
        <v>3.84508333E8</v>
      </c>
      <c r="D575" s="2" t="s">
        <v>1098</v>
      </c>
      <c r="E575" s="1" t="s">
        <v>699</v>
      </c>
      <c r="F575" s="14">
        <v>0.8536</v>
      </c>
      <c r="G575" s="15"/>
      <c r="H575" s="16"/>
      <c r="I575" s="14"/>
    </row>
    <row r="576">
      <c r="A576" s="14">
        <v>661.0</v>
      </c>
      <c r="B576" s="14">
        <v>4.9480582E7</v>
      </c>
      <c r="C576" s="14">
        <v>1.95842946E8</v>
      </c>
      <c r="D576" s="2" t="s">
        <v>1819</v>
      </c>
      <c r="E576" s="1" t="s">
        <v>107</v>
      </c>
      <c r="F576" s="14">
        <v>0.8535</v>
      </c>
      <c r="G576" s="15"/>
      <c r="H576" s="16"/>
      <c r="I576" s="14"/>
    </row>
    <row r="577">
      <c r="A577" s="14">
        <v>671.0</v>
      </c>
      <c r="B577" s="14">
        <v>1.2888836E7</v>
      </c>
      <c r="C577" s="14">
        <v>5.4800169E7</v>
      </c>
      <c r="D577" s="2" t="s">
        <v>1822</v>
      </c>
      <c r="E577" s="1" t="s">
        <v>107</v>
      </c>
      <c r="F577" s="14">
        <v>0.8534</v>
      </c>
      <c r="G577" s="15"/>
      <c r="H577" s="16"/>
      <c r="I577" s="14"/>
    </row>
    <row r="578">
      <c r="A578" s="14">
        <v>120.0</v>
      </c>
      <c r="B578" s="14">
        <v>7763595.0</v>
      </c>
      <c r="C578" s="14">
        <v>3.2941825E7</v>
      </c>
      <c r="D578" s="2" t="s">
        <v>1824</v>
      </c>
      <c r="E578" s="1" t="s">
        <v>121</v>
      </c>
      <c r="F578" s="14">
        <v>0.8527</v>
      </c>
      <c r="G578" s="15"/>
      <c r="H578" s="16"/>
      <c r="I578" s="14"/>
    </row>
    <row r="579">
      <c r="A579" s="14">
        <v>419.0</v>
      </c>
      <c r="B579" s="14">
        <v>2060558.0</v>
      </c>
      <c r="C579" s="14">
        <v>8890104.0</v>
      </c>
      <c r="D579" s="2" t="s">
        <v>1826</v>
      </c>
      <c r="E579" s="1" t="s">
        <v>107</v>
      </c>
      <c r="F579" s="14">
        <v>0.8519</v>
      </c>
      <c r="G579" s="15"/>
      <c r="H579" s="16"/>
      <c r="I579" s="14"/>
    </row>
    <row r="580">
      <c r="A580" s="14">
        <v>321.0</v>
      </c>
      <c r="B580" s="14">
        <v>1.0226151E7</v>
      </c>
      <c r="C580" s="14">
        <v>4.3421626E7</v>
      </c>
      <c r="D580" s="2" t="s">
        <v>1830</v>
      </c>
      <c r="E580" s="1" t="s">
        <v>107</v>
      </c>
      <c r="F580" s="14">
        <v>0.8519</v>
      </c>
      <c r="G580" s="15"/>
      <c r="H580" s="16"/>
      <c r="I580" s="14"/>
    </row>
    <row r="581">
      <c r="A581" s="14">
        <v>401.0</v>
      </c>
      <c r="B581" s="14">
        <v>3.8422586E7</v>
      </c>
      <c r="C581" s="14">
        <v>1.52517785E8</v>
      </c>
      <c r="D581" s="2" t="s">
        <v>1832</v>
      </c>
      <c r="E581" s="1" t="s">
        <v>121</v>
      </c>
      <c r="F581" s="14">
        <v>0.8519</v>
      </c>
      <c r="G581" s="15"/>
      <c r="H581" s="16"/>
      <c r="I581" s="14"/>
    </row>
    <row r="582">
      <c r="A582" s="14">
        <v>392.0</v>
      </c>
      <c r="B582" s="14">
        <v>1.03629529E8</v>
      </c>
      <c r="C582" s="14">
        <v>4.45824703E8</v>
      </c>
      <c r="D582" s="2" t="s">
        <v>396</v>
      </c>
      <c r="E582" s="1" t="s">
        <v>699</v>
      </c>
      <c r="F582" s="14">
        <v>0.8516</v>
      </c>
      <c r="G582" s="15"/>
      <c r="H582" s="16"/>
      <c r="I582" s="14"/>
    </row>
    <row r="583">
      <c r="A583" s="14">
        <v>353.0</v>
      </c>
      <c r="B583" s="14">
        <v>1.1457431E7</v>
      </c>
      <c r="C583" s="14">
        <v>4.868929E7</v>
      </c>
      <c r="D583" s="2" t="s">
        <v>1836</v>
      </c>
      <c r="E583" s="1" t="s">
        <v>121</v>
      </c>
      <c r="F583" s="14">
        <v>0.8516</v>
      </c>
      <c r="G583" s="15"/>
      <c r="H583" s="16"/>
      <c r="I583" s="14"/>
    </row>
    <row r="584">
      <c r="A584" s="14">
        <v>672.0</v>
      </c>
      <c r="B584" s="14">
        <v>6012778.0</v>
      </c>
      <c r="C584" s="14">
        <v>3.18415976E8</v>
      </c>
      <c r="D584" s="2" t="s">
        <v>1838</v>
      </c>
      <c r="E584" s="1" t="s">
        <v>107</v>
      </c>
      <c r="F584" s="14">
        <v>0.8515</v>
      </c>
      <c r="G584" s="15"/>
      <c r="H584" s="16"/>
      <c r="I584" s="14"/>
    </row>
    <row r="585">
      <c r="A585" s="14">
        <v>215.0</v>
      </c>
      <c r="B585" s="14">
        <v>6299911.0</v>
      </c>
      <c r="C585" s="14">
        <v>2.6776074E7</v>
      </c>
      <c r="D585" s="2" t="s">
        <v>1842</v>
      </c>
      <c r="E585" s="1" t="s">
        <v>121</v>
      </c>
      <c r="F585" s="14">
        <v>0.8514</v>
      </c>
      <c r="G585" s="15"/>
      <c r="H585" s="16"/>
      <c r="I585" s="14"/>
    </row>
    <row r="586">
      <c r="A586" s="14">
        <v>719.0</v>
      </c>
      <c r="B586" s="14">
        <v>4.836378E7</v>
      </c>
      <c r="C586" s="14">
        <v>1.91441645E8</v>
      </c>
      <c r="D586" s="2" t="s">
        <v>1844</v>
      </c>
      <c r="E586" s="1" t="s">
        <v>107</v>
      </c>
      <c r="F586" s="14">
        <v>0.8513</v>
      </c>
      <c r="G586" s="15"/>
      <c r="H586" s="16"/>
      <c r="I586" s="14"/>
    </row>
    <row r="587">
      <c r="A587" s="14">
        <v>228.0</v>
      </c>
      <c r="B587" s="14">
        <v>643142.0</v>
      </c>
      <c r="C587" s="14">
        <v>3117249.0</v>
      </c>
      <c r="D587" s="2" t="s">
        <v>1846</v>
      </c>
      <c r="E587" s="1" t="s">
        <v>121</v>
      </c>
      <c r="F587" s="14">
        <v>0.851</v>
      </c>
      <c r="G587" s="15"/>
      <c r="H587" s="16"/>
      <c r="I587" s="14"/>
    </row>
    <row r="588">
      <c r="A588" s="14">
        <v>215.0</v>
      </c>
      <c r="B588" s="14">
        <v>3041559.0</v>
      </c>
      <c r="C588" s="14">
        <v>1.2952376E7</v>
      </c>
      <c r="D588" s="2" t="s">
        <v>1848</v>
      </c>
      <c r="E588" s="1" t="s">
        <v>107</v>
      </c>
      <c r="F588" s="14">
        <v>0.8507</v>
      </c>
      <c r="G588" s="15"/>
      <c r="H588" s="16"/>
      <c r="I588" s="14"/>
    </row>
    <row r="589">
      <c r="A589" s="14">
        <v>488.0</v>
      </c>
      <c r="B589" s="14">
        <v>5.7181843E7</v>
      </c>
      <c r="C589" s="14">
        <v>2.35541547E8</v>
      </c>
      <c r="D589" s="2" t="s">
        <v>1852</v>
      </c>
      <c r="E589" s="1" t="s">
        <v>107</v>
      </c>
      <c r="F589" s="14">
        <v>0.8502</v>
      </c>
      <c r="G589" s="15"/>
      <c r="H589" s="16"/>
      <c r="I589" s="14"/>
    </row>
    <row r="590">
      <c r="A590" s="14">
        <v>403.0</v>
      </c>
      <c r="B590" s="14">
        <v>4.9044802E7</v>
      </c>
      <c r="C590" s="14">
        <v>1.93984218E8</v>
      </c>
      <c r="D590" s="2" t="s">
        <v>1855</v>
      </c>
      <c r="E590" s="1" t="s">
        <v>121</v>
      </c>
      <c r="F590" s="14">
        <v>0.85</v>
      </c>
      <c r="G590" s="15"/>
      <c r="H590" s="16"/>
      <c r="I590" s="14"/>
    </row>
    <row r="591">
      <c r="A591" s="14">
        <v>409.0</v>
      </c>
      <c r="B591" s="14">
        <v>4.2798843E7</v>
      </c>
      <c r="C591" s="14">
        <v>1.69197207E8</v>
      </c>
      <c r="D591" s="2" t="s">
        <v>1857</v>
      </c>
      <c r="E591" s="1" t="s">
        <v>107</v>
      </c>
      <c r="F591" s="14">
        <v>0.8499</v>
      </c>
      <c r="G591" s="15"/>
      <c r="H591" s="16"/>
      <c r="I591" s="14"/>
    </row>
    <row r="592">
      <c r="A592" s="14">
        <v>337.0</v>
      </c>
      <c r="B592" s="14">
        <v>8655604.0</v>
      </c>
      <c r="C592" s="14">
        <v>3.6625085E7</v>
      </c>
      <c r="D592" s="2" t="s">
        <v>1860</v>
      </c>
      <c r="E592" s="1" t="s">
        <v>699</v>
      </c>
      <c r="F592" s="14">
        <v>0.8497</v>
      </c>
      <c r="G592" s="15"/>
      <c r="H592" s="16"/>
      <c r="I592" s="14"/>
    </row>
    <row r="593">
      <c r="A593" s="14">
        <v>671.0</v>
      </c>
      <c r="B593" s="14">
        <v>5.7113242E7</v>
      </c>
      <c r="C593" s="14">
        <v>2.2733878E8</v>
      </c>
      <c r="D593" s="2" t="s">
        <v>1862</v>
      </c>
      <c r="E593" s="1" t="s">
        <v>121</v>
      </c>
      <c r="F593" s="14">
        <v>0.8496</v>
      </c>
      <c r="G593" s="15"/>
      <c r="H593" s="16"/>
      <c r="I593" s="14"/>
    </row>
    <row r="594">
      <c r="A594" s="14">
        <v>120.0</v>
      </c>
      <c r="B594" s="14">
        <v>455788.0</v>
      </c>
      <c r="C594" s="14">
        <v>2103783.0</v>
      </c>
      <c r="D594" s="2" t="s">
        <v>1865</v>
      </c>
      <c r="E594" s="1" t="s">
        <v>121</v>
      </c>
      <c r="F594" s="14">
        <v>0.8481</v>
      </c>
      <c r="G594" s="15"/>
      <c r="H594" s="16"/>
      <c r="I594" s="14"/>
    </row>
    <row r="595">
      <c r="A595" s="14">
        <v>630.0</v>
      </c>
      <c r="B595" s="14">
        <v>3709442.0</v>
      </c>
      <c r="C595" s="14">
        <v>4.7827787E7</v>
      </c>
      <c r="D595" s="2" t="s">
        <v>1867</v>
      </c>
      <c r="E595" s="1" t="s">
        <v>121</v>
      </c>
      <c r="F595" s="14">
        <v>0.8481</v>
      </c>
      <c r="G595" s="15"/>
      <c r="H595" s="16"/>
      <c r="I595" s="14"/>
    </row>
    <row r="596">
      <c r="A596" s="14">
        <v>488.0</v>
      </c>
      <c r="B596" s="14">
        <v>9316287.0</v>
      </c>
      <c r="C596" s="14">
        <v>3.9546769E7</v>
      </c>
      <c r="D596" s="2" t="s">
        <v>1868</v>
      </c>
      <c r="E596" s="1" t="s">
        <v>121</v>
      </c>
      <c r="F596" s="14">
        <v>0.8481</v>
      </c>
      <c r="G596" s="15"/>
      <c r="H596" s="16"/>
      <c r="I596" s="14"/>
    </row>
    <row r="597">
      <c r="A597" s="14">
        <v>609.0</v>
      </c>
      <c r="B597" s="14">
        <v>9488164.0</v>
      </c>
      <c r="C597" s="14">
        <v>4.0258272E7</v>
      </c>
      <c r="D597" s="2" t="s">
        <v>1871</v>
      </c>
      <c r="E597" s="1" t="s">
        <v>121</v>
      </c>
      <c r="F597" s="14">
        <v>0.8481</v>
      </c>
      <c r="G597" s="15"/>
      <c r="H597" s="16"/>
      <c r="I597" s="14"/>
    </row>
    <row r="598">
      <c r="A598" s="14">
        <v>570.0</v>
      </c>
      <c r="B598" s="14">
        <v>1.1986879E7</v>
      </c>
      <c r="C598" s="14">
        <v>5.0845332E7</v>
      </c>
      <c r="D598" s="2" t="s">
        <v>1873</v>
      </c>
      <c r="E598" s="1" t="s">
        <v>121</v>
      </c>
      <c r="F598" s="14">
        <v>0.8481</v>
      </c>
      <c r="G598" s="15"/>
      <c r="H598" s="16"/>
      <c r="I598" s="14"/>
    </row>
    <row r="599">
      <c r="A599" s="14">
        <v>571.0</v>
      </c>
      <c r="B599" s="14">
        <v>1.8589245E7</v>
      </c>
      <c r="C599" s="14">
        <v>7.7930251E7</v>
      </c>
      <c r="D599" s="2" t="s">
        <v>1876</v>
      </c>
      <c r="E599" s="1" t="s">
        <v>121</v>
      </c>
      <c r="F599" s="14">
        <v>0.8481</v>
      </c>
      <c r="G599" s="15"/>
      <c r="H599" s="16"/>
      <c r="I599" s="14"/>
    </row>
    <row r="600">
      <c r="A600" s="14">
        <v>713.0</v>
      </c>
      <c r="B600" s="14">
        <v>5.0298324E7</v>
      </c>
      <c r="C600" s="14">
        <v>1.99431072E8</v>
      </c>
      <c r="D600" s="2" t="s">
        <v>1878</v>
      </c>
      <c r="E600" s="1" t="s">
        <v>699</v>
      </c>
      <c r="F600" s="14">
        <v>0.8479</v>
      </c>
      <c r="G600" s="15"/>
      <c r="H600" s="16"/>
      <c r="I600" s="14"/>
    </row>
    <row r="601">
      <c r="A601" s="14">
        <v>609.0</v>
      </c>
      <c r="B601" s="14">
        <v>1.290925E7</v>
      </c>
      <c r="C601" s="14">
        <v>5.4812938E7</v>
      </c>
      <c r="D601" s="2" t="s">
        <v>1882</v>
      </c>
      <c r="E601" s="1" t="s">
        <v>107</v>
      </c>
      <c r="F601" s="14">
        <v>0.8478</v>
      </c>
      <c r="G601" s="15"/>
      <c r="H601" s="16"/>
      <c r="I601" s="14"/>
    </row>
    <row r="602">
      <c r="A602" s="14">
        <v>484.0</v>
      </c>
      <c r="B602" s="14">
        <v>4.8636958E7</v>
      </c>
      <c r="C602" s="14">
        <v>1.9226885E8</v>
      </c>
      <c r="D602" s="2" t="s">
        <v>1884</v>
      </c>
      <c r="E602" s="1" t="s">
        <v>107</v>
      </c>
      <c r="F602" s="14">
        <v>0.8478</v>
      </c>
      <c r="G602" s="15"/>
      <c r="H602" s="16"/>
      <c r="I602" s="14"/>
    </row>
    <row r="603">
      <c r="A603" s="14">
        <v>696.0</v>
      </c>
      <c r="B603" s="14">
        <v>6.2832794E7</v>
      </c>
      <c r="C603" s="14">
        <v>2.54794818E8</v>
      </c>
      <c r="D603" s="2" t="s">
        <v>1887</v>
      </c>
      <c r="E603" s="1" t="s">
        <v>699</v>
      </c>
      <c r="F603" s="14">
        <v>0.8478</v>
      </c>
      <c r="G603" s="15"/>
      <c r="H603" s="16"/>
      <c r="I603" s="14"/>
    </row>
    <row r="604">
      <c r="A604" s="14">
        <v>700.0</v>
      </c>
      <c r="B604" s="14">
        <v>9.2225511E7</v>
      </c>
      <c r="C604" s="14">
        <v>3.9154743E8</v>
      </c>
      <c r="D604" s="2" t="s">
        <v>1018</v>
      </c>
      <c r="E604" s="1" t="s">
        <v>699</v>
      </c>
      <c r="F604" s="14">
        <v>0.8475</v>
      </c>
      <c r="G604" s="15"/>
      <c r="H604" s="16"/>
      <c r="I604" s="14"/>
    </row>
    <row r="605">
      <c r="A605" s="14">
        <v>671.0</v>
      </c>
      <c r="B605" s="14">
        <v>7416901.0</v>
      </c>
      <c r="C605" s="14">
        <v>3.1694369E7</v>
      </c>
      <c r="D605" s="2" t="s">
        <v>1892</v>
      </c>
      <c r="E605" s="1" t="s">
        <v>107</v>
      </c>
      <c r="F605" s="14">
        <v>0.847</v>
      </c>
      <c r="G605" s="15"/>
      <c r="H605" s="16"/>
      <c r="I605" s="14"/>
    </row>
    <row r="606">
      <c r="A606" s="14">
        <v>715.0</v>
      </c>
      <c r="B606" s="14">
        <v>5613448.0</v>
      </c>
      <c r="C606" s="14">
        <v>5.6657434E7</v>
      </c>
      <c r="D606" s="2" t="s">
        <v>1894</v>
      </c>
      <c r="E606" s="1" t="s">
        <v>107</v>
      </c>
      <c r="F606" s="14">
        <v>0.8466</v>
      </c>
      <c r="G606" s="15"/>
      <c r="H606" s="16"/>
      <c r="I606" s="14"/>
    </row>
    <row r="607">
      <c r="A607" s="14">
        <v>504.0</v>
      </c>
      <c r="B607" s="14">
        <v>1813413.0</v>
      </c>
      <c r="C607" s="14">
        <v>7919881.0</v>
      </c>
      <c r="D607" s="2" t="s">
        <v>1896</v>
      </c>
      <c r="E607" s="1" t="s">
        <v>107</v>
      </c>
      <c r="F607" s="14">
        <v>0.8464</v>
      </c>
      <c r="G607" s="15"/>
      <c r="H607" s="16"/>
      <c r="I607" s="14"/>
    </row>
    <row r="608">
      <c r="A608" s="14">
        <v>142.0</v>
      </c>
      <c r="B608" s="14">
        <v>4899538.0</v>
      </c>
      <c r="C608" s="14">
        <v>2.0831402E7</v>
      </c>
      <c r="D608" s="2" t="s">
        <v>1900</v>
      </c>
      <c r="E608" s="1" t="s">
        <v>121</v>
      </c>
      <c r="F608" s="14">
        <v>0.8462</v>
      </c>
      <c r="G608" s="15"/>
      <c r="H608" s="16"/>
      <c r="I608" s="14"/>
    </row>
    <row r="609">
      <c r="A609" s="14">
        <v>410.0</v>
      </c>
      <c r="B609" s="14">
        <v>1.7036709E7</v>
      </c>
      <c r="C609" s="14">
        <v>7.2105153E7</v>
      </c>
      <c r="D609" s="2" t="s">
        <v>1902</v>
      </c>
      <c r="E609" s="1" t="s">
        <v>121</v>
      </c>
      <c r="F609" s="14">
        <v>0.8443</v>
      </c>
      <c r="G609" s="15"/>
      <c r="H609" s="16"/>
      <c r="I609" s="14"/>
    </row>
    <row r="610">
      <c r="A610" s="14">
        <v>395.0</v>
      </c>
      <c r="B610" s="14">
        <v>1414792.0</v>
      </c>
      <c r="C610" s="14">
        <v>6267695.0</v>
      </c>
      <c r="D610" s="2" t="s">
        <v>1905</v>
      </c>
      <c r="E610" s="1" t="s">
        <v>107</v>
      </c>
      <c r="F610" s="14">
        <v>0.8442</v>
      </c>
      <c r="G610" s="15"/>
      <c r="H610" s="16"/>
      <c r="I610" s="14"/>
    </row>
    <row r="611">
      <c r="A611" s="14">
        <v>669.0</v>
      </c>
      <c r="B611" s="14">
        <v>1.2843028E7</v>
      </c>
      <c r="C611" s="14">
        <v>5.4538823E7</v>
      </c>
      <c r="D611" s="2" t="s">
        <v>1908</v>
      </c>
      <c r="E611" s="1" t="s">
        <v>107</v>
      </c>
      <c r="F611" s="14">
        <v>0.8442</v>
      </c>
      <c r="G611" s="15"/>
      <c r="H611" s="16"/>
      <c r="I611" s="14"/>
    </row>
    <row r="612">
      <c r="A612" s="14">
        <v>694.0</v>
      </c>
      <c r="B612" s="14">
        <v>2.1350622E7</v>
      </c>
      <c r="C612" s="14">
        <v>8.8361951E7</v>
      </c>
      <c r="D612" s="2" t="s">
        <v>1910</v>
      </c>
      <c r="E612" s="1" t="s">
        <v>107</v>
      </c>
      <c r="F612" s="14">
        <v>0.8442</v>
      </c>
      <c r="G612" s="15"/>
      <c r="H612" s="16"/>
      <c r="I612" s="14"/>
    </row>
    <row r="613">
      <c r="A613" s="14">
        <v>610.0</v>
      </c>
      <c r="B613" s="14">
        <v>2.4128452E7</v>
      </c>
      <c r="C613" s="14">
        <v>1.8895988E8</v>
      </c>
      <c r="D613" s="2" t="s">
        <v>1912</v>
      </c>
      <c r="E613" s="1" t="s">
        <v>107</v>
      </c>
      <c r="F613" s="14">
        <v>0.8442</v>
      </c>
      <c r="G613" s="15"/>
      <c r="H613" s="16"/>
      <c r="I613" s="14"/>
    </row>
    <row r="614">
      <c r="A614" s="14">
        <v>609.0</v>
      </c>
      <c r="B614" s="14">
        <v>2.8245882E7</v>
      </c>
      <c r="C614" s="14">
        <v>1.13904778E8</v>
      </c>
      <c r="D614" s="2" t="s">
        <v>1914</v>
      </c>
      <c r="E614" s="1" t="s">
        <v>107</v>
      </c>
      <c r="F614" s="14">
        <v>0.8442</v>
      </c>
      <c r="G614" s="15"/>
      <c r="H614" s="16"/>
      <c r="I614" s="14"/>
    </row>
    <row r="615">
      <c r="A615" s="14">
        <v>319.0</v>
      </c>
      <c r="B615" s="14">
        <v>7.4620719E7</v>
      </c>
      <c r="C615" s="14">
        <v>3.09040456E8</v>
      </c>
      <c r="D615" s="2" t="s">
        <v>1917</v>
      </c>
      <c r="E615" s="1" t="s">
        <v>107</v>
      </c>
      <c r="F615" s="14">
        <v>0.8442</v>
      </c>
      <c r="G615" s="15"/>
      <c r="H615" s="16"/>
      <c r="I615" s="14"/>
    </row>
    <row r="616">
      <c r="A616" s="14">
        <v>476.0</v>
      </c>
      <c r="B616" s="14">
        <v>6274923.0</v>
      </c>
      <c r="C616" s="14">
        <v>2.6698479E7</v>
      </c>
      <c r="D616" s="2" t="s">
        <v>1920</v>
      </c>
      <c r="E616" s="1" t="s">
        <v>107</v>
      </c>
      <c r="F616" s="14">
        <v>0.8439</v>
      </c>
      <c r="G616" s="15"/>
      <c r="H616" s="16"/>
      <c r="I616" s="14"/>
    </row>
    <row r="617">
      <c r="A617" s="14">
        <v>531.0</v>
      </c>
      <c r="B617" s="14">
        <v>1.0556875E7</v>
      </c>
      <c r="C617" s="14">
        <v>4.4817858E7</v>
      </c>
      <c r="D617" s="2" t="s">
        <v>1922</v>
      </c>
      <c r="E617" s="1" t="s">
        <v>107</v>
      </c>
      <c r="F617" s="14">
        <v>0.8439</v>
      </c>
      <c r="G617" s="15"/>
      <c r="H617" s="16"/>
      <c r="I617" s="14"/>
    </row>
    <row r="618">
      <c r="A618" s="14">
        <v>414.0</v>
      </c>
      <c r="B618" s="14">
        <v>1.0046791E7</v>
      </c>
      <c r="C618" s="14">
        <v>4.2628506E7</v>
      </c>
      <c r="D618" s="2" t="s">
        <v>1924</v>
      </c>
      <c r="E618" s="1" t="s">
        <v>107</v>
      </c>
      <c r="F618" s="14">
        <v>0.8434</v>
      </c>
      <c r="G618" s="15"/>
      <c r="H618" s="16"/>
      <c r="I618" s="14"/>
    </row>
    <row r="619">
      <c r="A619" s="14">
        <v>207.0</v>
      </c>
      <c r="B619" s="14">
        <v>4.9842204E7</v>
      </c>
      <c r="C619" s="14">
        <v>1.97213889E8</v>
      </c>
      <c r="D619" s="2" t="s">
        <v>1927</v>
      </c>
      <c r="E619" s="1" t="s">
        <v>107</v>
      </c>
      <c r="F619" s="14">
        <v>0.8434</v>
      </c>
      <c r="G619" s="15"/>
      <c r="H619" s="16"/>
      <c r="I619" s="14"/>
    </row>
    <row r="620">
      <c r="A620" s="14">
        <v>410.0</v>
      </c>
      <c r="B620" s="14">
        <v>8365304.0</v>
      </c>
      <c r="C620" s="14">
        <v>3.5449507E7</v>
      </c>
      <c r="D620" s="2" t="s">
        <v>1929</v>
      </c>
      <c r="E620" s="1" t="s">
        <v>107</v>
      </c>
      <c r="F620" s="14">
        <v>0.8427</v>
      </c>
      <c r="G620" s="15"/>
      <c r="H620" s="16"/>
      <c r="I620" s="14"/>
    </row>
    <row r="621">
      <c r="A621" s="14">
        <v>578.0</v>
      </c>
      <c r="B621" s="14">
        <v>8.6378494E7</v>
      </c>
      <c r="C621" s="14">
        <v>3.64599929E8</v>
      </c>
      <c r="D621" s="2" t="s">
        <v>1339</v>
      </c>
      <c r="E621" s="1" t="s">
        <v>699</v>
      </c>
      <c r="F621" s="14">
        <v>0.8426</v>
      </c>
      <c r="G621" s="15"/>
      <c r="H621" s="16"/>
      <c r="I621" s="14"/>
    </row>
    <row r="622">
      <c r="A622" s="14">
        <v>403.0</v>
      </c>
      <c r="B622" s="14">
        <v>1.04537426E8</v>
      </c>
      <c r="C622" s="14">
        <v>4.49954505E8</v>
      </c>
      <c r="D622" s="2" t="s">
        <v>362</v>
      </c>
      <c r="E622" s="1" t="s">
        <v>107</v>
      </c>
      <c r="F622" s="14">
        <v>0.8425</v>
      </c>
      <c r="G622" s="15"/>
      <c r="H622" s="16"/>
      <c r="I622" s="14"/>
    </row>
    <row r="623">
      <c r="A623" s="14">
        <v>120.0</v>
      </c>
      <c r="B623" s="14">
        <v>367793.0</v>
      </c>
      <c r="C623" s="14">
        <v>1603302.0</v>
      </c>
      <c r="D623" s="2" t="s">
        <v>1934</v>
      </c>
      <c r="E623" s="1" t="s">
        <v>121</v>
      </c>
      <c r="F623" s="14">
        <v>0.8425</v>
      </c>
      <c r="G623" s="15"/>
      <c r="H623" s="16"/>
      <c r="I623" s="14"/>
    </row>
    <row r="624">
      <c r="A624" s="14">
        <v>500.0</v>
      </c>
      <c r="B624" s="14">
        <v>1.9329175E7</v>
      </c>
      <c r="C624" s="14">
        <v>8.089086E7</v>
      </c>
      <c r="D624" s="2" t="s">
        <v>1937</v>
      </c>
      <c r="E624" s="1" t="s">
        <v>699</v>
      </c>
      <c r="F624" s="14">
        <v>0.8417</v>
      </c>
      <c r="G624" s="15"/>
      <c r="H624" s="16"/>
      <c r="I624" s="14"/>
    </row>
    <row r="625">
      <c r="A625" s="14">
        <v>609.0</v>
      </c>
      <c r="B625" s="14">
        <v>5691332.0</v>
      </c>
      <c r="C625" s="14">
        <v>2.4335538E7</v>
      </c>
      <c r="D625" s="2" t="s">
        <v>1940</v>
      </c>
      <c r="E625" s="1" t="s">
        <v>107</v>
      </c>
      <c r="F625" s="14">
        <v>0.8412</v>
      </c>
      <c r="G625" s="15"/>
      <c r="H625" s="16"/>
      <c r="I625" s="14"/>
    </row>
    <row r="626">
      <c r="A626" s="14">
        <v>671.0</v>
      </c>
      <c r="B626" s="14">
        <v>7.450351E7</v>
      </c>
      <c r="C626" s="14">
        <v>3.0829614E8</v>
      </c>
      <c r="D626" s="2" t="s">
        <v>1942</v>
      </c>
      <c r="E626" s="1" t="s">
        <v>107</v>
      </c>
      <c r="F626" s="14">
        <v>0.841</v>
      </c>
      <c r="G626" s="15"/>
      <c r="H626" s="16"/>
      <c r="I626" s="14"/>
    </row>
    <row r="627">
      <c r="A627" s="14">
        <v>414.0</v>
      </c>
      <c r="B627" s="14">
        <v>1.0095496E7</v>
      </c>
      <c r="C627" s="14">
        <v>4.2870628E7</v>
      </c>
      <c r="D627" s="2" t="s">
        <v>1944</v>
      </c>
      <c r="E627" s="1" t="s">
        <v>121</v>
      </c>
      <c r="F627" s="14">
        <v>0.8408</v>
      </c>
      <c r="G627" s="15"/>
      <c r="H627" s="16"/>
      <c r="I627" s="14"/>
    </row>
    <row r="628">
      <c r="A628" s="14">
        <v>609.0</v>
      </c>
      <c r="B628" s="14">
        <v>6289952.0</v>
      </c>
      <c r="C628" s="14">
        <v>2.6749831E7</v>
      </c>
      <c r="D628" s="2" t="s">
        <v>1948</v>
      </c>
      <c r="E628" s="1" t="s">
        <v>107</v>
      </c>
      <c r="F628" s="14">
        <v>0.8402</v>
      </c>
      <c r="G628" s="15"/>
      <c r="H628" s="16"/>
      <c r="I628" s="14"/>
    </row>
    <row r="629">
      <c r="A629" s="14">
        <v>617.0</v>
      </c>
      <c r="B629" s="14">
        <v>6424224.0</v>
      </c>
      <c r="C629" s="14">
        <v>2.7342301E7</v>
      </c>
      <c r="D629" s="2" t="s">
        <v>1950</v>
      </c>
      <c r="E629" s="1" t="s">
        <v>107</v>
      </c>
      <c r="F629" s="14">
        <v>0.8402</v>
      </c>
      <c r="G629" s="15"/>
      <c r="H629" s="16"/>
      <c r="I629" s="14"/>
    </row>
    <row r="630">
      <c r="A630" s="14">
        <v>403.0</v>
      </c>
      <c r="B630" s="14">
        <v>5.9875601E7</v>
      </c>
      <c r="C630" s="14">
        <v>2.39878654E8</v>
      </c>
      <c r="D630" s="2" t="s">
        <v>1952</v>
      </c>
      <c r="E630" s="1" t="s">
        <v>107</v>
      </c>
      <c r="F630" s="14">
        <v>0.8402</v>
      </c>
      <c r="G630" s="15"/>
      <c r="H630" s="16"/>
      <c r="I630" s="14"/>
    </row>
    <row r="631">
      <c r="A631" s="14">
        <v>210.0</v>
      </c>
      <c r="B631" s="14">
        <v>8.855205E7</v>
      </c>
      <c r="C631" s="14">
        <v>3.74977691E8</v>
      </c>
      <c r="D631" s="2" t="s">
        <v>1218</v>
      </c>
      <c r="E631" s="1" t="s">
        <v>699</v>
      </c>
      <c r="F631" s="14">
        <v>0.8402</v>
      </c>
      <c r="G631" s="15"/>
      <c r="H631" s="16"/>
      <c r="I631" s="14"/>
    </row>
    <row r="632">
      <c r="A632" s="14">
        <v>676.0</v>
      </c>
      <c r="B632" s="14">
        <v>3957834.0</v>
      </c>
      <c r="C632" s="14">
        <v>1.674796E7</v>
      </c>
      <c r="D632" s="2" t="s">
        <v>1956</v>
      </c>
      <c r="E632" s="1" t="s">
        <v>121</v>
      </c>
      <c r="F632" s="14">
        <v>0.8402</v>
      </c>
      <c r="G632" s="15"/>
      <c r="H632" s="16"/>
      <c r="I632" s="14"/>
    </row>
    <row r="633">
      <c r="A633" s="14">
        <v>409.0</v>
      </c>
      <c r="B633" s="14">
        <v>7.4929693E7</v>
      </c>
      <c r="C633" s="14">
        <v>3.10446922E8</v>
      </c>
      <c r="D633" s="2" t="s">
        <v>1959</v>
      </c>
      <c r="E633" s="1" t="s">
        <v>107</v>
      </c>
      <c r="F633" s="14">
        <v>0.8398</v>
      </c>
      <c r="G633" s="15"/>
      <c r="H633" s="16"/>
      <c r="I633" s="14"/>
    </row>
    <row r="634">
      <c r="A634" s="14">
        <v>610.0</v>
      </c>
      <c r="B634" s="14">
        <v>4.4624876E7</v>
      </c>
      <c r="C634" s="14">
        <v>2.8609096E8</v>
      </c>
      <c r="D634" s="2" t="s">
        <v>1963</v>
      </c>
      <c r="E634" s="1" t="s">
        <v>107</v>
      </c>
      <c r="F634" s="14">
        <v>0.8395</v>
      </c>
      <c r="G634" s="15"/>
      <c r="H634" s="16"/>
      <c r="I634" s="14"/>
    </row>
    <row r="635">
      <c r="A635" s="14">
        <v>484.0</v>
      </c>
      <c r="B635" s="14">
        <v>8.6713913E7</v>
      </c>
      <c r="C635" s="14">
        <v>3.66298072E8</v>
      </c>
      <c r="D635" s="2" t="s">
        <v>1308</v>
      </c>
      <c r="E635" s="1" t="s">
        <v>107</v>
      </c>
      <c r="F635" s="14">
        <v>0.8395</v>
      </c>
      <c r="G635" s="15"/>
      <c r="H635" s="16"/>
      <c r="I635" s="14"/>
    </row>
    <row r="636">
      <c r="A636" s="14">
        <v>531.0</v>
      </c>
      <c r="B636" s="14">
        <v>7653497.0</v>
      </c>
      <c r="C636" s="14">
        <v>3.2496769E7</v>
      </c>
      <c r="D636" s="2" t="s">
        <v>1966</v>
      </c>
      <c r="E636" s="1" t="s">
        <v>699</v>
      </c>
      <c r="F636" s="14">
        <v>0.8392</v>
      </c>
      <c r="G636" s="15"/>
      <c r="H636" s="16"/>
      <c r="I636" s="14"/>
    </row>
    <row r="637">
      <c r="A637" s="14">
        <v>609.0</v>
      </c>
      <c r="B637" s="14">
        <v>2315600.0</v>
      </c>
      <c r="C637" s="14">
        <v>9854965.0</v>
      </c>
      <c r="D637" s="2" t="s">
        <v>1969</v>
      </c>
      <c r="E637" s="1" t="s">
        <v>107</v>
      </c>
      <c r="F637" s="14">
        <v>0.8388</v>
      </c>
      <c r="G637" s="15"/>
      <c r="H637" s="16"/>
      <c r="I637" s="14"/>
    </row>
    <row r="638">
      <c r="A638" s="14">
        <v>671.0</v>
      </c>
      <c r="B638" s="14">
        <v>2815440.0</v>
      </c>
      <c r="C638" s="14">
        <v>1.1940953E7</v>
      </c>
      <c r="D638" s="2" t="s">
        <v>1972</v>
      </c>
      <c r="E638" s="1" t="s">
        <v>699</v>
      </c>
      <c r="F638" s="14">
        <v>0.8388</v>
      </c>
      <c r="G638" s="15"/>
      <c r="H638" s="16"/>
      <c r="I638" s="14"/>
    </row>
    <row r="639">
      <c r="A639" s="14">
        <v>671.0</v>
      </c>
      <c r="B639" s="14">
        <v>9589188.0</v>
      </c>
      <c r="C639" s="14">
        <v>4.0893163E7</v>
      </c>
      <c r="D639" s="2" t="s">
        <v>1975</v>
      </c>
      <c r="E639" s="1" t="s">
        <v>699</v>
      </c>
      <c r="F639" s="14">
        <v>0.8387</v>
      </c>
      <c r="G639" s="15"/>
      <c r="H639" s="16"/>
      <c r="I639" s="14"/>
    </row>
    <row r="640">
      <c r="A640" s="14">
        <v>172.0</v>
      </c>
      <c r="B640" s="14">
        <v>9593672.0</v>
      </c>
      <c r="C640" s="14">
        <v>4.068479E7</v>
      </c>
      <c r="D640" s="2" t="s">
        <v>1977</v>
      </c>
      <c r="E640" s="1" t="s">
        <v>121</v>
      </c>
      <c r="F640" s="14">
        <v>0.8387</v>
      </c>
      <c r="G640" s="15"/>
      <c r="H640" s="16"/>
      <c r="I640" s="14"/>
    </row>
    <row r="641">
      <c r="A641" s="14">
        <v>644.0</v>
      </c>
      <c r="B641" s="14">
        <v>9.0689824E7</v>
      </c>
      <c r="C641" s="14">
        <v>3.8491485E8</v>
      </c>
      <c r="D641" s="2" t="s">
        <v>1095</v>
      </c>
      <c r="E641" s="1" t="s">
        <v>121</v>
      </c>
      <c r="F641" s="14">
        <v>0.8384</v>
      </c>
      <c r="G641" s="15"/>
      <c r="H641" s="16"/>
      <c r="I641" s="14"/>
    </row>
    <row r="642">
      <c r="A642" s="14">
        <v>238.0</v>
      </c>
      <c r="B642" s="14">
        <v>440308.0</v>
      </c>
      <c r="C642" s="14">
        <v>2028747.0</v>
      </c>
      <c r="D642" s="2" t="s">
        <v>1982</v>
      </c>
      <c r="E642" s="1" t="s">
        <v>121</v>
      </c>
      <c r="F642" s="14">
        <v>0.8381</v>
      </c>
      <c r="G642" s="15"/>
      <c r="H642" s="16"/>
      <c r="I642" s="14"/>
    </row>
    <row r="643">
      <c r="A643" s="14">
        <v>461.0</v>
      </c>
      <c r="B643" s="14">
        <v>1.0621245E8</v>
      </c>
      <c r="C643" s="14">
        <v>4.58222254E8</v>
      </c>
      <c r="D643" s="2" t="s">
        <v>301</v>
      </c>
      <c r="E643" s="1" t="s">
        <v>107</v>
      </c>
      <c r="F643" s="14">
        <v>0.8377</v>
      </c>
      <c r="G643" s="15"/>
      <c r="H643" s="16"/>
      <c r="I643" s="14"/>
    </row>
    <row r="644">
      <c r="A644" s="14">
        <v>504.0</v>
      </c>
      <c r="B644" s="14">
        <v>3.2442662E7</v>
      </c>
      <c r="C644" s="14">
        <v>1.300814E8</v>
      </c>
      <c r="D644" s="2" t="s">
        <v>1986</v>
      </c>
      <c r="E644" s="1" t="s">
        <v>121</v>
      </c>
      <c r="F644" s="14">
        <v>0.8374</v>
      </c>
      <c r="G644" s="15"/>
      <c r="H644" s="16"/>
      <c r="I644" s="14"/>
    </row>
    <row r="645">
      <c r="A645" s="14">
        <v>215.0</v>
      </c>
      <c r="B645" s="14">
        <v>1820412.0</v>
      </c>
      <c r="C645" s="14">
        <v>7974091.0</v>
      </c>
      <c r="D645" s="2" t="s">
        <v>1989</v>
      </c>
      <c r="E645" s="1" t="s">
        <v>107</v>
      </c>
      <c r="F645" s="14">
        <v>0.8367</v>
      </c>
      <c r="G645" s="15"/>
      <c r="H645" s="16"/>
      <c r="I645" s="14"/>
    </row>
    <row r="646">
      <c r="A646" s="14">
        <v>492.0</v>
      </c>
      <c r="B646" s="14">
        <v>1.2577372E7</v>
      </c>
      <c r="C646" s="14">
        <v>5.3365829E7</v>
      </c>
      <c r="D646" s="2" t="s">
        <v>1992</v>
      </c>
      <c r="E646" s="1" t="s">
        <v>121</v>
      </c>
      <c r="F646" s="14">
        <v>0.8361</v>
      </c>
      <c r="G646" s="15"/>
      <c r="H646" s="16"/>
      <c r="I646" s="14"/>
    </row>
    <row r="647">
      <c r="A647" s="14">
        <v>604.0</v>
      </c>
      <c r="B647" s="14">
        <v>6.4113362E7</v>
      </c>
      <c r="C647" s="14">
        <v>2.60388498E8</v>
      </c>
      <c r="D647" s="2" t="s">
        <v>1995</v>
      </c>
      <c r="E647" s="1" t="s">
        <v>107</v>
      </c>
      <c r="F647" s="14">
        <v>0.836</v>
      </c>
      <c r="G647" s="15"/>
      <c r="H647" s="16"/>
      <c r="I647" s="14"/>
    </row>
    <row r="648">
      <c r="A648" s="14">
        <v>404.0</v>
      </c>
      <c r="B648" s="14">
        <v>6.6796112E7</v>
      </c>
      <c r="C648" s="14">
        <v>2.73239355E8</v>
      </c>
      <c r="D648" s="2" t="s">
        <v>1999</v>
      </c>
      <c r="E648" s="1" t="s">
        <v>107</v>
      </c>
      <c r="F648" s="14">
        <v>0.836</v>
      </c>
      <c r="G648" s="15"/>
      <c r="H648" s="16"/>
      <c r="I648" s="14"/>
    </row>
    <row r="649">
      <c r="A649" s="14">
        <v>380.0</v>
      </c>
      <c r="B649" s="14">
        <v>7.084792E7</v>
      </c>
      <c r="C649" s="14">
        <v>2.92558717E8</v>
      </c>
      <c r="D649" s="2" t="s">
        <v>2002</v>
      </c>
      <c r="E649" s="1" t="s">
        <v>107</v>
      </c>
      <c r="F649" s="14">
        <v>0.836</v>
      </c>
      <c r="G649" s="15"/>
      <c r="H649" s="16"/>
      <c r="I649" s="14"/>
    </row>
    <row r="650">
      <c r="A650" s="14">
        <v>531.0</v>
      </c>
      <c r="B650" s="14">
        <v>9.6214545E7</v>
      </c>
      <c r="C650" s="14">
        <v>4.10448563E8</v>
      </c>
      <c r="D650" s="2" t="s">
        <v>812</v>
      </c>
      <c r="E650" s="1" t="s">
        <v>107</v>
      </c>
      <c r="F650" s="14">
        <v>0.836</v>
      </c>
      <c r="G650" s="15"/>
      <c r="H650" s="16"/>
      <c r="I650" s="14"/>
    </row>
    <row r="651">
      <c r="A651" s="14">
        <v>403.0</v>
      </c>
      <c r="B651" s="14">
        <v>4747881.0</v>
      </c>
      <c r="C651" s="14">
        <v>2.0160526E7</v>
      </c>
      <c r="D651" s="2" t="s">
        <v>2007</v>
      </c>
      <c r="E651" s="1" t="s">
        <v>699</v>
      </c>
      <c r="F651" s="14">
        <v>0.836</v>
      </c>
      <c r="G651" s="15"/>
      <c r="H651" s="16"/>
      <c r="I651" s="14"/>
    </row>
    <row r="652">
      <c r="A652" s="14">
        <v>609.0</v>
      </c>
      <c r="B652" s="14">
        <v>7261740.0</v>
      </c>
      <c r="C652" s="14">
        <v>3.0887626E7</v>
      </c>
      <c r="D652" s="2" t="s">
        <v>2008</v>
      </c>
      <c r="E652" s="1" t="s">
        <v>121</v>
      </c>
      <c r="F652" s="14">
        <v>0.836</v>
      </c>
      <c r="G652" s="15"/>
      <c r="H652" s="16"/>
      <c r="I652" s="14"/>
    </row>
    <row r="653">
      <c r="A653" s="14">
        <v>673.0</v>
      </c>
      <c r="B653" s="14">
        <v>1.316306E7</v>
      </c>
      <c r="C653" s="14">
        <v>5.5944273E7</v>
      </c>
      <c r="D653" s="2" t="s">
        <v>2010</v>
      </c>
      <c r="E653" s="1" t="s">
        <v>121</v>
      </c>
      <c r="F653" s="14">
        <v>0.836</v>
      </c>
      <c r="G653" s="15"/>
      <c r="H653" s="16"/>
      <c r="I653" s="14"/>
    </row>
    <row r="654">
      <c r="A654" s="14">
        <v>484.0</v>
      </c>
      <c r="B654" s="14">
        <v>7.3327314E7</v>
      </c>
      <c r="C654" s="14">
        <v>3.03684596E8</v>
      </c>
      <c r="D654" s="2" t="s">
        <v>2012</v>
      </c>
      <c r="E654" s="1" t="s">
        <v>121</v>
      </c>
      <c r="F654" s="14">
        <v>0.836</v>
      </c>
      <c r="G654" s="15"/>
      <c r="H654" s="16"/>
      <c r="I654" s="14"/>
    </row>
    <row r="655">
      <c r="A655" s="14">
        <v>365.0</v>
      </c>
      <c r="B655" s="14">
        <v>6.5148096E7</v>
      </c>
      <c r="C655" s="14">
        <v>2.65540832E8</v>
      </c>
      <c r="D655" s="2" t="s">
        <v>2016</v>
      </c>
      <c r="E655" s="1" t="s">
        <v>107</v>
      </c>
      <c r="F655" s="14">
        <v>0.8356</v>
      </c>
      <c r="G655" s="15"/>
      <c r="H655" s="16"/>
      <c r="I655" s="14"/>
    </row>
    <row r="656">
      <c r="A656" s="14">
        <v>484.0</v>
      </c>
      <c r="B656" s="14">
        <v>866039.0</v>
      </c>
      <c r="C656" s="14">
        <v>4079073.0</v>
      </c>
      <c r="D656" s="2" t="s">
        <v>2018</v>
      </c>
      <c r="E656" s="1" t="s">
        <v>107</v>
      </c>
      <c r="F656" s="14">
        <v>0.8353</v>
      </c>
      <c r="G656" s="15"/>
      <c r="H656" s="16"/>
      <c r="I656" s="14"/>
    </row>
    <row r="657">
      <c r="A657" s="14">
        <v>380.0</v>
      </c>
      <c r="B657" s="14">
        <v>1.7392207E7</v>
      </c>
      <c r="C657" s="14">
        <v>7.3495658E7</v>
      </c>
      <c r="D657" s="2" t="s">
        <v>2020</v>
      </c>
      <c r="E657" s="1" t="s">
        <v>107</v>
      </c>
      <c r="F657" s="14">
        <v>0.8346</v>
      </c>
      <c r="G657" s="15"/>
      <c r="H657" s="16"/>
      <c r="I657" s="14"/>
    </row>
    <row r="658">
      <c r="A658" s="14">
        <v>661.0</v>
      </c>
      <c r="B658" s="14">
        <v>9.7975665E7</v>
      </c>
      <c r="C658" s="14">
        <v>4.18737018E8</v>
      </c>
      <c r="D658" s="2" t="s">
        <v>711</v>
      </c>
      <c r="E658" s="1" t="s">
        <v>107</v>
      </c>
      <c r="F658" s="14">
        <v>0.8346</v>
      </c>
      <c r="G658" s="15"/>
      <c r="H658" s="16"/>
      <c r="I658" s="14"/>
    </row>
    <row r="659">
      <c r="A659" s="14">
        <v>462.0</v>
      </c>
      <c r="B659" s="14">
        <v>7.9301644E7</v>
      </c>
      <c r="C659" s="14">
        <v>3.30835701E8</v>
      </c>
      <c r="D659" s="2" t="s">
        <v>1785</v>
      </c>
      <c r="E659" s="1" t="s">
        <v>107</v>
      </c>
      <c r="F659" s="14">
        <v>0.8341</v>
      </c>
      <c r="G659" s="15"/>
      <c r="H659" s="16"/>
      <c r="I659" s="14"/>
    </row>
    <row r="660">
      <c r="A660" s="14">
        <v>120.0</v>
      </c>
      <c r="B660" s="14">
        <v>4311704.0</v>
      </c>
      <c r="C660" s="14">
        <v>1.8253303E7</v>
      </c>
      <c r="D660" s="2" t="s">
        <v>2026</v>
      </c>
      <c r="E660" s="1" t="s">
        <v>121</v>
      </c>
      <c r="F660" s="14">
        <v>0.8339</v>
      </c>
      <c r="G660" s="15"/>
      <c r="H660" s="16"/>
      <c r="I660" s="14"/>
    </row>
    <row r="661">
      <c r="A661" s="14">
        <v>194.0</v>
      </c>
      <c r="B661" s="14">
        <v>6.8410719E7</v>
      </c>
      <c r="C661" s="14">
        <v>2.8105883E8</v>
      </c>
      <c r="D661" s="2" t="s">
        <v>2027</v>
      </c>
      <c r="E661" s="1" t="s">
        <v>121</v>
      </c>
      <c r="F661" s="14">
        <v>0.8338</v>
      </c>
      <c r="G661" s="15"/>
      <c r="H661" s="16"/>
      <c r="I661" s="14"/>
    </row>
    <row r="662">
      <c r="A662" s="14">
        <v>564.0</v>
      </c>
      <c r="B662" s="14">
        <v>1622633.0</v>
      </c>
      <c r="C662" s="14">
        <v>7115261.0</v>
      </c>
      <c r="D662" s="2" t="s">
        <v>2028</v>
      </c>
      <c r="E662" s="1" t="s">
        <v>107</v>
      </c>
      <c r="F662" s="14">
        <v>0.8337</v>
      </c>
      <c r="G662" s="15"/>
      <c r="H662" s="16"/>
      <c r="I662" s="14"/>
    </row>
    <row r="663">
      <c r="A663" s="14">
        <v>601.0</v>
      </c>
      <c r="B663" s="14">
        <v>4625632.0</v>
      </c>
      <c r="C663" s="14">
        <v>1.9638613E7</v>
      </c>
      <c r="D663" s="2" t="s">
        <v>2032</v>
      </c>
      <c r="E663" s="1" t="s">
        <v>121</v>
      </c>
      <c r="F663" s="14">
        <v>0.8324</v>
      </c>
      <c r="G663" s="15"/>
      <c r="H663" s="16"/>
      <c r="I663" s="14"/>
    </row>
    <row r="664">
      <c r="A664" s="14">
        <v>414.0</v>
      </c>
      <c r="B664" s="14">
        <v>3.9592588E7</v>
      </c>
      <c r="C664" s="14">
        <v>1.57015625E8</v>
      </c>
      <c r="D664" s="2" t="s">
        <v>2035</v>
      </c>
      <c r="E664" s="1" t="s">
        <v>107</v>
      </c>
      <c r="F664" s="14">
        <v>0.8316</v>
      </c>
      <c r="G664" s="15"/>
      <c r="H664" s="16"/>
      <c r="I664" s="14"/>
    </row>
    <row r="665">
      <c r="A665" s="14">
        <v>674.0</v>
      </c>
      <c r="B665" s="14">
        <v>1.06544195E8</v>
      </c>
      <c r="C665" s="14">
        <v>4.59625646E8</v>
      </c>
      <c r="D665" s="2" t="s">
        <v>282</v>
      </c>
      <c r="E665" s="1" t="s">
        <v>107</v>
      </c>
      <c r="F665" s="14">
        <v>0.8316</v>
      </c>
      <c r="G665" s="15"/>
      <c r="H665" s="16"/>
      <c r="I665" s="14"/>
    </row>
    <row r="666">
      <c r="A666" s="14">
        <v>380.0</v>
      </c>
      <c r="B666" s="14">
        <v>6107836.0</v>
      </c>
      <c r="C666" s="14">
        <v>2.5991552E7</v>
      </c>
      <c r="D666" s="2" t="s">
        <v>2040</v>
      </c>
      <c r="E666" s="1" t="s">
        <v>121</v>
      </c>
      <c r="F666" s="14">
        <v>0.8316</v>
      </c>
      <c r="G666" s="15"/>
      <c r="H666" s="16"/>
      <c r="I666" s="14"/>
    </row>
    <row r="667">
      <c r="A667" s="14">
        <v>488.0</v>
      </c>
      <c r="B667" s="14">
        <v>2.1396737E7</v>
      </c>
      <c r="C667" s="14">
        <v>8.8529374E7</v>
      </c>
      <c r="D667" s="2" t="s">
        <v>2042</v>
      </c>
      <c r="E667" s="1" t="s">
        <v>121</v>
      </c>
      <c r="F667" s="14">
        <v>0.8316</v>
      </c>
      <c r="G667" s="15"/>
      <c r="H667" s="16"/>
      <c r="I667" s="14"/>
    </row>
    <row r="668">
      <c r="A668" s="14">
        <v>676.0</v>
      </c>
      <c r="B668" s="14">
        <v>3.4291281E7</v>
      </c>
      <c r="C668" s="14">
        <v>1.36999726E8</v>
      </c>
      <c r="D668" s="2" t="s">
        <v>2044</v>
      </c>
      <c r="E668" s="1" t="s">
        <v>121</v>
      </c>
      <c r="F668" s="14">
        <v>0.8316</v>
      </c>
      <c r="G668" s="15"/>
      <c r="H668" s="16"/>
      <c r="I668" s="14"/>
    </row>
    <row r="669">
      <c r="A669" s="14">
        <v>339.0</v>
      </c>
      <c r="B669" s="14">
        <v>7089694.0</v>
      </c>
      <c r="C669" s="14">
        <v>3.0171559E7</v>
      </c>
      <c r="D669" s="2" t="s">
        <v>2045</v>
      </c>
      <c r="E669" s="1" t="s">
        <v>107</v>
      </c>
      <c r="F669" s="14">
        <v>0.8313</v>
      </c>
      <c r="G669" s="15"/>
      <c r="H669" s="16"/>
      <c r="I669" s="14"/>
    </row>
    <row r="670">
      <c r="A670" s="14">
        <v>337.0</v>
      </c>
      <c r="B670" s="14">
        <v>1.12260359E8</v>
      </c>
      <c r="C670" s="14">
        <v>4.87851609E8</v>
      </c>
      <c r="D670" s="2" t="s">
        <v>34</v>
      </c>
      <c r="E670" s="1" t="s">
        <v>107</v>
      </c>
      <c r="F670" s="14">
        <v>0.8313</v>
      </c>
      <c r="G670" s="15"/>
      <c r="H670" s="16"/>
      <c r="I670" s="14"/>
    </row>
    <row r="671">
      <c r="A671" s="14">
        <v>403.0</v>
      </c>
      <c r="B671" s="14">
        <v>906141.0</v>
      </c>
      <c r="C671" s="14">
        <v>2.30163136E8</v>
      </c>
      <c r="D671" s="2" t="s">
        <v>2048</v>
      </c>
      <c r="E671" s="1" t="s">
        <v>699</v>
      </c>
      <c r="F671" s="14">
        <v>0.8313</v>
      </c>
      <c r="G671" s="15"/>
      <c r="H671" s="16"/>
      <c r="I671" s="14"/>
    </row>
    <row r="672">
      <c r="A672" s="14">
        <v>573.0</v>
      </c>
      <c r="B672" s="14">
        <v>3378117.0</v>
      </c>
      <c r="C672" s="14">
        <v>1.4302782E7</v>
      </c>
      <c r="D672" s="2" t="s">
        <v>2051</v>
      </c>
      <c r="E672" s="1" t="s">
        <v>107</v>
      </c>
      <c r="F672" s="14">
        <v>0.8309</v>
      </c>
      <c r="G672" s="15"/>
      <c r="H672" s="16"/>
      <c r="I672" s="14"/>
    </row>
    <row r="673">
      <c r="A673" s="14">
        <v>610.0</v>
      </c>
      <c r="B673" s="14">
        <v>7.4926163E7</v>
      </c>
      <c r="C673" s="14">
        <v>3.10375304E8</v>
      </c>
      <c r="D673" s="2" t="s">
        <v>2030</v>
      </c>
      <c r="E673" s="1" t="s">
        <v>107</v>
      </c>
      <c r="F673" s="14">
        <v>0.8309</v>
      </c>
      <c r="G673" s="15"/>
      <c r="H673" s="16"/>
      <c r="I673" s="14"/>
    </row>
    <row r="674">
      <c r="A674" s="14">
        <v>610.0</v>
      </c>
      <c r="B674" s="14">
        <v>5.5372613E7</v>
      </c>
      <c r="C674" s="14">
        <v>2.19848987E8</v>
      </c>
      <c r="D674" s="2" t="s">
        <v>2054</v>
      </c>
      <c r="E674" s="1" t="s">
        <v>107</v>
      </c>
      <c r="F674" s="14">
        <v>0.8306</v>
      </c>
      <c r="G674" s="15"/>
      <c r="H674" s="16"/>
      <c r="I674" s="14"/>
    </row>
    <row r="675">
      <c r="A675" s="14">
        <v>326.0</v>
      </c>
      <c r="B675" s="14">
        <v>980852.0</v>
      </c>
      <c r="C675" s="14">
        <v>4516627.0</v>
      </c>
      <c r="D675" s="2" t="s">
        <v>2058</v>
      </c>
      <c r="E675" s="1" t="s">
        <v>107</v>
      </c>
      <c r="F675" s="14">
        <v>0.8302</v>
      </c>
      <c r="G675" s="15"/>
      <c r="H675" s="16"/>
      <c r="I675" s="14"/>
    </row>
    <row r="676">
      <c r="A676" s="14">
        <v>571.0</v>
      </c>
      <c r="B676" s="14">
        <v>3450020.0</v>
      </c>
      <c r="C676" s="14">
        <v>1.4655746E7</v>
      </c>
      <c r="D676" s="2" t="s">
        <v>2061</v>
      </c>
      <c r="E676" s="1" t="s">
        <v>107</v>
      </c>
      <c r="F676" s="14">
        <v>0.8302</v>
      </c>
      <c r="G676" s="15"/>
      <c r="H676" s="16"/>
      <c r="I676" s="14"/>
    </row>
    <row r="677">
      <c r="A677" s="14">
        <v>394.0</v>
      </c>
      <c r="B677" s="14">
        <v>6.9816795E7</v>
      </c>
      <c r="C677" s="14">
        <v>2.87775783E8</v>
      </c>
      <c r="D677" s="2" t="s">
        <v>2063</v>
      </c>
      <c r="E677" s="1" t="s">
        <v>107</v>
      </c>
      <c r="F677" s="14">
        <v>0.8302</v>
      </c>
      <c r="G677" s="15"/>
      <c r="H677" s="16"/>
      <c r="I677" s="14"/>
    </row>
    <row r="678">
      <c r="A678" s="14">
        <v>587.0</v>
      </c>
      <c r="B678" s="14">
        <v>9.4761184E7</v>
      </c>
      <c r="C678" s="14">
        <v>4.03125603E8</v>
      </c>
      <c r="D678" s="2" t="s">
        <v>891</v>
      </c>
      <c r="E678" s="1" t="s">
        <v>107</v>
      </c>
      <c r="F678" s="14">
        <v>0.8302</v>
      </c>
      <c r="G678" s="15"/>
      <c r="H678" s="16"/>
      <c r="I678" s="14"/>
    </row>
    <row r="679">
      <c r="A679" s="14">
        <v>694.0</v>
      </c>
      <c r="B679" s="14">
        <v>1.479793E7</v>
      </c>
      <c r="C679" s="14">
        <v>6.2893105E7</v>
      </c>
      <c r="D679" s="2" t="s">
        <v>2067</v>
      </c>
      <c r="E679" s="1" t="s">
        <v>107</v>
      </c>
      <c r="F679" s="14">
        <v>0.8286</v>
      </c>
      <c r="G679" s="15"/>
      <c r="H679" s="16"/>
      <c r="I679" s="14"/>
    </row>
    <row r="680">
      <c r="A680" s="14">
        <v>673.0</v>
      </c>
      <c r="B680" s="14">
        <v>1.2304904E7</v>
      </c>
      <c r="C680" s="14">
        <v>1.09287206E8</v>
      </c>
      <c r="D680" s="2" t="s">
        <v>2071</v>
      </c>
      <c r="E680" s="1" t="s">
        <v>699</v>
      </c>
      <c r="F680" s="14">
        <v>0.8283</v>
      </c>
      <c r="G680" s="15"/>
      <c r="H680" s="16"/>
      <c r="I680" s="14"/>
    </row>
    <row r="681">
      <c r="A681" s="14">
        <v>573.0</v>
      </c>
      <c r="B681" s="14">
        <v>2555057.0</v>
      </c>
      <c r="C681" s="14">
        <v>1.0777491E7</v>
      </c>
      <c r="D681" s="2" t="s">
        <v>2073</v>
      </c>
      <c r="E681" s="1" t="s">
        <v>121</v>
      </c>
      <c r="F681" s="14">
        <v>0.8281</v>
      </c>
      <c r="G681" s="15"/>
      <c r="H681" s="16"/>
      <c r="I681" s="14"/>
    </row>
    <row r="682">
      <c r="A682" s="14">
        <v>403.0</v>
      </c>
      <c r="B682" s="14">
        <v>5.6791145E7</v>
      </c>
      <c r="C682" s="14">
        <v>2.25791738E8</v>
      </c>
      <c r="D682" s="2" t="s">
        <v>2075</v>
      </c>
      <c r="E682" s="1" t="s">
        <v>107</v>
      </c>
      <c r="F682" s="14">
        <v>0.8271</v>
      </c>
      <c r="G682" s="15"/>
      <c r="H682" s="16"/>
      <c r="I682" s="14"/>
    </row>
    <row r="683">
      <c r="A683" s="14">
        <v>578.0</v>
      </c>
      <c r="B683" s="14">
        <v>5.7750876E7</v>
      </c>
      <c r="C683" s="14">
        <v>2.30019699E8</v>
      </c>
      <c r="D683" s="2" t="s">
        <v>2078</v>
      </c>
      <c r="E683" s="1" t="s">
        <v>107</v>
      </c>
      <c r="F683" s="14">
        <v>0.8271</v>
      </c>
      <c r="G683" s="15"/>
      <c r="H683" s="16"/>
      <c r="I683" s="14"/>
    </row>
    <row r="684">
      <c r="A684" s="14">
        <v>427.0</v>
      </c>
      <c r="B684" s="14">
        <v>7.982685E7</v>
      </c>
      <c r="C684" s="14">
        <v>3.33543763E8</v>
      </c>
      <c r="D684" s="2" t="s">
        <v>1746</v>
      </c>
      <c r="E684" s="1" t="s">
        <v>107</v>
      </c>
      <c r="F684" s="14">
        <v>0.8271</v>
      </c>
      <c r="G684" s="15"/>
      <c r="H684" s="16"/>
      <c r="I684" s="14"/>
    </row>
    <row r="685">
      <c r="A685" s="14">
        <v>504.0</v>
      </c>
      <c r="B685" s="14">
        <v>9.5881638E7</v>
      </c>
      <c r="C685" s="14">
        <v>4.08828784E8</v>
      </c>
      <c r="D685" s="2" t="s">
        <v>830</v>
      </c>
      <c r="E685" s="1" t="s">
        <v>107</v>
      </c>
      <c r="F685" s="14">
        <v>0.8271</v>
      </c>
      <c r="G685" s="15"/>
      <c r="H685" s="16"/>
      <c r="I685" s="14"/>
    </row>
    <row r="686">
      <c r="A686" s="14">
        <v>671.0</v>
      </c>
      <c r="B686" s="14">
        <v>1.06641472E8</v>
      </c>
      <c r="C686" s="14">
        <v>4.90199121E8</v>
      </c>
      <c r="D686" s="2" t="s">
        <v>277</v>
      </c>
      <c r="E686" s="1" t="s">
        <v>107</v>
      </c>
      <c r="F686" s="14">
        <v>0.8271</v>
      </c>
      <c r="G686" s="15"/>
      <c r="H686" s="16"/>
      <c r="I686" s="14"/>
    </row>
    <row r="687">
      <c r="A687" s="14">
        <v>665.0</v>
      </c>
      <c r="B687" s="14">
        <v>1.08429618E8</v>
      </c>
      <c r="C687" s="14">
        <v>4.68601399E8</v>
      </c>
      <c r="D687" s="2" t="s">
        <v>180</v>
      </c>
      <c r="E687" s="1" t="s">
        <v>107</v>
      </c>
      <c r="F687" s="14">
        <v>0.8271</v>
      </c>
      <c r="G687" s="15"/>
      <c r="H687" s="16"/>
      <c r="I687" s="14"/>
    </row>
    <row r="688">
      <c r="A688" s="14">
        <v>571.0</v>
      </c>
      <c r="B688" s="14">
        <v>7656617.0</v>
      </c>
      <c r="C688" s="14">
        <v>3.256215E7</v>
      </c>
      <c r="D688" s="2" t="s">
        <v>2087</v>
      </c>
      <c r="E688" s="1" t="s">
        <v>699</v>
      </c>
      <c r="F688" s="14">
        <v>0.8271</v>
      </c>
      <c r="G688" s="15"/>
      <c r="H688" s="16"/>
      <c r="I688" s="14"/>
    </row>
    <row r="689">
      <c r="A689" s="14">
        <v>578.0</v>
      </c>
      <c r="B689" s="14">
        <v>9108588.0</v>
      </c>
      <c r="C689" s="14">
        <v>3.8605175E7</v>
      </c>
      <c r="D689" s="2" t="s">
        <v>2089</v>
      </c>
      <c r="E689" s="1" t="s">
        <v>121</v>
      </c>
      <c r="F689" s="14">
        <v>0.8271</v>
      </c>
      <c r="G689" s="15"/>
      <c r="H689" s="16"/>
      <c r="I689" s="14"/>
    </row>
    <row r="690">
      <c r="A690" s="14">
        <v>571.0</v>
      </c>
      <c r="B690" s="14">
        <v>7.3963616E7</v>
      </c>
      <c r="C690" s="14">
        <v>3.34190036E8</v>
      </c>
      <c r="D690" s="2" t="s">
        <v>2062</v>
      </c>
      <c r="E690" s="1" t="s">
        <v>121</v>
      </c>
      <c r="F690" s="14">
        <v>0.8271</v>
      </c>
      <c r="G690" s="15"/>
      <c r="H690" s="16"/>
      <c r="I690" s="14"/>
    </row>
    <row r="691">
      <c r="A691" s="14">
        <v>571.0</v>
      </c>
      <c r="B691" s="14">
        <v>8.7363855E7</v>
      </c>
      <c r="C691" s="14">
        <v>3.69880856E8</v>
      </c>
      <c r="D691" s="2" t="s">
        <v>1280</v>
      </c>
      <c r="E691" s="1" t="s">
        <v>121</v>
      </c>
      <c r="F691" s="14">
        <v>0.8271</v>
      </c>
      <c r="G691" s="15"/>
      <c r="H691" s="16"/>
      <c r="I691" s="14"/>
    </row>
    <row r="692">
      <c r="A692" s="14">
        <v>672.0</v>
      </c>
      <c r="B692" s="14">
        <v>3112870.0</v>
      </c>
      <c r="C692" s="14">
        <v>1.3196266E7</v>
      </c>
      <c r="D692" s="2" t="s">
        <v>2097</v>
      </c>
      <c r="E692" s="1" t="s">
        <v>107</v>
      </c>
      <c r="F692" s="14">
        <v>0.8268</v>
      </c>
      <c r="G692" s="15"/>
      <c r="H692" s="16"/>
      <c r="I692" s="14"/>
    </row>
    <row r="693">
      <c r="A693" s="14">
        <v>656.0</v>
      </c>
      <c r="B693" s="14">
        <v>1.6544584E7</v>
      </c>
      <c r="C693" s="14">
        <v>7.0183161E7</v>
      </c>
      <c r="D693" s="2" t="s">
        <v>2100</v>
      </c>
      <c r="E693" s="1" t="s">
        <v>107</v>
      </c>
      <c r="F693" s="14">
        <v>0.8268</v>
      </c>
      <c r="G693" s="15"/>
      <c r="H693" s="16"/>
      <c r="I693" s="14"/>
    </row>
    <row r="694">
      <c r="A694" s="14">
        <v>210.0</v>
      </c>
      <c r="B694" s="14">
        <v>5.3228528E7</v>
      </c>
      <c r="C694" s="14">
        <v>2.11981339E8</v>
      </c>
      <c r="D694" s="2" t="s">
        <v>2102</v>
      </c>
      <c r="E694" s="1" t="s">
        <v>107</v>
      </c>
      <c r="F694" s="14">
        <v>0.8268</v>
      </c>
      <c r="G694" s="15"/>
      <c r="H694" s="16"/>
      <c r="I694" s="14"/>
    </row>
    <row r="695">
      <c r="A695" s="14">
        <v>597.0</v>
      </c>
      <c r="B695" s="14">
        <v>7.8719027E7</v>
      </c>
      <c r="C695" s="14">
        <v>3.27911467E8</v>
      </c>
      <c r="D695" s="2" t="s">
        <v>1820</v>
      </c>
      <c r="E695" s="1" t="s">
        <v>107</v>
      </c>
      <c r="F695" s="14">
        <v>0.8268</v>
      </c>
      <c r="G695" s="15"/>
      <c r="H695" s="16"/>
      <c r="I695" s="14"/>
    </row>
    <row r="696">
      <c r="A696" s="14">
        <v>154.0</v>
      </c>
      <c r="B696" s="14">
        <v>544337.0</v>
      </c>
      <c r="C696" s="14">
        <v>2620388.0</v>
      </c>
      <c r="D696" s="2" t="s">
        <v>2106</v>
      </c>
      <c r="E696" s="1" t="s">
        <v>107</v>
      </c>
      <c r="F696" s="14">
        <v>0.8264</v>
      </c>
      <c r="G696" s="15"/>
      <c r="H696" s="16"/>
      <c r="I696" s="14"/>
    </row>
    <row r="697">
      <c r="A697" s="14">
        <v>355.0</v>
      </c>
      <c r="B697" s="14">
        <v>8036409.0</v>
      </c>
      <c r="C697" s="14">
        <v>1.58424203E8</v>
      </c>
      <c r="D697" s="2" t="s">
        <v>2109</v>
      </c>
      <c r="E697" s="1" t="s">
        <v>107</v>
      </c>
      <c r="F697" s="14">
        <v>0.8264</v>
      </c>
      <c r="G697" s="15"/>
      <c r="H697" s="16"/>
      <c r="I697" s="14"/>
    </row>
    <row r="698">
      <c r="A698" s="14">
        <v>678.0</v>
      </c>
      <c r="B698" s="14">
        <v>1.6850227E7</v>
      </c>
      <c r="C698" s="14">
        <v>1.52954488E8</v>
      </c>
      <c r="D698" s="2" t="s">
        <v>2111</v>
      </c>
      <c r="E698" s="1" t="s">
        <v>107</v>
      </c>
      <c r="F698" s="14">
        <v>0.8264</v>
      </c>
      <c r="G698" s="15"/>
      <c r="H698" s="16"/>
      <c r="I698" s="14"/>
    </row>
    <row r="699">
      <c r="A699" s="14">
        <v>609.0</v>
      </c>
      <c r="B699" s="14">
        <v>8239862.0</v>
      </c>
      <c r="C699" s="14">
        <v>3.498459E7</v>
      </c>
      <c r="D699" s="2" t="s">
        <v>2114</v>
      </c>
      <c r="E699" s="1" t="s">
        <v>107</v>
      </c>
      <c r="F699" s="14">
        <v>0.8261</v>
      </c>
      <c r="G699" s="15"/>
      <c r="H699" s="16"/>
      <c r="I699" s="14"/>
    </row>
    <row r="700">
      <c r="A700" s="14">
        <v>172.0</v>
      </c>
      <c r="B700" s="14">
        <v>9722324.0</v>
      </c>
      <c r="C700" s="14">
        <v>4.1229918E7</v>
      </c>
      <c r="D700" s="2" t="s">
        <v>2117</v>
      </c>
      <c r="E700" s="1" t="s">
        <v>121</v>
      </c>
      <c r="F700" s="14">
        <v>0.8261</v>
      </c>
      <c r="G700" s="15"/>
      <c r="H700" s="16"/>
      <c r="I700" s="14"/>
    </row>
    <row r="701">
      <c r="A701" s="14">
        <v>406.0</v>
      </c>
      <c r="B701" s="14">
        <v>6467283.0</v>
      </c>
      <c r="C701" s="14">
        <v>2.7549039E7</v>
      </c>
      <c r="D701" s="2" t="s">
        <v>2120</v>
      </c>
      <c r="E701" s="1" t="s">
        <v>107</v>
      </c>
      <c r="F701" s="14">
        <v>0.8258</v>
      </c>
      <c r="G701" s="15"/>
      <c r="H701" s="16"/>
      <c r="I701" s="14"/>
    </row>
    <row r="702">
      <c r="A702" s="14">
        <v>475.0</v>
      </c>
      <c r="B702" s="14">
        <v>4409971.0</v>
      </c>
      <c r="C702" s="14">
        <v>1.8715941E7</v>
      </c>
      <c r="D702" s="2" t="s">
        <v>2124</v>
      </c>
      <c r="E702" s="1" t="s">
        <v>121</v>
      </c>
      <c r="F702" s="14">
        <v>0.8254</v>
      </c>
      <c r="G702" s="15"/>
      <c r="H702" s="16"/>
      <c r="I702" s="14"/>
    </row>
    <row r="703">
      <c r="A703" s="14">
        <v>716.0</v>
      </c>
      <c r="B703" s="14">
        <v>8318659.0</v>
      </c>
      <c r="C703" s="14">
        <v>3.5315646E7</v>
      </c>
      <c r="D703" s="2" t="s">
        <v>2127</v>
      </c>
      <c r="E703" s="1" t="s">
        <v>107</v>
      </c>
      <c r="F703" s="14">
        <v>0.8249</v>
      </c>
      <c r="G703" s="15"/>
      <c r="H703" s="16"/>
      <c r="I703" s="14"/>
    </row>
    <row r="704">
      <c r="A704" s="14">
        <v>179.0</v>
      </c>
      <c r="B704" s="14">
        <v>7.360877E7</v>
      </c>
      <c r="C704" s="14">
        <v>3.04494181E8</v>
      </c>
      <c r="D704" s="2" t="s">
        <v>2072</v>
      </c>
      <c r="E704" s="1" t="s">
        <v>121</v>
      </c>
      <c r="F704" s="14">
        <v>0.8248</v>
      </c>
      <c r="G704" s="15"/>
      <c r="H704" s="16"/>
      <c r="I704" s="14"/>
    </row>
    <row r="705">
      <c r="A705" s="14">
        <v>414.0</v>
      </c>
      <c r="B705" s="14">
        <v>7.8120758E7</v>
      </c>
      <c r="C705" s="14">
        <v>3.25649852E8</v>
      </c>
      <c r="D705" s="2" t="s">
        <v>1847</v>
      </c>
      <c r="E705" s="1" t="s">
        <v>121</v>
      </c>
      <c r="F705" s="14">
        <v>0.8237</v>
      </c>
      <c r="G705" s="15"/>
      <c r="H705" s="16"/>
      <c r="I705" s="14"/>
    </row>
    <row r="706">
      <c r="A706" s="14">
        <v>587.0</v>
      </c>
      <c r="B706" s="14">
        <v>1.9743264E7</v>
      </c>
      <c r="C706" s="14">
        <v>8.234403E7</v>
      </c>
      <c r="D706" s="2" t="s">
        <v>2133</v>
      </c>
      <c r="E706" s="1" t="s">
        <v>107</v>
      </c>
      <c r="F706" s="14">
        <v>0.8225</v>
      </c>
      <c r="G706" s="15"/>
      <c r="H706" s="16"/>
      <c r="I706" s="14"/>
    </row>
    <row r="707">
      <c r="A707" s="14">
        <v>173.0</v>
      </c>
      <c r="B707" s="14">
        <v>7.6660246E7</v>
      </c>
      <c r="C707" s="14">
        <v>3.18237178E8</v>
      </c>
      <c r="D707" s="2" t="s">
        <v>1938</v>
      </c>
      <c r="E707" s="1" t="s">
        <v>107</v>
      </c>
      <c r="F707" s="14">
        <v>0.8225</v>
      </c>
      <c r="G707" s="15"/>
      <c r="H707" s="16"/>
      <c r="I707" s="14"/>
    </row>
    <row r="708">
      <c r="A708" s="14">
        <v>571.0</v>
      </c>
      <c r="B708" s="14">
        <v>7.7489038E7</v>
      </c>
      <c r="C708" s="14">
        <v>3.23060079E8</v>
      </c>
      <c r="D708" s="2" t="s">
        <v>1897</v>
      </c>
      <c r="E708" s="1" t="s">
        <v>107</v>
      </c>
      <c r="F708" s="14">
        <v>0.8225</v>
      </c>
      <c r="G708" s="15"/>
      <c r="H708" s="16"/>
      <c r="I708" s="14"/>
    </row>
    <row r="709">
      <c r="A709" s="14">
        <v>475.0</v>
      </c>
      <c r="B709" s="14">
        <v>3276991.0</v>
      </c>
      <c r="C709" s="14">
        <v>4.2217574E7</v>
      </c>
      <c r="D709" s="2" t="s">
        <v>2140</v>
      </c>
      <c r="E709" s="1" t="s">
        <v>699</v>
      </c>
      <c r="F709" s="14">
        <v>0.8225</v>
      </c>
      <c r="G709" s="15"/>
      <c r="H709" s="16"/>
      <c r="I709" s="14"/>
    </row>
    <row r="710">
      <c r="A710" s="14">
        <v>573.0</v>
      </c>
      <c r="B710" s="14">
        <v>7507410.0</v>
      </c>
      <c r="C710" s="14">
        <v>3.1956825E7</v>
      </c>
      <c r="D710" s="2" t="s">
        <v>2142</v>
      </c>
      <c r="E710" s="1" t="s">
        <v>699</v>
      </c>
      <c r="F710" s="14">
        <v>0.8225</v>
      </c>
      <c r="G710" s="15"/>
      <c r="H710" s="16"/>
      <c r="I710" s="14"/>
    </row>
    <row r="711">
      <c r="A711" s="14">
        <v>716.0</v>
      </c>
      <c r="B711" s="14">
        <v>9.2503841E7</v>
      </c>
      <c r="C711" s="14">
        <v>3.93120902E8</v>
      </c>
      <c r="D711" s="2" t="s">
        <v>1007</v>
      </c>
      <c r="E711" s="1" t="s">
        <v>699</v>
      </c>
      <c r="F711" s="14">
        <v>0.8225</v>
      </c>
      <c r="G711" s="15"/>
      <c r="H711" s="16"/>
      <c r="I711" s="14"/>
    </row>
    <row r="712">
      <c r="A712" s="14">
        <v>578.0</v>
      </c>
      <c r="B712" s="14">
        <v>1.08117093E8</v>
      </c>
      <c r="C712" s="14">
        <v>4.68118624E8</v>
      </c>
      <c r="D712" s="2" t="s">
        <v>197</v>
      </c>
      <c r="E712" s="1" t="s">
        <v>699</v>
      </c>
      <c r="F712" s="14">
        <v>0.8225</v>
      </c>
      <c r="G712" s="15"/>
      <c r="H712" s="16"/>
      <c r="I712" s="14"/>
    </row>
    <row r="713">
      <c r="A713" s="14">
        <v>120.0</v>
      </c>
      <c r="B713" s="14">
        <v>364067.0</v>
      </c>
      <c r="C713" s="14">
        <v>1580492.0</v>
      </c>
      <c r="D713" s="2" t="s">
        <v>2154</v>
      </c>
      <c r="E713" s="1" t="s">
        <v>121</v>
      </c>
      <c r="F713" s="14">
        <v>0.8225</v>
      </c>
      <c r="G713" s="15"/>
      <c r="H713" s="16"/>
      <c r="I713" s="14"/>
    </row>
    <row r="714">
      <c r="A714" s="14">
        <v>610.0</v>
      </c>
      <c r="B714" s="14">
        <v>8.7551945E7</v>
      </c>
      <c r="C714" s="14">
        <v>4.06976227E8</v>
      </c>
      <c r="D714" s="2" t="s">
        <v>1264</v>
      </c>
      <c r="E714" s="1" t="s">
        <v>121</v>
      </c>
      <c r="F714" s="14">
        <v>0.8225</v>
      </c>
      <c r="G714" s="15"/>
      <c r="H714" s="16"/>
      <c r="I714" s="14"/>
    </row>
    <row r="715">
      <c r="A715" s="14">
        <v>630.0</v>
      </c>
      <c r="B715" s="14">
        <v>9.5120723E7</v>
      </c>
      <c r="C715" s="14">
        <v>4.05136753E8</v>
      </c>
      <c r="D715" s="2" t="s">
        <v>873</v>
      </c>
      <c r="E715" s="1" t="s">
        <v>121</v>
      </c>
      <c r="F715" s="14">
        <v>0.8221</v>
      </c>
      <c r="G715" s="15"/>
      <c r="H715" s="16"/>
      <c r="I715" s="14"/>
    </row>
    <row r="716">
      <c r="A716" s="14">
        <v>661.0</v>
      </c>
      <c r="B716" s="14">
        <v>3438928.0</v>
      </c>
      <c r="C716" s="14">
        <v>9.5508009E7</v>
      </c>
      <c r="D716" s="2" t="s">
        <v>2161</v>
      </c>
      <c r="E716" s="1" t="s">
        <v>107</v>
      </c>
      <c r="F716" s="14">
        <v>0.8217</v>
      </c>
      <c r="G716" s="15"/>
      <c r="H716" s="16"/>
      <c r="I716" s="14"/>
    </row>
    <row r="717">
      <c r="A717" s="14">
        <v>609.0</v>
      </c>
      <c r="B717" s="14">
        <v>2.7696309E7</v>
      </c>
      <c r="C717" s="14">
        <v>1.13073302E8</v>
      </c>
      <c r="D717" s="2" t="s">
        <v>2163</v>
      </c>
      <c r="E717" s="1" t="s">
        <v>107</v>
      </c>
      <c r="F717" s="14">
        <v>0.8217</v>
      </c>
      <c r="G717" s="15"/>
      <c r="H717" s="16"/>
      <c r="I717" s="14"/>
    </row>
    <row r="718">
      <c r="A718" s="14">
        <v>244.0</v>
      </c>
      <c r="B718" s="14">
        <v>1.0579185E7</v>
      </c>
      <c r="C718" s="14">
        <v>4.4892947E7</v>
      </c>
      <c r="D718" s="2" t="s">
        <v>2166</v>
      </c>
      <c r="E718" s="1" t="s">
        <v>121</v>
      </c>
      <c r="F718" s="14">
        <v>0.8217</v>
      </c>
      <c r="G718" s="15"/>
      <c r="H718" s="16"/>
      <c r="I718" s="14"/>
    </row>
    <row r="719">
      <c r="A719" s="14">
        <v>665.0</v>
      </c>
      <c r="B719" s="14">
        <v>3.5759473E7</v>
      </c>
      <c r="C719" s="14">
        <v>1.42673213E8</v>
      </c>
      <c r="D719" s="2" t="s">
        <v>2169</v>
      </c>
      <c r="E719" s="1" t="s">
        <v>107</v>
      </c>
      <c r="F719" s="14">
        <v>0.8214</v>
      </c>
      <c r="G719" s="15"/>
      <c r="H719" s="16"/>
      <c r="I719" s="14"/>
    </row>
    <row r="720">
      <c r="A720" s="14">
        <v>392.0</v>
      </c>
      <c r="B720" s="14">
        <v>5.2892879E7</v>
      </c>
      <c r="C720" s="14">
        <v>2.09924182E8</v>
      </c>
      <c r="D720" s="2" t="s">
        <v>2172</v>
      </c>
      <c r="E720" s="1" t="s">
        <v>107</v>
      </c>
      <c r="F720" s="14">
        <v>0.821</v>
      </c>
      <c r="G720" s="15"/>
      <c r="H720" s="16"/>
      <c r="I720" s="14"/>
    </row>
    <row r="721">
      <c r="A721" s="14">
        <v>421.0</v>
      </c>
      <c r="B721" s="14">
        <v>1.0311797E8</v>
      </c>
      <c r="C721" s="14">
        <v>4.43759145E8</v>
      </c>
      <c r="D721" s="2" t="s">
        <v>413</v>
      </c>
      <c r="E721" s="1" t="s">
        <v>107</v>
      </c>
      <c r="F721" s="14">
        <v>0.8209</v>
      </c>
      <c r="G721" s="15"/>
      <c r="H721" s="16"/>
      <c r="I721" s="14"/>
    </row>
    <row r="722">
      <c r="A722" s="14">
        <v>225.0</v>
      </c>
      <c r="B722" s="14">
        <v>561982.0</v>
      </c>
      <c r="C722" s="14">
        <v>2709189.0</v>
      </c>
      <c r="D722" s="2" t="s">
        <v>2175</v>
      </c>
      <c r="E722" s="1" t="s">
        <v>107</v>
      </c>
      <c r="F722" s="14">
        <v>0.8206</v>
      </c>
      <c r="G722" s="15"/>
      <c r="H722" s="16"/>
      <c r="I722" s="14"/>
    </row>
    <row r="723">
      <c r="A723" s="14">
        <v>194.0</v>
      </c>
      <c r="B723" s="14">
        <v>1.07820709E8</v>
      </c>
      <c r="C723" s="14">
        <v>4.65469603E8</v>
      </c>
      <c r="D723" s="2" t="s">
        <v>218</v>
      </c>
      <c r="E723" s="1" t="s">
        <v>107</v>
      </c>
      <c r="F723" s="14">
        <v>0.8203</v>
      </c>
      <c r="G723" s="15"/>
      <c r="H723" s="16"/>
      <c r="I723" s="14"/>
    </row>
    <row r="724">
      <c r="A724" s="14">
        <v>380.0</v>
      </c>
      <c r="B724" s="14">
        <v>2779219.0</v>
      </c>
      <c r="C724" s="14">
        <v>1.172549E7</v>
      </c>
      <c r="D724" s="2" t="s">
        <v>2179</v>
      </c>
      <c r="E724" s="1" t="s">
        <v>121</v>
      </c>
      <c r="F724" s="14">
        <v>0.8201</v>
      </c>
      <c r="G724" s="15"/>
      <c r="H724" s="16"/>
      <c r="I724" s="14"/>
    </row>
    <row r="725">
      <c r="A725" s="14">
        <v>570.0</v>
      </c>
      <c r="B725" s="14">
        <v>4.9735596E7</v>
      </c>
      <c r="C725" s="14">
        <v>1.96721476E8</v>
      </c>
      <c r="D725" s="2" t="s">
        <v>2181</v>
      </c>
      <c r="E725" s="1" t="s">
        <v>107</v>
      </c>
      <c r="F725" s="14">
        <v>0.8196</v>
      </c>
      <c r="G725" s="15"/>
      <c r="H725" s="16"/>
      <c r="I725" s="14"/>
    </row>
    <row r="726">
      <c r="A726" s="14">
        <v>720.0</v>
      </c>
      <c r="B726" s="14">
        <v>1.1123947E7</v>
      </c>
      <c r="C726" s="14">
        <v>1.79370574E8</v>
      </c>
      <c r="D726" s="2" t="s">
        <v>2184</v>
      </c>
      <c r="E726" s="1" t="s">
        <v>107</v>
      </c>
      <c r="F726" s="14">
        <v>0.8189</v>
      </c>
      <c r="G726" s="15"/>
      <c r="H726" s="16"/>
      <c r="I726" s="14"/>
    </row>
    <row r="727">
      <c r="A727" s="14">
        <v>355.0</v>
      </c>
      <c r="B727" s="14">
        <v>4.5426345E7</v>
      </c>
      <c r="C727" s="14">
        <v>1.79360243E8</v>
      </c>
      <c r="D727" s="2" t="s">
        <v>2187</v>
      </c>
      <c r="E727" s="1" t="s">
        <v>107</v>
      </c>
      <c r="F727" s="14">
        <v>0.8184</v>
      </c>
      <c r="G727" s="15"/>
      <c r="H727" s="16"/>
      <c r="I727" s="14"/>
    </row>
    <row r="728">
      <c r="A728" s="14">
        <v>142.0</v>
      </c>
      <c r="B728" s="14">
        <v>1305348.0</v>
      </c>
      <c r="C728" s="14">
        <v>5877611.0</v>
      </c>
      <c r="D728" s="2" t="s">
        <v>2190</v>
      </c>
      <c r="E728" s="1" t="s">
        <v>107</v>
      </c>
      <c r="F728" s="14">
        <v>0.8176</v>
      </c>
      <c r="G728" s="15"/>
      <c r="H728" s="16"/>
      <c r="I728" s="14"/>
    </row>
    <row r="729">
      <c r="A729" s="14">
        <v>673.0</v>
      </c>
      <c r="B729" s="14">
        <v>4378880.0</v>
      </c>
      <c r="C729" s="14">
        <v>1.8560809E7</v>
      </c>
      <c r="D729" s="2" t="s">
        <v>2193</v>
      </c>
      <c r="E729" s="1" t="s">
        <v>107</v>
      </c>
      <c r="F729" s="14">
        <v>0.8176</v>
      </c>
      <c r="G729" s="15"/>
      <c r="H729" s="16"/>
      <c r="I729" s="14"/>
    </row>
    <row r="730">
      <c r="A730" s="14">
        <v>353.0</v>
      </c>
      <c r="B730" s="14">
        <v>1.0124512E7</v>
      </c>
      <c r="C730" s="14">
        <v>4.3023305E7</v>
      </c>
      <c r="D730" s="2" t="s">
        <v>2196</v>
      </c>
      <c r="E730" s="1" t="s">
        <v>107</v>
      </c>
      <c r="F730" s="14">
        <v>0.8176</v>
      </c>
      <c r="G730" s="15"/>
      <c r="H730" s="16"/>
      <c r="I730" s="14"/>
    </row>
    <row r="731">
      <c r="A731" s="14">
        <v>671.0</v>
      </c>
      <c r="B731" s="14">
        <v>8.509915E7</v>
      </c>
      <c r="C731" s="14">
        <v>3.58767515E8</v>
      </c>
      <c r="D731" s="2" t="s">
        <v>1424</v>
      </c>
      <c r="E731" s="1" t="s">
        <v>107</v>
      </c>
      <c r="F731" s="14">
        <v>0.8176</v>
      </c>
      <c r="G731" s="15"/>
      <c r="H731" s="16"/>
      <c r="I731" s="14"/>
    </row>
    <row r="732">
      <c r="A732" s="14">
        <v>353.0</v>
      </c>
      <c r="B732" s="14">
        <v>1.13221299E8</v>
      </c>
      <c r="C732" s="14">
        <v>4.92539199E8</v>
      </c>
      <c r="D732" s="2" t="s">
        <v>5</v>
      </c>
      <c r="E732" s="1" t="s">
        <v>107</v>
      </c>
      <c r="F732" s="14">
        <v>0.8176</v>
      </c>
      <c r="G732" s="15"/>
      <c r="H732" s="16"/>
      <c r="I732" s="14"/>
    </row>
    <row r="733">
      <c r="A733" s="14">
        <v>607.0</v>
      </c>
      <c r="B733" s="14">
        <v>3906701.0</v>
      </c>
      <c r="C733" s="14">
        <v>1.6549879E7</v>
      </c>
      <c r="D733" s="2" t="s">
        <v>2198</v>
      </c>
      <c r="E733" s="1" t="s">
        <v>121</v>
      </c>
      <c r="F733" s="14">
        <v>0.8176</v>
      </c>
      <c r="G733" s="15"/>
      <c r="H733" s="16"/>
      <c r="I733" s="14"/>
    </row>
    <row r="734">
      <c r="A734" s="14">
        <v>643.0</v>
      </c>
      <c r="B734" s="14">
        <v>7056726.0</v>
      </c>
      <c r="C734" s="14">
        <v>2.9991702E7</v>
      </c>
      <c r="D734" s="2" t="s">
        <v>2199</v>
      </c>
      <c r="E734" s="1" t="s">
        <v>121</v>
      </c>
      <c r="F734" s="14">
        <v>0.8176</v>
      </c>
      <c r="G734" s="15"/>
      <c r="H734" s="16"/>
      <c r="I734" s="14"/>
    </row>
    <row r="735">
      <c r="A735" s="14">
        <v>630.0</v>
      </c>
      <c r="B735" s="14">
        <v>1.0398938E7</v>
      </c>
      <c r="C735" s="14">
        <v>4.4209689E7</v>
      </c>
      <c r="D735" s="2" t="s">
        <v>2201</v>
      </c>
      <c r="E735" s="1" t="s">
        <v>121</v>
      </c>
      <c r="F735" s="14">
        <v>0.8176</v>
      </c>
      <c r="G735" s="15"/>
      <c r="H735" s="16"/>
      <c r="I735" s="14"/>
    </row>
    <row r="736">
      <c r="A736" s="14">
        <v>503.0</v>
      </c>
      <c r="B736" s="14">
        <v>2.6121206E7</v>
      </c>
      <c r="C736" s="14">
        <v>1.06234261E8</v>
      </c>
      <c r="D736" s="2" t="s">
        <v>2202</v>
      </c>
      <c r="E736" s="1" t="s">
        <v>121</v>
      </c>
      <c r="F736" s="14">
        <v>0.8176</v>
      </c>
      <c r="G736" s="15"/>
      <c r="H736" s="16"/>
      <c r="I736" s="14"/>
    </row>
    <row r="737">
      <c r="A737" s="14">
        <v>321.0</v>
      </c>
      <c r="B737" s="14">
        <v>1.2759889E7</v>
      </c>
      <c r="C737" s="14">
        <v>5.4129601E7</v>
      </c>
      <c r="D737" s="2" t="s">
        <v>2203</v>
      </c>
      <c r="E737" s="1" t="s">
        <v>107</v>
      </c>
      <c r="F737" s="14">
        <v>0.8173</v>
      </c>
      <c r="G737" s="15"/>
      <c r="H737" s="16"/>
      <c r="I737" s="14"/>
    </row>
    <row r="738">
      <c r="A738" s="14">
        <v>531.0</v>
      </c>
      <c r="B738" s="14">
        <v>6.5042819E7</v>
      </c>
      <c r="C738" s="14">
        <v>2.64703457E8</v>
      </c>
      <c r="D738" s="2" t="s">
        <v>2207</v>
      </c>
      <c r="E738" s="1" t="s">
        <v>107</v>
      </c>
      <c r="F738" s="14">
        <v>0.8172</v>
      </c>
      <c r="G738" s="15"/>
      <c r="H738" s="16"/>
      <c r="I738" s="14"/>
    </row>
    <row r="739">
      <c r="A739" s="14">
        <v>129.0</v>
      </c>
      <c r="B739" s="14">
        <v>2870701.0</v>
      </c>
      <c r="C739" s="14">
        <v>1.2149305E7</v>
      </c>
      <c r="D739" s="2" t="s">
        <v>2209</v>
      </c>
      <c r="E739" s="1" t="s">
        <v>121</v>
      </c>
      <c r="F739" s="14">
        <v>0.8172</v>
      </c>
      <c r="G739" s="15"/>
      <c r="H739" s="16"/>
      <c r="I739" s="14"/>
    </row>
    <row r="740">
      <c r="A740" s="14">
        <v>475.0</v>
      </c>
      <c r="B740" s="14">
        <v>9.83538E7</v>
      </c>
      <c r="C740" s="14">
        <v>4.2046169E8</v>
      </c>
      <c r="D740" s="2" t="s">
        <v>682</v>
      </c>
      <c r="E740" s="1" t="s">
        <v>699</v>
      </c>
      <c r="F740" s="14">
        <v>0.8168</v>
      </c>
      <c r="G740" s="15"/>
      <c r="H740" s="16"/>
      <c r="I740" s="14"/>
    </row>
    <row r="741">
      <c r="A741" s="14">
        <v>602.0</v>
      </c>
      <c r="B741" s="14">
        <v>6678241.0</v>
      </c>
      <c r="C741" s="14">
        <v>2.933086E7</v>
      </c>
      <c r="D741" s="2" t="s">
        <v>2214</v>
      </c>
      <c r="E741" s="1" t="s">
        <v>121</v>
      </c>
      <c r="F741" s="14">
        <v>0.8165</v>
      </c>
      <c r="G741" s="15"/>
      <c r="H741" s="16"/>
      <c r="I741" s="14"/>
    </row>
    <row r="742">
      <c r="A742" s="14">
        <v>671.0</v>
      </c>
      <c r="B742" s="14">
        <v>2.8338144E7</v>
      </c>
      <c r="C742" s="14">
        <v>1.14211159E8</v>
      </c>
      <c r="D742" s="2" t="s">
        <v>2217</v>
      </c>
      <c r="E742" s="1" t="s">
        <v>107</v>
      </c>
      <c r="F742" s="14">
        <v>0.8162</v>
      </c>
      <c r="G742" s="15"/>
      <c r="H742" s="16"/>
      <c r="I742" s="14"/>
    </row>
    <row r="743">
      <c r="A743" s="14">
        <v>353.0</v>
      </c>
      <c r="B743" s="14">
        <v>7465100.0</v>
      </c>
      <c r="C743" s="14">
        <v>3.1721038E7</v>
      </c>
      <c r="D743" s="2" t="s">
        <v>2220</v>
      </c>
      <c r="E743" s="1" t="s">
        <v>107</v>
      </c>
      <c r="F743" s="14">
        <v>0.8158</v>
      </c>
      <c r="G743" s="15"/>
      <c r="H743" s="16"/>
      <c r="I743" s="14"/>
    </row>
    <row r="744">
      <c r="A744" s="14">
        <v>630.0</v>
      </c>
      <c r="B744" s="14">
        <v>6.4876014E7</v>
      </c>
      <c r="C744" s="14">
        <v>4.18234726E8</v>
      </c>
      <c r="D744" s="2" t="s">
        <v>2222</v>
      </c>
      <c r="E744" s="1" t="s">
        <v>107</v>
      </c>
      <c r="F744" s="14">
        <v>0.8158</v>
      </c>
      <c r="G744" s="15"/>
      <c r="H744" s="16"/>
      <c r="I744" s="14"/>
    </row>
    <row r="745">
      <c r="A745" s="14">
        <v>380.0</v>
      </c>
      <c r="B745" s="14">
        <v>4.296745E7</v>
      </c>
      <c r="C745" s="14">
        <v>1.69975798E8</v>
      </c>
      <c r="D745" s="2" t="s">
        <v>2224</v>
      </c>
      <c r="E745" s="1" t="s">
        <v>107</v>
      </c>
      <c r="F745" s="14">
        <v>0.8156</v>
      </c>
      <c r="G745" s="15"/>
      <c r="H745" s="16"/>
      <c r="I745" s="14"/>
    </row>
    <row r="746">
      <c r="A746" s="14">
        <v>492.0</v>
      </c>
      <c r="B746" s="14">
        <v>6477141.0</v>
      </c>
      <c r="C746" s="14">
        <v>7.9461386E7</v>
      </c>
      <c r="D746" s="2" t="s">
        <v>2227</v>
      </c>
      <c r="E746" s="1" t="s">
        <v>107</v>
      </c>
      <c r="F746" s="14">
        <v>0.8147</v>
      </c>
      <c r="G746" s="15"/>
      <c r="H746" s="16"/>
      <c r="I746" s="14"/>
    </row>
    <row r="747">
      <c r="A747" s="14">
        <v>671.0</v>
      </c>
      <c r="B747" s="14">
        <v>6729840.0</v>
      </c>
      <c r="C747" s="14">
        <v>2.8613292E7</v>
      </c>
      <c r="D747" s="2" t="s">
        <v>2230</v>
      </c>
      <c r="E747" s="1" t="s">
        <v>121</v>
      </c>
      <c r="F747" s="14">
        <v>0.8147</v>
      </c>
      <c r="G747" s="15"/>
      <c r="H747" s="16"/>
      <c r="I747" s="14"/>
    </row>
    <row r="748">
      <c r="A748" s="14">
        <v>504.0</v>
      </c>
      <c r="B748" s="14">
        <v>5.9209519E7</v>
      </c>
      <c r="C748" s="14">
        <v>2.36850891E8</v>
      </c>
      <c r="D748" s="2" t="s">
        <v>2232</v>
      </c>
      <c r="E748" s="1" t="s">
        <v>699</v>
      </c>
      <c r="F748" s="14">
        <v>0.8143</v>
      </c>
      <c r="G748" s="15"/>
      <c r="H748" s="16"/>
      <c r="I748" s="14"/>
    </row>
    <row r="749">
      <c r="A749" s="14">
        <v>656.0</v>
      </c>
      <c r="B749" s="14">
        <v>4.6704297E7</v>
      </c>
      <c r="C749" s="14">
        <v>1.84564891E8</v>
      </c>
      <c r="D749" s="2" t="s">
        <v>2236</v>
      </c>
      <c r="E749" s="1" t="s">
        <v>121</v>
      </c>
      <c r="F749" s="14">
        <v>0.8135</v>
      </c>
      <c r="G749" s="15"/>
      <c r="H749" s="16"/>
      <c r="I749" s="14"/>
    </row>
    <row r="750">
      <c r="A750" s="14">
        <v>571.0</v>
      </c>
      <c r="B750" s="14">
        <v>2506480.0</v>
      </c>
      <c r="C750" s="14">
        <v>1.0642723E7</v>
      </c>
      <c r="D750" s="2" t="s">
        <v>2238</v>
      </c>
      <c r="E750" s="1" t="s">
        <v>121</v>
      </c>
      <c r="F750" s="14">
        <v>0.8129</v>
      </c>
      <c r="G750" s="15"/>
      <c r="H750" s="16"/>
      <c r="I750" s="14"/>
    </row>
    <row r="751">
      <c r="A751" s="14">
        <v>573.0</v>
      </c>
      <c r="B751" s="14">
        <v>1.7788459E7</v>
      </c>
      <c r="C751" s="14">
        <v>7.4939191E7</v>
      </c>
      <c r="D751" s="2" t="s">
        <v>2240</v>
      </c>
      <c r="E751" s="1" t="s">
        <v>107</v>
      </c>
      <c r="F751" s="14">
        <v>0.8126</v>
      </c>
      <c r="G751" s="15"/>
      <c r="H751" s="16"/>
      <c r="I751" s="14"/>
    </row>
    <row r="752">
      <c r="A752" s="14">
        <v>630.0</v>
      </c>
      <c r="B752" s="14">
        <v>3.2609344E7</v>
      </c>
      <c r="C752" s="14">
        <v>2.05948988E8</v>
      </c>
      <c r="D752" s="2" t="s">
        <v>2243</v>
      </c>
      <c r="E752" s="1" t="s">
        <v>107</v>
      </c>
      <c r="F752" s="14">
        <v>0.8126</v>
      </c>
      <c r="G752" s="15"/>
      <c r="H752" s="16"/>
      <c r="I752" s="14"/>
    </row>
    <row r="753">
      <c r="A753" s="14">
        <v>630.0</v>
      </c>
      <c r="B753" s="14">
        <v>8.9091313E7</v>
      </c>
      <c r="C753" s="14">
        <v>3.77387069E8</v>
      </c>
      <c r="D753" s="2" t="s">
        <v>1180</v>
      </c>
      <c r="E753" s="1" t="s">
        <v>107</v>
      </c>
      <c r="F753" s="14">
        <v>0.8126</v>
      </c>
      <c r="G753" s="15"/>
      <c r="H753" s="16"/>
      <c r="I753" s="14"/>
    </row>
    <row r="754">
      <c r="A754" s="14">
        <v>531.0</v>
      </c>
      <c r="B754" s="14">
        <v>1.01308555E8</v>
      </c>
      <c r="C754" s="14">
        <v>4.35137185E8</v>
      </c>
      <c r="D754" s="2" t="s">
        <v>513</v>
      </c>
      <c r="E754" s="1" t="s">
        <v>699</v>
      </c>
      <c r="F754" s="14">
        <v>0.8126</v>
      </c>
      <c r="G754" s="15"/>
      <c r="H754" s="16"/>
      <c r="I754" s="14"/>
    </row>
    <row r="755">
      <c r="A755" s="14">
        <v>671.0</v>
      </c>
      <c r="B755" s="14">
        <v>4232879.0</v>
      </c>
      <c r="C755" s="14">
        <v>1.7944743E7</v>
      </c>
      <c r="D755" s="2" t="s">
        <v>2253</v>
      </c>
      <c r="E755" s="1" t="s">
        <v>121</v>
      </c>
      <c r="F755" s="14">
        <v>0.8126</v>
      </c>
      <c r="G755" s="15"/>
      <c r="H755" s="16"/>
      <c r="I755" s="14"/>
    </row>
    <row r="756">
      <c r="A756" s="14">
        <v>380.0</v>
      </c>
      <c r="B756" s="14">
        <v>5471496.0</v>
      </c>
      <c r="C756" s="14">
        <v>2.3393742E7</v>
      </c>
      <c r="D756" s="2" t="s">
        <v>2255</v>
      </c>
      <c r="E756" s="1" t="s">
        <v>121</v>
      </c>
      <c r="F756" s="14">
        <v>0.8126</v>
      </c>
      <c r="G756" s="15"/>
      <c r="H756" s="16"/>
      <c r="I756" s="14"/>
    </row>
    <row r="757">
      <c r="A757" s="14">
        <v>578.0</v>
      </c>
      <c r="B757" s="14">
        <v>6.06078E7</v>
      </c>
      <c r="C757" s="14">
        <v>2.43513094E8</v>
      </c>
      <c r="D757" s="2" t="s">
        <v>2257</v>
      </c>
      <c r="E757" s="1" t="s">
        <v>107</v>
      </c>
      <c r="F757" s="14">
        <v>0.8122</v>
      </c>
      <c r="G757" s="15"/>
      <c r="H757" s="16"/>
      <c r="I757" s="14"/>
    </row>
    <row r="758">
      <c r="A758" s="14">
        <v>401.0</v>
      </c>
      <c r="B758" s="14">
        <v>1151763.0</v>
      </c>
      <c r="C758" s="14">
        <v>5184642.0</v>
      </c>
      <c r="D758" s="2" t="s">
        <v>2260</v>
      </c>
      <c r="E758" s="1" t="s">
        <v>121</v>
      </c>
      <c r="F758" s="14">
        <v>0.8122</v>
      </c>
      <c r="G758" s="15"/>
      <c r="H758" s="16"/>
      <c r="I758" s="14"/>
    </row>
    <row r="759">
      <c r="A759" s="14">
        <v>571.0</v>
      </c>
      <c r="B759" s="14">
        <v>1445207.0</v>
      </c>
      <c r="C759" s="14">
        <v>4.3640999E7</v>
      </c>
      <c r="D759" s="2" t="s">
        <v>2263</v>
      </c>
      <c r="E759" s="1" t="s">
        <v>121</v>
      </c>
      <c r="F759" s="14">
        <v>0.8122</v>
      </c>
      <c r="G759" s="15"/>
      <c r="H759" s="16"/>
      <c r="I759" s="14"/>
    </row>
    <row r="760">
      <c r="A760" s="14">
        <v>641.0</v>
      </c>
      <c r="B760" s="14">
        <v>4541206.0</v>
      </c>
      <c r="C760" s="14">
        <v>1.9288328E7</v>
      </c>
      <c r="D760" s="2" t="s">
        <v>2266</v>
      </c>
      <c r="E760" s="1" t="s">
        <v>107</v>
      </c>
      <c r="F760" s="14">
        <v>0.8121</v>
      </c>
      <c r="G760" s="15"/>
      <c r="H760" s="16"/>
      <c r="I760" s="14"/>
    </row>
    <row r="761">
      <c r="A761" s="14">
        <v>339.0</v>
      </c>
      <c r="B761" s="14">
        <v>2.437214E7</v>
      </c>
      <c r="C761" s="14">
        <v>9.9865092E7</v>
      </c>
      <c r="D761" s="2" t="s">
        <v>2269</v>
      </c>
      <c r="E761" s="1" t="s">
        <v>121</v>
      </c>
      <c r="F761" s="14">
        <v>0.8121</v>
      </c>
      <c r="G761" s="15"/>
      <c r="H761" s="16"/>
      <c r="I761" s="14"/>
    </row>
    <row r="762">
      <c r="A762" s="14">
        <v>602.0</v>
      </c>
      <c r="B762" s="14">
        <v>3.2022764E7</v>
      </c>
      <c r="C762" s="14">
        <v>3.73802855E8</v>
      </c>
      <c r="D762" s="2" t="s">
        <v>2273</v>
      </c>
      <c r="E762" s="1" t="s">
        <v>121</v>
      </c>
      <c r="F762" s="14">
        <v>0.8121</v>
      </c>
      <c r="G762" s="15"/>
      <c r="H762" s="16"/>
      <c r="I762" s="14"/>
    </row>
    <row r="763">
      <c r="A763" s="14">
        <v>215.0</v>
      </c>
      <c r="B763" s="14">
        <v>3072764.0</v>
      </c>
      <c r="C763" s="14">
        <v>1.311002E7</v>
      </c>
      <c r="D763" s="2" t="s">
        <v>2276</v>
      </c>
      <c r="E763" s="1" t="s">
        <v>107</v>
      </c>
      <c r="F763" s="14">
        <v>0.812</v>
      </c>
      <c r="G763" s="15"/>
      <c r="H763" s="16"/>
      <c r="I763" s="14"/>
    </row>
    <row r="764">
      <c r="A764" s="14">
        <v>410.0</v>
      </c>
      <c r="B764" s="14">
        <v>3.8129963E7</v>
      </c>
      <c r="C764" s="14">
        <v>1.51435539E8</v>
      </c>
      <c r="D764" s="2" t="s">
        <v>2278</v>
      </c>
      <c r="E764" s="1" t="s">
        <v>107</v>
      </c>
      <c r="F764" s="14">
        <v>0.8118</v>
      </c>
      <c r="G764" s="15"/>
      <c r="H764" s="16"/>
      <c r="I764" s="14"/>
    </row>
    <row r="765">
      <c r="A765" s="14">
        <v>716.0</v>
      </c>
      <c r="B765" s="14">
        <v>1.0297129E7</v>
      </c>
      <c r="C765" s="14">
        <v>4.3756325E7</v>
      </c>
      <c r="D765" s="2" t="s">
        <v>2282</v>
      </c>
      <c r="E765" s="1" t="s">
        <v>107</v>
      </c>
      <c r="F765" s="14">
        <v>0.8115</v>
      </c>
      <c r="G765" s="15"/>
      <c r="H765" s="16"/>
      <c r="I765" s="14"/>
    </row>
    <row r="766">
      <c r="A766" s="14">
        <v>173.0</v>
      </c>
      <c r="B766" s="14">
        <v>9.9927237E7</v>
      </c>
      <c r="C766" s="14">
        <v>4.27945488E8</v>
      </c>
      <c r="D766" s="2" t="s">
        <v>598</v>
      </c>
      <c r="E766" s="1" t="s">
        <v>121</v>
      </c>
      <c r="F766" s="14">
        <v>0.8115</v>
      </c>
      <c r="G766" s="15"/>
      <c r="H766" s="16"/>
      <c r="I766" s="14"/>
    </row>
    <row r="767">
      <c r="A767" s="14">
        <v>380.0</v>
      </c>
      <c r="B767" s="14">
        <v>1.1264547E7</v>
      </c>
      <c r="C767" s="14">
        <v>4.7873152E7</v>
      </c>
      <c r="D767" s="2" t="s">
        <v>2286</v>
      </c>
      <c r="E767" s="1" t="s">
        <v>121</v>
      </c>
      <c r="F767" s="14">
        <v>0.8114</v>
      </c>
      <c r="G767" s="15"/>
      <c r="H767" s="16"/>
      <c r="I767" s="14"/>
    </row>
    <row r="768">
      <c r="A768" s="14">
        <v>173.0</v>
      </c>
      <c r="B768" s="14">
        <v>7.6947974E7</v>
      </c>
      <c r="C768" s="14">
        <v>3.19841172E8</v>
      </c>
      <c r="D768" s="2" t="s">
        <v>1923</v>
      </c>
      <c r="E768" s="1" t="s">
        <v>107</v>
      </c>
      <c r="F768" s="14">
        <v>0.8111</v>
      </c>
      <c r="G768" s="15"/>
      <c r="H768" s="16"/>
      <c r="I768" s="14"/>
    </row>
    <row r="769">
      <c r="A769" s="14">
        <v>678.0</v>
      </c>
      <c r="B769" s="14">
        <v>3.3230324E7</v>
      </c>
      <c r="C769" s="14">
        <v>1.32884935E8</v>
      </c>
      <c r="D769" s="2" t="s">
        <v>2290</v>
      </c>
      <c r="E769" s="1" t="s">
        <v>107</v>
      </c>
      <c r="F769" s="14">
        <v>0.811</v>
      </c>
      <c r="G769" s="15"/>
      <c r="H769" s="16"/>
      <c r="I769" s="14"/>
    </row>
    <row r="770">
      <c r="A770" s="14">
        <v>610.0</v>
      </c>
      <c r="B770" s="14">
        <v>6.7132363E7</v>
      </c>
      <c r="C770" s="14">
        <v>2.75452139E8</v>
      </c>
      <c r="D770" s="2" t="s">
        <v>2293</v>
      </c>
      <c r="E770" s="1" t="s">
        <v>107</v>
      </c>
      <c r="F770" s="14">
        <v>0.8105</v>
      </c>
      <c r="G770" s="15"/>
      <c r="H770" s="16"/>
      <c r="I770" s="14"/>
    </row>
    <row r="771">
      <c r="A771" s="14">
        <v>672.0</v>
      </c>
      <c r="B771" s="14">
        <v>7118142.0</v>
      </c>
      <c r="C771" s="14">
        <v>3.0432333E7</v>
      </c>
      <c r="D771" s="2" t="s">
        <v>2296</v>
      </c>
      <c r="E771" s="1" t="s">
        <v>699</v>
      </c>
      <c r="F771" s="14">
        <v>0.8105</v>
      </c>
      <c r="G771" s="15"/>
      <c r="H771" s="16"/>
      <c r="I771" s="14"/>
    </row>
    <row r="772">
      <c r="A772" s="14">
        <v>484.0</v>
      </c>
      <c r="B772" s="14">
        <v>8.885545E7</v>
      </c>
      <c r="C772" s="14">
        <v>3.7655833E8</v>
      </c>
      <c r="D772" s="2" t="s">
        <v>1198</v>
      </c>
      <c r="E772" s="1" t="s">
        <v>107</v>
      </c>
      <c r="F772" s="14">
        <v>0.8104</v>
      </c>
      <c r="G772" s="15"/>
      <c r="H772" s="16"/>
      <c r="I772" s="14"/>
    </row>
    <row r="773">
      <c r="A773" s="14">
        <v>571.0</v>
      </c>
      <c r="B773" s="14">
        <v>2479265.0</v>
      </c>
      <c r="C773" s="14">
        <v>1.0515394E7</v>
      </c>
      <c r="D773" s="2" t="s">
        <v>2300</v>
      </c>
      <c r="E773" s="1" t="s">
        <v>121</v>
      </c>
      <c r="F773" s="14">
        <v>0.8104</v>
      </c>
      <c r="G773" s="15"/>
      <c r="H773" s="16"/>
      <c r="I773" s="14"/>
    </row>
    <row r="774">
      <c r="A774" s="14">
        <v>503.0</v>
      </c>
      <c r="B774" s="14">
        <v>4.0118863E7</v>
      </c>
      <c r="C774" s="14">
        <v>1.59612309E8</v>
      </c>
      <c r="D774" s="2" t="s">
        <v>2303</v>
      </c>
      <c r="E774" s="1" t="s">
        <v>121</v>
      </c>
      <c r="F774" s="14">
        <v>0.8103</v>
      </c>
      <c r="G774" s="15"/>
      <c r="H774" s="16"/>
      <c r="I774" s="14"/>
    </row>
    <row r="775">
      <c r="A775" s="14">
        <v>571.0</v>
      </c>
      <c r="B775" s="14">
        <v>1.0447901E7</v>
      </c>
      <c r="C775" s="14">
        <v>4.4602813E7</v>
      </c>
      <c r="D775" s="2" t="s">
        <v>2307</v>
      </c>
      <c r="E775" s="1" t="s">
        <v>107</v>
      </c>
      <c r="F775" s="14">
        <v>0.8089</v>
      </c>
      <c r="G775" s="15"/>
      <c r="H775" s="16"/>
      <c r="I775" s="14"/>
    </row>
    <row r="776">
      <c r="A776" s="14">
        <v>470.0</v>
      </c>
      <c r="B776" s="14">
        <v>1.958445E7</v>
      </c>
      <c r="C776" s="14">
        <v>8.1862804E7</v>
      </c>
      <c r="D776" s="2" t="s">
        <v>2310</v>
      </c>
      <c r="E776" s="1" t="s">
        <v>121</v>
      </c>
      <c r="F776" s="14">
        <v>0.8089</v>
      </c>
      <c r="G776" s="15"/>
      <c r="H776" s="16"/>
      <c r="I776" s="14"/>
    </row>
    <row r="777">
      <c r="A777" s="14">
        <v>671.0</v>
      </c>
      <c r="B777" s="14">
        <v>1.1976343E7</v>
      </c>
      <c r="C777" s="14">
        <v>5.0863069E7</v>
      </c>
      <c r="D777" s="2" t="s">
        <v>2313</v>
      </c>
      <c r="E777" s="1" t="s">
        <v>121</v>
      </c>
      <c r="F777" s="14">
        <v>0.8083</v>
      </c>
      <c r="G777" s="15"/>
      <c r="H777" s="16"/>
      <c r="I777" s="14"/>
    </row>
    <row r="778">
      <c r="A778" s="14">
        <v>571.0</v>
      </c>
      <c r="B778" s="14">
        <v>6522092.0</v>
      </c>
      <c r="C778" s="14">
        <v>2.7702488E7</v>
      </c>
      <c r="D778" s="2" t="s">
        <v>2316</v>
      </c>
      <c r="E778" s="1" t="s">
        <v>107</v>
      </c>
      <c r="F778" s="14">
        <v>0.8074</v>
      </c>
      <c r="G778" s="15"/>
      <c r="H778" s="16"/>
      <c r="I778" s="14"/>
    </row>
    <row r="779">
      <c r="A779" s="14">
        <v>578.0</v>
      </c>
      <c r="B779" s="14">
        <v>1.1962213E7</v>
      </c>
      <c r="C779" s="14">
        <v>5.0745897E7</v>
      </c>
      <c r="D779" s="2" t="s">
        <v>2318</v>
      </c>
      <c r="E779" s="1" t="s">
        <v>107</v>
      </c>
      <c r="F779" s="14">
        <v>0.8074</v>
      </c>
      <c r="G779" s="15"/>
      <c r="H779" s="16"/>
      <c r="I779" s="14"/>
    </row>
    <row r="780">
      <c r="A780" s="14">
        <v>157.0</v>
      </c>
      <c r="B780" s="14">
        <v>110486.0</v>
      </c>
      <c r="C780" s="14">
        <v>419955.0</v>
      </c>
      <c r="D780" s="2" t="s">
        <v>2320</v>
      </c>
      <c r="E780" s="1" t="s">
        <v>121</v>
      </c>
      <c r="F780" s="14">
        <v>0.8074</v>
      </c>
      <c r="G780" s="15"/>
      <c r="H780" s="16"/>
      <c r="I780" s="14"/>
    </row>
    <row r="781">
      <c r="A781" s="14">
        <v>504.0</v>
      </c>
      <c r="B781" s="14">
        <v>4741011.0</v>
      </c>
      <c r="C781" s="14">
        <v>2.0155795E7</v>
      </c>
      <c r="D781" s="2" t="s">
        <v>2323</v>
      </c>
      <c r="E781" s="1" t="s">
        <v>107</v>
      </c>
      <c r="F781" s="14">
        <v>0.807</v>
      </c>
      <c r="G781" s="15"/>
      <c r="H781" s="16"/>
      <c r="I781" s="14"/>
    </row>
    <row r="782">
      <c r="A782" s="14">
        <v>597.0</v>
      </c>
      <c r="B782" s="14">
        <v>8526181.0</v>
      </c>
      <c r="C782" s="14">
        <v>3.6124836E7</v>
      </c>
      <c r="D782" s="2" t="s">
        <v>2325</v>
      </c>
      <c r="E782" s="1" t="s">
        <v>107</v>
      </c>
      <c r="F782" s="14">
        <v>0.807</v>
      </c>
      <c r="G782" s="15"/>
      <c r="H782" s="16"/>
      <c r="I782" s="14"/>
    </row>
    <row r="783">
      <c r="A783" s="14">
        <v>204.0</v>
      </c>
      <c r="B783" s="14">
        <v>2.536532E7</v>
      </c>
      <c r="C783" s="14">
        <v>1.80950525E8</v>
      </c>
      <c r="D783" s="2" t="s">
        <v>2327</v>
      </c>
      <c r="E783" s="1" t="s">
        <v>107</v>
      </c>
      <c r="F783" s="14">
        <v>0.807</v>
      </c>
      <c r="G783" s="15"/>
      <c r="H783" s="16"/>
      <c r="I783" s="14"/>
    </row>
    <row r="784">
      <c r="A784" s="14">
        <v>179.0</v>
      </c>
      <c r="B784" s="14">
        <v>2.7498259E7</v>
      </c>
      <c r="C784" s="14">
        <v>1.11023327E8</v>
      </c>
      <c r="D784" s="2" t="s">
        <v>2330</v>
      </c>
      <c r="E784" s="1" t="s">
        <v>107</v>
      </c>
      <c r="F784" s="14">
        <v>0.807</v>
      </c>
      <c r="G784" s="15"/>
      <c r="H784" s="16"/>
      <c r="I784" s="14"/>
    </row>
    <row r="785">
      <c r="A785" s="14">
        <v>353.0</v>
      </c>
      <c r="B785" s="14">
        <v>2.9873244E7</v>
      </c>
      <c r="C785" s="14">
        <v>1.19966767E8</v>
      </c>
      <c r="D785" s="2" t="s">
        <v>2332</v>
      </c>
      <c r="E785" s="1" t="s">
        <v>107</v>
      </c>
      <c r="F785" s="14">
        <v>0.807</v>
      </c>
      <c r="G785" s="15"/>
      <c r="H785" s="16"/>
      <c r="I785" s="14"/>
    </row>
    <row r="786">
      <c r="A786" s="14">
        <v>719.0</v>
      </c>
      <c r="B786" s="14">
        <v>4.6979214E7</v>
      </c>
      <c r="C786" s="14">
        <v>1.86278187E8</v>
      </c>
      <c r="D786" s="2" t="s">
        <v>2334</v>
      </c>
      <c r="E786" s="1" t="s">
        <v>107</v>
      </c>
      <c r="F786" s="14">
        <v>0.807</v>
      </c>
      <c r="G786" s="15"/>
      <c r="H786" s="16"/>
      <c r="I786" s="14"/>
    </row>
    <row r="787">
      <c r="A787" s="14">
        <v>210.0</v>
      </c>
      <c r="B787" s="14">
        <v>6.8563018E7</v>
      </c>
      <c r="C787" s="14">
        <v>2.8188825E8</v>
      </c>
      <c r="D787" s="2" t="s">
        <v>2304</v>
      </c>
      <c r="E787" s="1" t="s">
        <v>107</v>
      </c>
      <c r="F787" s="14">
        <v>0.807</v>
      </c>
      <c r="G787" s="15"/>
      <c r="H787" s="16"/>
      <c r="I787" s="14"/>
    </row>
    <row r="788">
      <c r="A788" s="14">
        <v>455.0</v>
      </c>
      <c r="B788" s="14">
        <v>9.7997461E7</v>
      </c>
      <c r="C788" s="14">
        <v>4.18924557E8</v>
      </c>
      <c r="D788" s="2" t="s">
        <v>708</v>
      </c>
      <c r="E788" s="1" t="s">
        <v>107</v>
      </c>
      <c r="F788" s="14">
        <v>0.807</v>
      </c>
      <c r="G788" s="15"/>
      <c r="H788" s="16"/>
      <c r="I788" s="14"/>
    </row>
    <row r="789">
      <c r="A789" s="14">
        <v>492.0</v>
      </c>
      <c r="B789" s="14">
        <v>1.12949074E8</v>
      </c>
      <c r="C789" s="14">
        <v>4.90616212E8</v>
      </c>
      <c r="D789" s="2" t="s">
        <v>12</v>
      </c>
      <c r="E789" s="1" t="s">
        <v>107</v>
      </c>
      <c r="F789" s="14">
        <v>0.807</v>
      </c>
      <c r="G789" s="15"/>
      <c r="H789" s="16"/>
      <c r="I789" s="14"/>
    </row>
    <row r="790">
      <c r="A790" s="14">
        <v>712.0</v>
      </c>
      <c r="B790" s="14">
        <v>3.4190356E7</v>
      </c>
      <c r="C790" s="14">
        <v>1.36739268E8</v>
      </c>
      <c r="D790" s="2" t="s">
        <v>2341</v>
      </c>
      <c r="E790" s="1" t="s">
        <v>121</v>
      </c>
      <c r="F790" s="14">
        <v>0.807</v>
      </c>
      <c r="G790" s="15"/>
      <c r="H790" s="16"/>
      <c r="I790" s="14"/>
    </row>
    <row r="791">
      <c r="A791" s="14">
        <v>403.0</v>
      </c>
      <c r="B791" s="14">
        <v>1.190965E7</v>
      </c>
      <c r="C791" s="14">
        <v>4.58483974E8</v>
      </c>
      <c r="D791" s="2" t="s">
        <v>2344</v>
      </c>
      <c r="E791" s="1" t="s">
        <v>107</v>
      </c>
      <c r="F791" s="14">
        <v>0.8062</v>
      </c>
      <c r="G791" s="15"/>
      <c r="H791" s="16"/>
      <c r="I791" s="14"/>
    </row>
    <row r="792">
      <c r="A792" s="14">
        <v>407.0</v>
      </c>
      <c r="B792" s="14">
        <v>4.2464797E7</v>
      </c>
      <c r="C792" s="14">
        <v>1.68308705E8</v>
      </c>
      <c r="D792" s="2" t="s">
        <v>2347</v>
      </c>
      <c r="E792" s="1" t="s">
        <v>107</v>
      </c>
      <c r="F792" s="14">
        <v>0.8062</v>
      </c>
      <c r="G792" s="15"/>
      <c r="H792" s="16"/>
      <c r="I792" s="14"/>
    </row>
    <row r="793">
      <c r="A793" s="14">
        <v>671.0</v>
      </c>
      <c r="B793" s="14">
        <v>1.2921067E7</v>
      </c>
      <c r="C793" s="14">
        <v>5.5118814E7</v>
      </c>
      <c r="D793" s="2" t="s">
        <v>2349</v>
      </c>
      <c r="E793" s="1" t="s">
        <v>121</v>
      </c>
      <c r="F793" s="14">
        <v>0.8052</v>
      </c>
      <c r="G793" s="15"/>
      <c r="H793" s="16"/>
      <c r="I793" s="14"/>
    </row>
    <row r="794">
      <c r="A794" s="14">
        <v>401.0</v>
      </c>
      <c r="B794" s="14">
        <v>4339108.0</v>
      </c>
      <c r="C794" s="14">
        <v>1.8369485E7</v>
      </c>
      <c r="D794" s="2" t="s">
        <v>2351</v>
      </c>
      <c r="E794" s="1" t="s">
        <v>107</v>
      </c>
      <c r="F794" s="14">
        <v>0.8048</v>
      </c>
      <c r="G794" s="15"/>
      <c r="H794" s="16"/>
      <c r="I794" s="14"/>
    </row>
    <row r="795">
      <c r="A795" s="14">
        <v>157.0</v>
      </c>
      <c r="B795" s="14">
        <v>599098.0</v>
      </c>
      <c r="C795" s="14">
        <v>2902275.0</v>
      </c>
      <c r="D795" s="2" t="s">
        <v>2354</v>
      </c>
      <c r="E795" s="1" t="s">
        <v>107</v>
      </c>
      <c r="F795" s="14">
        <v>0.8047</v>
      </c>
      <c r="G795" s="15"/>
      <c r="H795" s="16"/>
      <c r="I795" s="14"/>
    </row>
    <row r="796">
      <c r="A796" s="14">
        <v>394.0</v>
      </c>
      <c r="B796" s="14">
        <v>9800256.0</v>
      </c>
      <c r="C796" s="14">
        <v>1.82859721E8</v>
      </c>
      <c r="D796" s="2" t="s">
        <v>2357</v>
      </c>
      <c r="E796" s="1" t="s">
        <v>107</v>
      </c>
      <c r="F796" s="14">
        <v>0.8047</v>
      </c>
      <c r="G796" s="15"/>
      <c r="H796" s="16"/>
      <c r="I796" s="14"/>
    </row>
    <row r="797">
      <c r="A797" s="14">
        <v>671.0</v>
      </c>
      <c r="B797" s="14">
        <v>4.8147838E7</v>
      </c>
      <c r="C797" s="14">
        <v>1.90283531E8</v>
      </c>
      <c r="D797" s="2" t="s">
        <v>2359</v>
      </c>
      <c r="E797" s="1" t="s">
        <v>107</v>
      </c>
      <c r="F797" s="14">
        <v>0.8047</v>
      </c>
      <c r="G797" s="15"/>
      <c r="H797" s="16"/>
      <c r="I797" s="14"/>
    </row>
    <row r="798">
      <c r="A798" s="14">
        <v>665.0</v>
      </c>
      <c r="B798" s="14">
        <v>9.5157119E7</v>
      </c>
      <c r="C798" s="14">
        <v>4.05045175E8</v>
      </c>
      <c r="D798" s="2" t="s">
        <v>872</v>
      </c>
      <c r="E798" s="1" t="s">
        <v>107</v>
      </c>
      <c r="F798" s="14">
        <v>0.8044</v>
      </c>
      <c r="G798" s="15"/>
      <c r="H798" s="16"/>
      <c r="I798" s="14"/>
    </row>
    <row r="799">
      <c r="A799" s="14">
        <v>484.0</v>
      </c>
      <c r="B799" s="14">
        <v>1194237.0</v>
      </c>
      <c r="C799" s="14">
        <v>2.3889621E7</v>
      </c>
      <c r="D799" s="2" t="s">
        <v>2363</v>
      </c>
      <c r="E799" s="1" t="s">
        <v>107</v>
      </c>
      <c r="F799" s="14">
        <v>0.8042</v>
      </c>
      <c r="G799" s="15"/>
      <c r="H799" s="16"/>
      <c r="I799" s="14"/>
    </row>
    <row r="800">
      <c r="A800" s="14">
        <v>602.0</v>
      </c>
      <c r="B800" s="14">
        <v>1.517724E7</v>
      </c>
      <c r="C800" s="14">
        <v>6.4635634E7</v>
      </c>
      <c r="D800" s="2" t="s">
        <v>2366</v>
      </c>
      <c r="E800" s="1" t="s">
        <v>121</v>
      </c>
      <c r="F800" s="14">
        <v>0.8042</v>
      </c>
      <c r="G800" s="15"/>
      <c r="H800" s="16"/>
      <c r="I800" s="14"/>
    </row>
    <row r="801">
      <c r="A801" s="14">
        <v>609.0</v>
      </c>
      <c r="B801" s="14">
        <v>5561646.0</v>
      </c>
      <c r="C801" s="14">
        <v>2.3821174E7</v>
      </c>
      <c r="D801" s="2" t="s">
        <v>2368</v>
      </c>
      <c r="E801" s="1" t="s">
        <v>107</v>
      </c>
      <c r="F801" s="14">
        <v>0.8041</v>
      </c>
      <c r="G801" s="15"/>
      <c r="H801" s="16"/>
      <c r="I801" s="14"/>
    </row>
    <row r="802">
      <c r="A802" s="14">
        <v>392.0</v>
      </c>
      <c r="B802" s="14">
        <v>1.4622498E7</v>
      </c>
      <c r="C802" s="14">
        <v>6.2177084E7</v>
      </c>
      <c r="D802" s="2" t="s">
        <v>2371</v>
      </c>
      <c r="E802" s="1" t="s">
        <v>107</v>
      </c>
      <c r="F802" s="14">
        <v>0.802</v>
      </c>
      <c r="G802" s="15"/>
      <c r="H802" s="16"/>
      <c r="I802" s="14"/>
    </row>
    <row r="803">
      <c r="A803" s="14">
        <v>380.0</v>
      </c>
      <c r="B803" s="14">
        <v>6.7340981E7</v>
      </c>
      <c r="C803" s="14">
        <v>2.7587597E8</v>
      </c>
      <c r="D803" s="2" t="s">
        <v>2364</v>
      </c>
      <c r="E803" s="1" t="s">
        <v>107</v>
      </c>
      <c r="F803" s="14">
        <v>0.802</v>
      </c>
      <c r="G803" s="15"/>
      <c r="H803" s="16"/>
      <c r="I803" s="14"/>
    </row>
    <row r="804">
      <c r="A804" s="14">
        <v>673.0</v>
      </c>
      <c r="B804" s="14">
        <v>4226327.0</v>
      </c>
      <c r="C804" s="14">
        <v>3.9741573E8</v>
      </c>
      <c r="D804" s="2" t="s">
        <v>2374</v>
      </c>
      <c r="E804" s="1" t="s">
        <v>699</v>
      </c>
      <c r="F804" s="14">
        <v>0.802</v>
      </c>
      <c r="G804" s="15"/>
      <c r="H804" s="16"/>
      <c r="I804" s="14"/>
    </row>
    <row r="805">
      <c r="A805" s="14">
        <v>571.0</v>
      </c>
      <c r="B805" s="14">
        <v>5485134.0</v>
      </c>
      <c r="C805" s="14">
        <v>3.12575947E8</v>
      </c>
      <c r="D805" s="2" t="s">
        <v>2376</v>
      </c>
      <c r="E805" s="1" t="s">
        <v>699</v>
      </c>
      <c r="F805" s="14">
        <v>0.802</v>
      </c>
      <c r="G805" s="15"/>
      <c r="H805" s="16"/>
      <c r="I805" s="14"/>
    </row>
    <row r="806">
      <c r="A806" s="14">
        <v>157.0</v>
      </c>
      <c r="B806" s="14">
        <v>669626.0</v>
      </c>
      <c r="C806" s="14">
        <v>3238765.0</v>
      </c>
      <c r="D806" s="2" t="s">
        <v>2378</v>
      </c>
      <c r="E806" s="1" t="s">
        <v>121</v>
      </c>
      <c r="F806" s="14">
        <v>0.802</v>
      </c>
      <c r="G806" s="15"/>
      <c r="H806" s="16"/>
      <c r="I806" s="14"/>
    </row>
    <row r="807">
      <c r="A807" s="14">
        <v>173.0</v>
      </c>
      <c r="B807" s="14">
        <v>2446526.0</v>
      </c>
      <c r="C807" s="14">
        <v>1.0363961E7</v>
      </c>
      <c r="D807" s="2" t="s">
        <v>2381</v>
      </c>
      <c r="E807" s="1" t="s">
        <v>121</v>
      </c>
      <c r="F807" s="14">
        <v>0.802</v>
      </c>
      <c r="G807" s="15"/>
      <c r="H807" s="16"/>
      <c r="I807" s="14"/>
    </row>
    <row r="808">
      <c r="A808" s="14">
        <v>414.0</v>
      </c>
      <c r="B808" s="14">
        <v>8936207.0</v>
      </c>
      <c r="C808" s="14">
        <v>3.7848706E7</v>
      </c>
      <c r="D808" s="2" t="s">
        <v>2384</v>
      </c>
      <c r="E808" s="1" t="s">
        <v>121</v>
      </c>
      <c r="F808" s="14">
        <v>0.802</v>
      </c>
      <c r="G808" s="15"/>
      <c r="H808" s="16"/>
      <c r="I808" s="14"/>
    </row>
    <row r="809">
      <c r="A809" s="14">
        <v>601.0</v>
      </c>
      <c r="B809" s="14">
        <v>2.1841185E7</v>
      </c>
      <c r="C809" s="14">
        <v>9.0556939E7</v>
      </c>
      <c r="D809" s="2" t="s">
        <v>2387</v>
      </c>
      <c r="E809" s="1" t="s">
        <v>121</v>
      </c>
      <c r="F809" s="14">
        <v>0.8017</v>
      </c>
      <c r="G809" s="15"/>
      <c r="H809" s="16"/>
      <c r="I809" s="14"/>
    </row>
    <row r="810">
      <c r="A810" s="14">
        <v>403.0</v>
      </c>
      <c r="B810" s="14">
        <v>4176833.0</v>
      </c>
      <c r="C810" s="14">
        <v>1.7707709E7</v>
      </c>
      <c r="D810" s="2" t="s">
        <v>2391</v>
      </c>
      <c r="E810" s="1" t="s">
        <v>107</v>
      </c>
      <c r="F810" s="14">
        <v>0.8016</v>
      </c>
      <c r="G810" s="15"/>
      <c r="H810" s="16"/>
      <c r="I810" s="14"/>
    </row>
    <row r="811">
      <c r="A811" s="14">
        <v>320.0</v>
      </c>
      <c r="B811" s="14">
        <v>9.2382898E7</v>
      </c>
      <c r="C811" s="14">
        <v>3.92227043E8</v>
      </c>
      <c r="D811" s="2" t="s">
        <v>1010</v>
      </c>
      <c r="E811" s="1" t="s">
        <v>107</v>
      </c>
      <c r="F811" s="14">
        <v>0.8016</v>
      </c>
      <c r="G811" s="15"/>
      <c r="H811" s="16"/>
      <c r="I811" s="14"/>
    </row>
    <row r="812">
      <c r="A812" s="14">
        <v>392.0</v>
      </c>
      <c r="B812" s="14">
        <v>9.916479E7</v>
      </c>
      <c r="C812" s="14">
        <v>4.24387886E8</v>
      </c>
      <c r="D812" s="2" t="s">
        <v>640</v>
      </c>
      <c r="E812" s="1" t="s">
        <v>107</v>
      </c>
      <c r="F812" s="14">
        <v>0.8016</v>
      </c>
      <c r="G812" s="15"/>
      <c r="H812" s="16"/>
      <c r="I812" s="14"/>
    </row>
    <row r="813">
      <c r="A813" s="14">
        <v>407.0</v>
      </c>
      <c r="B813" s="14">
        <v>1.3302791E7</v>
      </c>
      <c r="C813" s="14">
        <v>5.6460103E7</v>
      </c>
      <c r="D813" s="2" t="s">
        <v>2397</v>
      </c>
      <c r="E813" s="1" t="s">
        <v>121</v>
      </c>
      <c r="F813" s="14">
        <v>0.8016</v>
      </c>
      <c r="G813" s="15"/>
      <c r="H813" s="16"/>
      <c r="I813" s="14"/>
    </row>
    <row r="814">
      <c r="A814" s="14">
        <v>488.0</v>
      </c>
      <c r="B814" s="14">
        <v>4364698.0</v>
      </c>
      <c r="C814" s="14">
        <v>1.8506511E7</v>
      </c>
      <c r="D814" s="2" t="s">
        <v>2399</v>
      </c>
      <c r="E814" s="1" t="s">
        <v>107</v>
      </c>
      <c r="F814" s="14">
        <v>0.8011</v>
      </c>
      <c r="G814" s="15"/>
      <c r="H814" s="16"/>
      <c r="I814" s="14"/>
    </row>
    <row r="815">
      <c r="A815" s="14">
        <v>484.0</v>
      </c>
      <c r="B815" s="14">
        <v>2.191972E7</v>
      </c>
      <c r="C815" s="14">
        <v>9.0719919E7</v>
      </c>
      <c r="D815" s="2" t="s">
        <v>2401</v>
      </c>
      <c r="E815" s="1" t="s">
        <v>107</v>
      </c>
      <c r="F815" s="14">
        <v>0.8011</v>
      </c>
      <c r="G815" s="15"/>
      <c r="H815" s="16"/>
      <c r="I815" s="14"/>
    </row>
    <row r="816">
      <c r="A816" s="14">
        <v>715.0</v>
      </c>
      <c r="B816" s="14">
        <v>2.8869678E7</v>
      </c>
      <c r="C816" s="14">
        <v>1.16043754E8</v>
      </c>
      <c r="D816" s="2" t="s">
        <v>2402</v>
      </c>
      <c r="E816" s="1" t="s">
        <v>107</v>
      </c>
      <c r="F816" s="14">
        <v>0.8011</v>
      </c>
      <c r="G816" s="15"/>
      <c r="H816" s="16"/>
      <c r="I816" s="14"/>
    </row>
    <row r="817">
      <c r="A817" s="14">
        <v>392.0</v>
      </c>
      <c r="B817" s="14">
        <v>5.2324079E7</v>
      </c>
      <c r="C817" s="14">
        <v>2.07423145E8</v>
      </c>
      <c r="D817" s="2" t="s">
        <v>2405</v>
      </c>
      <c r="E817" s="1" t="s">
        <v>107</v>
      </c>
      <c r="F817" s="14">
        <v>0.8011</v>
      </c>
      <c r="G817" s="15"/>
      <c r="H817" s="16"/>
      <c r="I817" s="14"/>
    </row>
    <row r="818">
      <c r="A818" s="14">
        <v>654.0</v>
      </c>
      <c r="B818" s="14">
        <v>5.5766887E7</v>
      </c>
      <c r="C818" s="14">
        <v>2.21477697E8</v>
      </c>
      <c r="D818" s="2" t="s">
        <v>2408</v>
      </c>
      <c r="E818" s="1" t="s">
        <v>107</v>
      </c>
      <c r="F818" s="14">
        <v>0.8011</v>
      </c>
      <c r="G818" s="15"/>
      <c r="H818" s="16"/>
      <c r="I818" s="14"/>
    </row>
    <row r="819">
      <c r="A819" s="14">
        <v>671.0</v>
      </c>
      <c r="B819" s="14">
        <v>6.9280268E7</v>
      </c>
      <c r="C819" s="14">
        <v>2.85133621E8</v>
      </c>
      <c r="D819" s="2" t="s">
        <v>2271</v>
      </c>
      <c r="E819" s="1" t="s">
        <v>107</v>
      </c>
      <c r="F819" s="14">
        <v>0.8011</v>
      </c>
      <c r="G819" s="15"/>
      <c r="H819" s="16"/>
      <c r="I819" s="14"/>
    </row>
    <row r="820">
      <c r="A820" s="14">
        <v>215.0</v>
      </c>
      <c r="B820" s="14">
        <v>7.2753884E7</v>
      </c>
      <c r="C820" s="14">
        <v>3.00793684E8</v>
      </c>
      <c r="D820" s="2" t="s">
        <v>2092</v>
      </c>
      <c r="E820" s="1" t="s">
        <v>107</v>
      </c>
      <c r="F820" s="14">
        <v>0.8011</v>
      </c>
      <c r="G820" s="15"/>
      <c r="H820" s="16"/>
      <c r="I820" s="14"/>
    </row>
    <row r="821">
      <c r="A821" s="14">
        <v>671.0</v>
      </c>
      <c r="B821" s="14">
        <v>8.5654926E7</v>
      </c>
      <c r="C821" s="14">
        <v>3.61103116E8</v>
      </c>
      <c r="D821" s="2" t="s">
        <v>1385</v>
      </c>
      <c r="E821" s="1" t="s">
        <v>107</v>
      </c>
      <c r="F821" s="14">
        <v>0.8011</v>
      </c>
      <c r="G821" s="15"/>
      <c r="H821" s="16"/>
      <c r="I821" s="14"/>
    </row>
    <row r="822">
      <c r="A822" s="14">
        <v>407.0</v>
      </c>
      <c r="B822" s="14">
        <v>8.6646165E7</v>
      </c>
      <c r="C822" s="14">
        <v>3.65848991E8</v>
      </c>
      <c r="D822" s="2" t="s">
        <v>1311</v>
      </c>
      <c r="E822" s="1" t="s">
        <v>107</v>
      </c>
      <c r="F822" s="14">
        <v>0.8011</v>
      </c>
      <c r="G822" s="15"/>
      <c r="H822" s="16"/>
      <c r="I822" s="14"/>
    </row>
    <row r="823">
      <c r="A823" s="14">
        <v>504.0</v>
      </c>
      <c r="B823" s="14">
        <v>8.6754036E7</v>
      </c>
      <c r="C823" s="14">
        <v>3.66639852E8</v>
      </c>
      <c r="D823" s="2" t="s">
        <v>1306</v>
      </c>
      <c r="E823" s="1" t="s">
        <v>107</v>
      </c>
      <c r="F823" s="14">
        <v>0.8011</v>
      </c>
      <c r="G823" s="15"/>
      <c r="H823" s="16"/>
      <c r="I823" s="14"/>
    </row>
    <row r="824">
      <c r="A824" s="14">
        <v>343.0</v>
      </c>
      <c r="B824" s="14">
        <v>9.1058309E7</v>
      </c>
      <c r="C824" s="14">
        <v>3.86374307E8</v>
      </c>
      <c r="D824" s="2" t="s">
        <v>1080</v>
      </c>
      <c r="E824" s="1" t="s">
        <v>107</v>
      </c>
      <c r="F824" s="14">
        <v>0.8011</v>
      </c>
      <c r="G824" s="15"/>
      <c r="H824" s="16"/>
      <c r="I824" s="14"/>
    </row>
    <row r="825">
      <c r="A825" s="14">
        <v>669.0</v>
      </c>
      <c r="B825" s="14">
        <v>9.2388707E7</v>
      </c>
      <c r="C825" s="14">
        <v>3.9223752E8</v>
      </c>
      <c r="D825" s="2" t="s">
        <v>1008</v>
      </c>
      <c r="E825" s="1" t="s">
        <v>107</v>
      </c>
      <c r="F825" s="14">
        <v>0.8011</v>
      </c>
      <c r="G825" s="15"/>
      <c r="H825" s="16"/>
      <c r="I825" s="14"/>
    </row>
    <row r="826">
      <c r="A826" s="14">
        <v>673.0</v>
      </c>
      <c r="B826" s="14">
        <v>7.4864159E7</v>
      </c>
      <c r="C826" s="14">
        <v>3.10629044E8</v>
      </c>
      <c r="D826" s="2" t="s">
        <v>2037</v>
      </c>
      <c r="E826" s="1" t="s">
        <v>107</v>
      </c>
      <c r="F826" s="14">
        <v>0.8004</v>
      </c>
      <c r="G826" s="15"/>
      <c r="H826" s="16"/>
      <c r="I826" s="14"/>
    </row>
    <row r="827">
      <c r="A827" s="14">
        <v>392.0</v>
      </c>
      <c r="B827" s="14">
        <v>8.1431905E7</v>
      </c>
      <c r="C827" s="14">
        <v>3.40825768E8</v>
      </c>
      <c r="D827" s="2" t="s">
        <v>1674</v>
      </c>
      <c r="E827" s="1" t="s">
        <v>107</v>
      </c>
      <c r="F827" s="14">
        <v>0.8004</v>
      </c>
      <c r="G827" s="15"/>
      <c r="H827" s="16"/>
      <c r="I827" s="14"/>
    </row>
    <row r="828">
      <c r="A828" s="14">
        <v>353.0</v>
      </c>
      <c r="B828" s="14">
        <v>9.8499882E7</v>
      </c>
      <c r="C828" s="14">
        <v>4.21079527E8</v>
      </c>
      <c r="D828" s="2" t="s">
        <v>675</v>
      </c>
      <c r="E828" s="1" t="s">
        <v>107</v>
      </c>
      <c r="F828" s="14">
        <v>0.8004</v>
      </c>
      <c r="G828" s="15"/>
      <c r="H828" s="16"/>
      <c r="I828" s="14"/>
    </row>
    <row r="829">
      <c r="A829" s="14">
        <v>414.0</v>
      </c>
      <c r="B829" s="14">
        <v>3311378.0</v>
      </c>
      <c r="C829" s="14">
        <v>1.404606E7</v>
      </c>
      <c r="D829" s="2" t="s">
        <v>2429</v>
      </c>
      <c r="E829" s="1" t="s">
        <v>699</v>
      </c>
      <c r="F829" s="14">
        <v>0.7992</v>
      </c>
      <c r="G829" s="15"/>
      <c r="H829" s="16"/>
      <c r="I829" s="14"/>
    </row>
    <row r="830">
      <c r="A830" s="14">
        <v>578.0</v>
      </c>
      <c r="B830" s="14">
        <v>1.0499234E7</v>
      </c>
      <c r="C830" s="14">
        <v>4.4607387E7</v>
      </c>
      <c r="D830" s="2" t="s">
        <v>2431</v>
      </c>
      <c r="E830" s="1" t="s">
        <v>699</v>
      </c>
      <c r="F830" s="14">
        <v>0.7992</v>
      </c>
      <c r="G830" s="15"/>
      <c r="H830" s="16"/>
      <c r="I830" s="14"/>
    </row>
    <row r="831">
      <c r="A831" s="14">
        <v>179.0</v>
      </c>
      <c r="B831" s="14">
        <v>2.5507613E7</v>
      </c>
      <c r="C831" s="14">
        <v>1.03501338E8</v>
      </c>
      <c r="D831" s="2" t="s">
        <v>2434</v>
      </c>
      <c r="E831" s="1" t="s">
        <v>107</v>
      </c>
      <c r="F831" s="14">
        <v>0.799</v>
      </c>
      <c r="G831" s="15"/>
      <c r="H831" s="16"/>
      <c r="I831" s="14"/>
    </row>
    <row r="832">
      <c r="A832" s="14">
        <v>597.0</v>
      </c>
      <c r="B832" s="14">
        <v>1.9040832E7</v>
      </c>
      <c r="C832" s="14">
        <v>7.9759047E7</v>
      </c>
      <c r="D832" s="2" t="s">
        <v>2437</v>
      </c>
      <c r="E832" s="1" t="s">
        <v>699</v>
      </c>
      <c r="F832" s="14">
        <v>0.7987</v>
      </c>
      <c r="G832" s="15"/>
      <c r="H832" s="16"/>
      <c r="I832" s="14"/>
    </row>
    <row r="833">
      <c r="A833" s="14">
        <v>394.0</v>
      </c>
      <c r="B833" s="14">
        <v>8.8178976E7</v>
      </c>
      <c r="C833" s="14">
        <v>3.72992141E8</v>
      </c>
      <c r="D833" s="2" t="s">
        <v>1226</v>
      </c>
      <c r="E833" s="1" t="s">
        <v>107</v>
      </c>
      <c r="F833" s="14">
        <v>0.7986</v>
      </c>
      <c r="G833" s="15"/>
      <c r="H833" s="16"/>
      <c r="I833" s="14"/>
    </row>
    <row r="834">
      <c r="A834" s="14">
        <v>228.0</v>
      </c>
      <c r="B834" s="14">
        <v>615045.0</v>
      </c>
      <c r="C834" s="14">
        <v>3017702.0</v>
      </c>
      <c r="D834" s="2" t="s">
        <v>2442</v>
      </c>
      <c r="E834" s="1" t="s">
        <v>121</v>
      </c>
      <c r="F834" s="14">
        <v>0.7986</v>
      </c>
      <c r="G834" s="15"/>
      <c r="H834" s="16"/>
      <c r="I834" s="14"/>
    </row>
    <row r="835">
      <c r="A835" s="14">
        <v>573.0</v>
      </c>
      <c r="B835" s="14">
        <v>5190767.0</v>
      </c>
      <c r="C835" s="14">
        <v>2.2128877E7</v>
      </c>
      <c r="D835" s="2" t="s">
        <v>2443</v>
      </c>
      <c r="E835" s="1" t="s">
        <v>107</v>
      </c>
      <c r="F835" s="14">
        <v>0.7985</v>
      </c>
      <c r="G835" s="15"/>
      <c r="H835" s="16"/>
      <c r="I835" s="14"/>
    </row>
    <row r="836">
      <c r="A836" s="14">
        <v>663.0</v>
      </c>
      <c r="B836" s="14">
        <v>2.2228119E7</v>
      </c>
      <c r="C836" s="14">
        <v>9.1669538E7</v>
      </c>
      <c r="D836" s="2" t="s">
        <v>2444</v>
      </c>
      <c r="E836" s="1" t="s">
        <v>107</v>
      </c>
      <c r="F836" s="14">
        <v>0.7984</v>
      </c>
      <c r="G836" s="15"/>
      <c r="H836" s="16"/>
      <c r="I836" s="14"/>
    </row>
    <row r="837">
      <c r="A837" s="14">
        <v>641.0</v>
      </c>
      <c r="B837" s="14">
        <v>1.1442946E7</v>
      </c>
      <c r="C837" s="14">
        <v>4.8653494E7</v>
      </c>
      <c r="D837" s="2" t="s">
        <v>2447</v>
      </c>
      <c r="E837" s="1" t="s">
        <v>107</v>
      </c>
      <c r="F837" s="14">
        <v>0.7982</v>
      </c>
      <c r="G837" s="15"/>
      <c r="H837" s="16"/>
      <c r="I837" s="14"/>
    </row>
    <row r="838">
      <c r="A838" s="14">
        <v>571.0</v>
      </c>
      <c r="B838" s="14">
        <v>4066573.0</v>
      </c>
      <c r="C838" s="14">
        <v>1.7287836E7</v>
      </c>
      <c r="D838" s="2" t="s">
        <v>2451</v>
      </c>
      <c r="E838" s="1" t="s">
        <v>107</v>
      </c>
      <c r="F838" s="14">
        <v>0.7964</v>
      </c>
      <c r="G838" s="15"/>
      <c r="H838" s="16"/>
      <c r="I838" s="14"/>
    </row>
    <row r="839">
      <c r="A839" s="14">
        <v>671.0</v>
      </c>
      <c r="B839" s="14">
        <v>5196016.0</v>
      </c>
      <c r="C839" s="14">
        <v>2.214518E7</v>
      </c>
      <c r="D839" s="2" t="s">
        <v>2453</v>
      </c>
      <c r="E839" s="1" t="s">
        <v>107</v>
      </c>
      <c r="F839" s="14">
        <v>0.7964</v>
      </c>
      <c r="G839" s="15"/>
      <c r="H839" s="16"/>
      <c r="I839" s="14"/>
    </row>
    <row r="840">
      <c r="A840" s="14">
        <v>215.0</v>
      </c>
      <c r="B840" s="14">
        <v>9180969.0</v>
      </c>
      <c r="C840" s="14">
        <v>3.8966577E7</v>
      </c>
      <c r="D840" s="2" t="s">
        <v>2455</v>
      </c>
      <c r="E840" s="1" t="s">
        <v>107</v>
      </c>
      <c r="F840" s="14">
        <v>0.7964</v>
      </c>
      <c r="G840" s="15"/>
      <c r="H840" s="16"/>
      <c r="I840" s="14"/>
    </row>
    <row r="841">
      <c r="A841" s="14">
        <v>587.0</v>
      </c>
      <c r="B841" s="14">
        <v>4.1701283E7</v>
      </c>
      <c r="C841" s="14">
        <v>3.68750781E8</v>
      </c>
      <c r="D841" s="2" t="s">
        <v>2458</v>
      </c>
      <c r="E841" s="1" t="s">
        <v>107</v>
      </c>
      <c r="F841" s="14">
        <v>0.7964</v>
      </c>
      <c r="G841" s="15"/>
      <c r="H841" s="16"/>
      <c r="I841" s="14"/>
    </row>
    <row r="842">
      <c r="A842" s="14">
        <v>587.0</v>
      </c>
      <c r="B842" s="14">
        <v>5.3016006E7</v>
      </c>
      <c r="C842" s="14">
        <v>2.1016996E8</v>
      </c>
      <c r="D842" s="2" t="s">
        <v>2460</v>
      </c>
      <c r="E842" s="1" t="s">
        <v>107</v>
      </c>
      <c r="F842" s="14">
        <v>0.7964</v>
      </c>
      <c r="G842" s="15"/>
      <c r="H842" s="16"/>
      <c r="I842" s="14"/>
    </row>
    <row r="843">
      <c r="A843" s="14">
        <v>320.0</v>
      </c>
      <c r="B843" s="14">
        <v>5.4866362E7</v>
      </c>
      <c r="C843" s="14">
        <v>2.17678102E8</v>
      </c>
      <c r="D843" s="2" t="s">
        <v>2463</v>
      </c>
      <c r="E843" s="1" t="s">
        <v>107</v>
      </c>
      <c r="F843" s="14">
        <v>0.7964</v>
      </c>
      <c r="G843" s="15"/>
      <c r="H843" s="16"/>
      <c r="I843" s="14"/>
    </row>
    <row r="844">
      <c r="A844" s="14">
        <v>403.0</v>
      </c>
      <c r="B844" s="14">
        <v>7.4097923E7</v>
      </c>
      <c r="C844" s="14">
        <v>3.06579567E8</v>
      </c>
      <c r="D844" s="2" t="s">
        <v>2060</v>
      </c>
      <c r="E844" s="1" t="s">
        <v>107</v>
      </c>
      <c r="F844" s="14">
        <v>0.7964</v>
      </c>
      <c r="G844" s="15"/>
      <c r="H844" s="16"/>
      <c r="I844" s="14"/>
    </row>
    <row r="845">
      <c r="A845" s="14">
        <v>671.0</v>
      </c>
      <c r="B845" s="14">
        <v>7.8213062E7</v>
      </c>
      <c r="C845" s="14">
        <v>3.2574948E8</v>
      </c>
      <c r="D845" s="2" t="s">
        <v>1841</v>
      </c>
      <c r="E845" s="1" t="s">
        <v>121</v>
      </c>
      <c r="F845" s="14">
        <v>0.7964</v>
      </c>
      <c r="G845" s="15"/>
      <c r="H845" s="16"/>
      <c r="I845" s="14"/>
    </row>
    <row r="846">
      <c r="A846" s="14">
        <v>526.0</v>
      </c>
      <c r="B846" s="14">
        <v>8.78642E7</v>
      </c>
      <c r="C846" s="14">
        <v>3.7159066E8</v>
      </c>
      <c r="D846" s="2" t="s">
        <v>1248</v>
      </c>
      <c r="E846" s="1" t="s">
        <v>121</v>
      </c>
      <c r="F846" s="14">
        <v>0.7964</v>
      </c>
      <c r="G846" s="15"/>
      <c r="H846" s="16"/>
      <c r="I846" s="14"/>
    </row>
    <row r="847">
      <c r="A847" s="14">
        <v>715.0</v>
      </c>
      <c r="B847" s="14">
        <v>1.2731193E7</v>
      </c>
      <c r="C847" s="14">
        <v>5.3971877E7</v>
      </c>
      <c r="D847" s="2" t="s">
        <v>2469</v>
      </c>
      <c r="E847" s="1" t="s">
        <v>121</v>
      </c>
      <c r="F847" s="14">
        <v>0.796</v>
      </c>
      <c r="G847" s="15"/>
      <c r="H847" s="16"/>
      <c r="I847" s="14"/>
    </row>
    <row r="848">
      <c r="A848" s="14">
        <v>609.0</v>
      </c>
      <c r="B848" s="14">
        <v>7553182.0</v>
      </c>
      <c r="C848" s="14">
        <v>3.2087357E7</v>
      </c>
      <c r="D848" s="2" t="s">
        <v>2471</v>
      </c>
      <c r="E848" s="1" t="s">
        <v>107</v>
      </c>
      <c r="F848" s="14">
        <v>0.7959</v>
      </c>
      <c r="G848" s="15"/>
      <c r="H848" s="16"/>
      <c r="I848" s="14"/>
    </row>
    <row r="849">
      <c r="A849" s="14">
        <v>569.0</v>
      </c>
      <c r="B849" s="14">
        <v>1.00563402E8</v>
      </c>
      <c r="C849" s="14">
        <v>4.3094416E8</v>
      </c>
      <c r="D849" s="2" t="s">
        <v>556</v>
      </c>
      <c r="E849" s="1" t="s">
        <v>107</v>
      </c>
      <c r="F849" s="14">
        <v>0.7959</v>
      </c>
      <c r="G849" s="15"/>
      <c r="H849" s="16"/>
      <c r="I849" s="14"/>
    </row>
    <row r="850">
      <c r="A850" s="14">
        <v>319.0</v>
      </c>
      <c r="B850" s="14">
        <v>8.3524868E7</v>
      </c>
      <c r="C850" s="14">
        <v>3.5096807E8</v>
      </c>
      <c r="D850" s="2" t="s">
        <v>1549</v>
      </c>
      <c r="E850" s="1" t="s">
        <v>107</v>
      </c>
      <c r="F850" s="14">
        <v>0.7956</v>
      </c>
      <c r="G850" s="15"/>
      <c r="H850" s="16"/>
      <c r="I850" s="14"/>
    </row>
    <row r="851">
      <c r="A851" s="14">
        <v>696.0</v>
      </c>
      <c r="B851" s="14">
        <v>4746948.0</v>
      </c>
      <c r="C851" s="14">
        <v>2.0157587E7</v>
      </c>
      <c r="D851" s="2" t="s">
        <v>2478</v>
      </c>
      <c r="E851" s="1" t="s">
        <v>121</v>
      </c>
      <c r="F851" s="14">
        <v>0.7956</v>
      </c>
      <c r="G851" s="15"/>
      <c r="H851" s="16"/>
      <c r="I851" s="14"/>
    </row>
    <row r="852">
      <c r="A852" s="14">
        <v>570.0</v>
      </c>
      <c r="B852" s="14">
        <v>2.9140762E7</v>
      </c>
      <c r="C852" s="14">
        <v>1.17200961E8</v>
      </c>
      <c r="D852" s="2" t="s">
        <v>2481</v>
      </c>
      <c r="E852" s="1" t="s">
        <v>121</v>
      </c>
      <c r="F852" s="14">
        <v>0.7952</v>
      </c>
      <c r="G852" s="15"/>
      <c r="H852" s="16"/>
      <c r="I852" s="14"/>
    </row>
    <row r="853">
      <c r="A853" s="14">
        <v>180.0</v>
      </c>
      <c r="B853" s="14">
        <v>8.793769E7</v>
      </c>
      <c r="C853" s="14">
        <v>3.71888955E8</v>
      </c>
      <c r="D853" s="2" t="s">
        <v>1245</v>
      </c>
      <c r="E853" s="1" t="s">
        <v>107</v>
      </c>
      <c r="F853" s="14">
        <v>0.7951</v>
      </c>
      <c r="G853" s="15"/>
      <c r="H853" s="16"/>
      <c r="I853" s="14"/>
    </row>
    <row r="854">
      <c r="A854" s="14">
        <v>120.0</v>
      </c>
      <c r="B854" s="14">
        <v>567664.0</v>
      </c>
      <c r="C854" s="14">
        <v>2741458.0</v>
      </c>
      <c r="D854" s="2" t="s">
        <v>2486</v>
      </c>
      <c r="E854" s="1" t="s">
        <v>121</v>
      </c>
      <c r="F854" s="14">
        <v>0.7947</v>
      </c>
      <c r="G854" s="15"/>
      <c r="H854" s="16"/>
      <c r="I854" s="14"/>
    </row>
    <row r="855">
      <c r="A855" s="14">
        <v>667.0</v>
      </c>
      <c r="B855" s="14">
        <v>1.2965822E7</v>
      </c>
      <c r="C855" s="14">
        <v>5.510076E7</v>
      </c>
      <c r="D855" s="2" t="s">
        <v>2487</v>
      </c>
      <c r="E855" s="1" t="s">
        <v>121</v>
      </c>
      <c r="F855" s="14">
        <v>0.7946</v>
      </c>
      <c r="G855" s="15"/>
      <c r="H855" s="16"/>
      <c r="I855" s="14"/>
    </row>
    <row r="856">
      <c r="A856" s="14">
        <v>604.0</v>
      </c>
      <c r="B856" s="14">
        <v>8.4812973E7</v>
      </c>
      <c r="C856" s="14">
        <v>3.57625228E8</v>
      </c>
      <c r="D856" s="2" t="s">
        <v>1438</v>
      </c>
      <c r="E856" s="1" t="s">
        <v>107</v>
      </c>
      <c r="F856" s="14">
        <v>0.7943</v>
      </c>
      <c r="G856" s="15"/>
      <c r="H856" s="16"/>
      <c r="I856" s="14"/>
    </row>
    <row r="857">
      <c r="A857" s="14">
        <v>408.0</v>
      </c>
      <c r="B857" s="14">
        <v>5.3191125E7</v>
      </c>
      <c r="C857" s="14">
        <v>2.10913118E8</v>
      </c>
      <c r="D857" s="2" t="s">
        <v>2490</v>
      </c>
      <c r="E857" s="1" t="s">
        <v>121</v>
      </c>
      <c r="F857" s="14">
        <v>0.7937</v>
      </c>
      <c r="G857" s="15"/>
      <c r="H857" s="16"/>
      <c r="I857" s="14"/>
    </row>
    <row r="858">
      <c r="A858" s="14">
        <v>414.0</v>
      </c>
      <c r="B858" s="14">
        <v>3.9927625E7</v>
      </c>
      <c r="C858" s="14">
        <v>1.58792967E8</v>
      </c>
      <c r="D858" s="2" t="s">
        <v>2492</v>
      </c>
      <c r="E858" s="1" t="s">
        <v>121</v>
      </c>
      <c r="F858" s="14">
        <v>0.7923</v>
      </c>
      <c r="G858" s="15"/>
      <c r="H858" s="16"/>
      <c r="I858" s="14"/>
    </row>
    <row r="859">
      <c r="A859" s="14">
        <v>564.0</v>
      </c>
      <c r="B859" s="14">
        <v>3693757.0</v>
      </c>
      <c r="C859" s="14">
        <v>1.5659355E7</v>
      </c>
      <c r="D859" s="2" t="s">
        <v>2495</v>
      </c>
      <c r="E859" s="1" t="s">
        <v>121</v>
      </c>
      <c r="F859" s="14">
        <v>0.792</v>
      </c>
      <c r="G859" s="15"/>
      <c r="H859" s="16"/>
      <c r="I859" s="14"/>
    </row>
    <row r="860">
      <c r="A860" s="14">
        <v>571.0</v>
      </c>
      <c r="B860" s="14">
        <v>4.9622888E7</v>
      </c>
      <c r="C860" s="14">
        <v>1.96393365E8</v>
      </c>
      <c r="D860" s="2" t="s">
        <v>2497</v>
      </c>
      <c r="E860" s="1" t="s">
        <v>121</v>
      </c>
      <c r="F860" s="14">
        <v>0.7916</v>
      </c>
      <c r="G860" s="15"/>
      <c r="H860" s="16"/>
      <c r="I860" s="14"/>
    </row>
    <row r="861">
      <c r="A861" s="14">
        <v>215.0</v>
      </c>
      <c r="B861" s="14">
        <v>2200333.0</v>
      </c>
      <c r="C861" s="14">
        <v>1.8573659E7</v>
      </c>
      <c r="D861" s="2" t="s">
        <v>2500</v>
      </c>
      <c r="E861" s="1" t="s">
        <v>107</v>
      </c>
      <c r="F861" s="14">
        <v>0.7906</v>
      </c>
      <c r="G861" s="15"/>
      <c r="H861" s="16"/>
      <c r="I861" s="14"/>
    </row>
    <row r="862">
      <c r="A862" s="14">
        <v>671.0</v>
      </c>
      <c r="B862" s="14">
        <v>3851796.0</v>
      </c>
      <c r="C862" s="14">
        <v>1.6329362E7</v>
      </c>
      <c r="D862" s="2" t="s">
        <v>2501</v>
      </c>
      <c r="E862" s="1" t="s">
        <v>107</v>
      </c>
      <c r="F862" s="14">
        <v>0.7906</v>
      </c>
      <c r="G862" s="15"/>
      <c r="H862" s="16"/>
      <c r="I862" s="14"/>
    </row>
    <row r="863">
      <c r="A863" s="14">
        <v>610.0</v>
      </c>
      <c r="B863" s="14">
        <v>5995903.0</v>
      </c>
      <c r="C863" s="14">
        <v>2.5547274E7</v>
      </c>
      <c r="D863" s="2" t="s">
        <v>2503</v>
      </c>
      <c r="E863" s="1" t="s">
        <v>107</v>
      </c>
      <c r="F863" s="14">
        <v>0.7906</v>
      </c>
      <c r="G863" s="15"/>
      <c r="H863" s="16"/>
      <c r="I863" s="14"/>
    </row>
    <row r="864">
      <c r="A864" s="14">
        <v>610.0</v>
      </c>
      <c r="B864" s="14">
        <v>7405978.0</v>
      </c>
      <c r="C864" s="14">
        <v>2.59114824E8</v>
      </c>
      <c r="D864" s="2" t="s">
        <v>2504</v>
      </c>
      <c r="E864" s="1" t="s">
        <v>107</v>
      </c>
      <c r="F864" s="14">
        <v>0.7906</v>
      </c>
      <c r="G864" s="15"/>
      <c r="H864" s="16"/>
      <c r="I864" s="14"/>
    </row>
    <row r="865">
      <c r="A865" s="14">
        <v>337.0</v>
      </c>
      <c r="B865" s="14">
        <v>8197438.0</v>
      </c>
      <c r="C865" s="14">
        <v>3.4791058E7</v>
      </c>
      <c r="D865" s="2" t="s">
        <v>2505</v>
      </c>
      <c r="E865" s="1" t="s">
        <v>107</v>
      </c>
      <c r="F865" s="14">
        <v>0.7906</v>
      </c>
      <c r="G865" s="15"/>
      <c r="H865" s="16"/>
      <c r="I865" s="14"/>
    </row>
    <row r="866">
      <c r="A866" s="14">
        <v>173.0</v>
      </c>
      <c r="B866" s="14">
        <v>8805194.0</v>
      </c>
      <c r="C866" s="14">
        <v>3.731252E7</v>
      </c>
      <c r="D866" s="2" t="s">
        <v>2506</v>
      </c>
      <c r="E866" s="1" t="s">
        <v>107</v>
      </c>
      <c r="F866" s="14">
        <v>0.7906</v>
      </c>
      <c r="G866" s="15"/>
      <c r="H866" s="16"/>
      <c r="I866" s="14"/>
    </row>
    <row r="867">
      <c r="A867" s="14">
        <v>203.0</v>
      </c>
      <c r="B867" s="14">
        <v>1.3598437E7</v>
      </c>
      <c r="C867" s="14">
        <v>5.7731565E7</v>
      </c>
      <c r="D867" s="2" t="s">
        <v>2508</v>
      </c>
      <c r="E867" s="1" t="s">
        <v>107</v>
      </c>
      <c r="F867" s="14">
        <v>0.7906</v>
      </c>
      <c r="G867" s="15"/>
      <c r="H867" s="16"/>
      <c r="I867" s="14"/>
    </row>
    <row r="868">
      <c r="A868" s="14">
        <v>671.0</v>
      </c>
      <c r="B868" s="14">
        <v>1.5584144E7</v>
      </c>
      <c r="C868" s="14">
        <v>6.6312151E7</v>
      </c>
      <c r="D868" s="2" t="s">
        <v>2510</v>
      </c>
      <c r="E868" s="1" t="s">
        <v>107</v>
      </c>
      <c r="F868" s="14">
        <v>0.7906</v>
      </c>
      <c r="G868" s="15"/>
      <c r="H868" s="16"/>
      <c r="I868" s="14"/>
    </row>
    <row r="869">
      <c r="A869" s="14">
        <v>378.0</v>
      </c>
      <c r="B869" s="14">
        <v>1.8397185E7</v>
      </c>
      <c r="C869" s="14">
        <v>7.731657E7</v>
      </c>
      <c r="D869" s="2" t="s">
        <v>2512</v>
      </c>
      <c r="E869" s="1" t="s">
        <v>107</v>
      </c>
      <c r="F869" s="14">
        <v>0.7906</v>
      </c>
      <c r="G869" s="15"/>
      <c r="H869" s="16"/>
      <c r="I869" s="14"/>
    </row>
    <row r="870">
      <c r="A870" s="14">
        <v>586.0</v>
      </c>
      <c r="B870" s="14">
        <v>3.0689998E7</v>
      </c>
      <c r="C870" s="14">
        <v>3.22591417E8</v>
      </c>
      <c r="D870" s="2" t="s">
        <v>2515</v>
      </c>
      <c r="E870" s="1" t="s">
        <v>107</v>
      </c>
      <c r="F870" s="14">
        <v>0.7906</v>
      </c>
      <c r="G870" s="15"/>
      <c r="H870" s="16"/>
      <c r="I870" s="14"/>
    </row>
    <row r="871">
      <c r="A871" s="14">
        <v>395.0</v>
      </c>
      <c r="B871" s="14">
        <v>5.2349151E7</v>
      </c>
      <c r="C871" s="14">
        <v>2.07633523E8</v>
      </c>
      <c r="D871" s="2" t="s">
        <v>2517</v>
      </c>
      <c r="E871" s="1" t="s">
        <v>107</v>
      </c>
      <c r="F871" s="14">
        <v>0.7906</v>
      </c>
      <c r="G871" s="15"/>
      <c r="H871" s="16"/>
      <c r="I871" s="14"/>
    </row>
    <row r="872">
      <c r="A872" s="14">
        <v>419.0</v>
      </c>
      <c r="B872" s="14">
        <v>6.1056764E7</v>
      </c>
      <c r="C872" s="14">
        <v>2.56276649E8</v>
      </c>
      <c r="D872" s="2" t="s">
        <v>2520</v>
      </c>
      <c r="E872" s="1" t="s">
        <v>107</v>
      </c>
      <c r="F872" s="14">
        <v>0.7906</v>
      </c>
      <c r="G872" s="15"/>
      <c r="H872" s="16"/>
      <c r="I872" s="14"/>
    </row>
    <row r="873">
      <c r="A873" s="14">
        <v>320.0</v>
      </c>
      <c r="B873" s="14">
        <v>6.4776281E7</v>
      </c>
      <c r="C873" s="14">
        <v>2.63589877E8</v>
      </c>
      <c r="D873" s="2" t="s">
        <v>2496</v>
      </c>
      <c r="E873" s="1" t="s">
        <v>107</v>
      </c>
      <c r="F873" s="14">
        <v>0.7906</v>
      </c>
      <c r="G873" s="15"/>
      <c r="H873" s="16"/>
      <c r="I873" s="14"/>
    </row>
    <row r="874">
      <c r="A874" s="14">
        <v>715.0</v>
      </c>
      <c r="B874" s="14">
        <v>7.0990573E7</v>
      </c>
      <c r="C874" s="14">
        <v>2.92734049E8</v>
      </c>
      <c r="D874" s="2" t="s">
        <v>2171</v>
      </c>
      <c r="E874" s="1" t="s">
        <v>107</v>
      </c>
      <c r="F874" s="14">
        <v>0.7906</v>
      </c>
      <c r="G874" s="15"/>
      <c r="H874" s="16"/>
      <c r="I874" s="14"/>
    </row>
    <row r="875">
      <c r="A875" s="14">
        <v>173.0</v>
      </c>
      <c r="B875" s="14">
        <v>7.1600823E7</v>
      </c>
      <c r="C875" s="14">
        <v>2.95638324E8</v>
      </c>
      <c r="D875" s="2" t="s">
        <v>2150</v>
      </c>
      <c r="E875" s="1" t="s">
        <v>107</v>
      </c>
      <c r="F875" s="14">
        <v>0.7906</v>
      </c>
      <c r="G875" s="15"/>
      <c r="H875" s="16"/>
      <c r="I875" s="14"/>
    </row>
    <row r="876">
      <c r="A876" s="14">
        <v>719.0</v>
      </c>
      <c r="B876" s="14">
        <v>7.1643713E7</v>
      </c>
      <c r="C876" s="14">
        <v>2.96015228E8</v>
      </c>
      <c r="D876" s="2" t="s">
        <v>2146</v>
      </c>
      <c r="E876" s="1" t="s">
        <v>107</v>
      </c>
      <c r="F876" s="14">
        <v>0.7906</v>
      </c>
      <c r="G876" s="15"/>
      <c r="H876" s="16"/>
      <c r="I876" s="14"/>
    </row>
    <row r="877">
      <c r="A877" s="14">
        <v>504.0</v>
      </c>
      <c r="B877" s="14">
        <v>7.2286638E7</v>
      </c>
      <c r="C877" s="14">
        <v>2.98659847E8</v>
      </c>
      <c r="D877" s="2" t="s">
        <v>2118</v>
      </c>
      <c r="E877" s="1" t="s">
        <v>107</v>
      </c>
      <c r="F877" s="14">
        <v>0.7906</v>
      </c>
      <c r="G877" s="15"/>
      <c r="H877" s="16"/>
      <c r="I877" s="14"/>
    </row>
    <row r="878">
      <c r="A878" s="14">
        <v>319.0</v>
      </c>
      <c r="B878" s="14">
        <v>8.0774872E7</v>
      </c>
      <c r="C878" s="14">
        <v>3.38190204E8</v>
      </c>
      <c r="D878" s="2" t="s">
        <v>1707</v>
      </c>
      <c r="E878" s="1" t="s">
        <v>107</v>
      </c>
      <c r="F878" s="14">
        <v>0.7906</v>
      </c>
      <c r="G878" s="15"/>
      <c r="H878" s="16"/>
      <c r="I878" s="14"/>
    </row>
    <row r="879">
      <c r="A879" s="14">
        <v>504.0</v>
      </c>
      <c r="B879" s="14">
        <v>8.758253E7</v>
      </c>
      <c r="C879" s="14">
        <v>3.70944965E8</v>
      </c>
      <c r="D879" s="2" t="s">
        <v>1261</v>
      </c>
      <c r="E879" s="1" t="s">
        <v>107</v>
      </c>
      <c r="F879" s="14">
        <v>0.7906</v>
      </c>
      <c r="G879" s="15"/>
      <c r="H879" s="16"/>
      <c r="I879" s="14"/>
    </row>
    <row r="880">
      <c r="A880" s="14">
        <v>664.0</v>
      </c>
      <c r="B880" s="14">
        <v>8.9423761E7</v>
      </c>
      <c r="C880" s="14">
        <v>3.78935451E8</v>
      </c>
      <c r="D880" s="2" t="s">
        <v>1166</v>
      </c>
      <c r="E880" s="1" t="s">
        <v>107</v>
      </c>
      <c r="F880" s="14">
        <v>0.7906</v>
      </c>
      <c r="G880" s="15"/>
      <c r="H880" s="16"/>
      <c r="I880" s="14"/>
    </row>
    <row r="881">
      <c r="A881" s="14">
        <v>173.0</v>
      </c>
      <c r="B881" s="14">
        <v>9.1143478E7</v>
      </c>
      <c r="C881" s="14">
        <v>3.86699056E8</v>
      </c>
      <c r="D881" s="2" t="s">
        <v>1074</v>
      </c>
      <c r="E881" s="1" t="s">
        <v>107</v>
      </c>
      <c r="F881" s="14">
        <v>0.7906</v>
      </c>
      <c r="G881" s="15"/>
      <c r="H881" s="16"/>
      <c r="I881" s="14"/>
    </row>
    <row r="882">
      <c r="A882" s="14">
        <v>504.0</v>
      </c>
      <c r="B882" s="14">
        <v>9.2037302E7</v>
      </c>
      <c r="C882" s="14">
        <v>3.9058881E8</v>
      </c>
      <c r="D882" s="2" t="s">
        <v>1034</v>
      </c>
      <c r="E882" s="1" t="s">
        <v>107</v>
      </c>
      <c r="F882" s="14">
        <v>0.7906</v>
      </c>
      <c r="G882" s="15"/>
      <c r="H882" s="16"/>
      <c r="I882" s="14"/>
    </row>
    <row r="883">
      <c r="A883" s="14">
        <v>696.0</v>
      </c>
      <c r="B883" s="14">
        <v>9.2108624E7</v>
      </c>
      <c r="C883" s="14">
        <v>3.9174777E8</v>
      </c>
      <c r="D883" s="2" t="s">
        <v>1030</v>
      </c>
      <c r="E883" s="1" t="s">
        <v>107</v>
      </c>
      <c r="F883" s="14">
        <v>0.7906</v>
      </c>
      <c r="G883" s="15"/>
      <c r="H883" s="16"/>
      <c r="I883" s="14"/>
    </row>
    <row r="884">
      <c r="A884" s="14">
        <v>578.0</v>
      </c>
      <c r="B884" s="14">
        <v>9.6623087E7</v>
      </c>
      <c r="C884" s="14">
        <v>4.12456249E8</v>
      </c>
      <c r="D884" s="2" t="s">
        <v>787</v>
      </c>
      <c r="E884" s="1" t="s">
        <v>107</v>
      </c>
      <c r="F884" s="14">
        <v>0.7906</v>
      </c>
      <c r="G884" s="15"/>
      <c r="H884" s="16"/>
      <c r="I884" s="14"/>
    </row>
    <row r="885">
      <c r="A885" s="14">
        <v>654.0</v>
      </c>
      <c r="B885" s="14">
        <v>1.0015255E8</v>
      </c>
      <c r="C885" s="14">
        <v>4.29201588E8</v>
      </c>
      <c r="D885" s="2" t="s">
        <v>581</v>
      </c>
      <c r="E885" s="1" t="s">
        <v>107</v>
      </c>
      <c r="F885" s="14">
        <v>0.7906</v>
      </c>
      <c r="G885" s="15"/>
      <c r="H885" s="16"/>
      <c r="I885" s="14"/>
    </row>
    <row r="886">
      <c r="A886" s="14">
        <v>630.0</v>
      </c>
      <c r="B886" s="14">
        <v>1.09142691E8</v>
      </c>
      <c r="C886" s="14">
        <v>4.72689859E8</v>
      </c>
      <c r="D886" s="2" t="s">
        <v>137</v>
      </c>
      <c r="E886" s="1" t="s">
        <v>107</v>
      </c>
      <c r="F886" s="14">
        <v>0.7906</v>
      </c>
      <c r="G886" s="15"/>
      <c r="H886" s="16"/>
      <c r="I886" s="14"/>
    </row>
    <row r="887">
      <c r="A887" s="14">
        <v>484.0</v>
      </c>
      <c r="B887" s="14">
        <v>1.11497922E8</v>
      </c>
      <c r="C887" s="14">
        <v>4.8366465E8</v>
      </c>
      <c r="D887" s="2" t="s">
        <v>44</v>
      </c>
      <c r="E887" s="1" t="s">
        <v>107</v>
      </c>
      <c r="F887" s="14">
        <v>0.7906</v>
      </c>
      <c r="G887" s="15"/>
      <c r="H887" s="16"/>
      <c r="I887" s="14"/>
    </row>
    <row r="888">
      <c r="A888" s="14">
        <v>664.0</v>
      </c>
      <c r="B888" s="14">
        <v>4070691.0</v>
      </c>
      <c r="C888" s="14">
        <v>1.82839175E8</v>
      </c>
      <c r="D888" s="2" t="s">
        <v>2541</v>
      </c>
      <c r="E888" s="1" t="s">
        <v>699</v>
      </c>
      <c r="F888" s="14">
        <v>0.7906</v>
      </c>
      <c r="G888" s="15"/>
      <c r="H888" s="16"/>
      <c r="I888" s="14"/>
    </row>
    <row r="889">
      <c r="A889" s="14">
        <v>484.0</v>
      </c>
      <c r="B889" s="14">
        <v>8.6412302E7</v>
      </c>
      <c r="C889" s="14">
        <v>3.64902528E8</v>
      </c>
      <c r="D889" s="2" t="s">
        <v>1333</v>
      </c>
      <c r="E889" s="1" t="s">
        <v>699</v>
      </c>
      <c r="F889" s="14">
        <v>0.7906</v>
      </c>
      <c r="G889" s="15"/>
      <c r="H889" s="16"/>
      <c r="I889" s="14"/>
    </row>
    <row r="890">
      <c r="A890" s="14">
        <v>414.0</v>
      </c>
      <c r="B890" s="14">
        <v>5411800.0</v>
      </c>
      <c r="C890" s="14">
        <v>2.313171E7</v>
      </c>
      <c r="D890" s="2" t="s">
        <v>2545</v>
      </c>
      <c r="E890" s="1" t="s">
        <v>121</v>
      </c>
      <c r="F890" s="14">
        <v>0.7906</v>
      </c>
      <c r="G890" s="15"/>
      <c r="H890" s="16"/>
      <c r="I890" s="14"/>
    </row>
    <row r="891">
      <c r="A891" s="14">
        <v>610.0</v>
      </c>
      <c r="B891" s="14">
        <v>8196462.0</v>
      </c>
      <c r="C891" s="14">
        <v>3.4930327E7</v>
      </c>
      <c r="D891" s="2" t="s">
        <v>2548</v>
      </c>
      <c r="E891" s="1" t="s">
        <v>121</v>
      </c>
      <c r="F891" s="14">
        <v>0.7906</v>
      </c>
      <c r="G891" s="15"/>
      <c r="H891" s="16"/>
      <c r="I891" s="14"/>
    </row>
    <row r="892">
      <c r="A892" s="14">
        <v>353.0</v>
      </c>
      <c r="B892" s="14">
        <v>1.01804677E8</v>
      </c>
      <c r="C892" s="14">
        <v>4.36958026E8</v>
      </c>
      <c r="D892" s="2" t="s">
        <v>481</v>
      </c>
      <c r="E892" s="1" t="s">
        <v>121</v>
      </c>
      <c r="F892" s="14">
        <v>0.7902</v>
      </c>
      <c r="G892" s="15"/>
      <c r="H892" s="16"/>
      <c r="I892" s="14"/>
    </row>
    <row r="893">
      <c r="A893" s="14">
        <v>587.0</v>
      </c>
      <c r="B893" s="14">
        <v>1.01995635E8</v>
      </c>
      <c r="C893" s="14">
        <v>4.38207546E8</v>
      </c>
      <c r="D893" s="2" t="s">
        <v>462</v>
      </c>
      <c r="E893" s="1" t="s">
        <v>107</v>
      </c>
      <c r="F893" s="14">
        <v>0.7901</v>
      </c>
      <c r="G893" s="15"/>
      <c r="H893" s="16"/>
      <c r="I893" s="14"/>
    </row>
    <row r="894">
      <c r="A894" s="14">
        <v>410.0</v>
      </c>
      <c r="B894" s="14">
        <v>1.07129279E8</v>
      </c>
      <c r="C894" s="14">
        <v>4.625335E8</v>
      </c>
      <c r="D894" s="2" t="s">
        <v>266</v>
      </c>
      <c r="E894" s="1" t="s">
        <v>107</v>
      </c>
      <c r="F894" s="14">
        <v>0.7901</v>
      </c>
      <c r="G894" s="15"/>
      <c r="H894" s="16"/>
      <c r="I894" s="14"/>
    </row>
    <row r="895">
      <c r="A895" s="14">
        <v>101.0</v>
      </c>
      <c r="B895" s="14">
        <v>33277.0</v>
      </c>
      <c r="C895" s="14">
        <v>107580.0</v>
      </c>
      <c r="D895" s="2" t="s">
        <v>2555</v>
      </c>
      <c r="E895" s="1" t="s">
        <v>121</v>
      </c>
      <c r="F895" s="14">
        <v>0.7901</v>
      </c>
      <c r="G895" s="15"/>
      <c r="H895" s="16"/>
      <c r="I895" s="14"/>
    </row>
    <row r="896">
      <c r="A896" s="14">
        <v>326.0</v>
      </c>
      <c r="B896" s="14">
        <v>629872.0</v>
      </c>
      <c r="C896" s="14">
        <v>3056687.0</v>
      </c>
      <c r="D896" s="2" t="s">
        <v>2557</v>
      </c>
      <c r="E896" s="1" t="s">
        <v>121</v>
      </c>
      <c r="F896" s="14">
        <v>0.7901</v>
      </c>
      <c r="G896" s="15"/>
      <c r="H896" s="16"/>
      <c r="I896" s="14"/>
    </row>
    <row r="897">
      <c r="A897" s="14">
        <v>120.0</v>
      </c>
      <c r="B897" s="14">
        <v>6499424.0</v>
      </c>
      <c r="C897" s="14">
        <v>2.7615735E7</v>
      </c>
      <c r="D897" s="2" t="s">
        <v>2558</v>
      </c>
      <c r="E897" s="1" t="s">
        <v>107</v>
      </c>
      <c r="F897" s="14">
        <v>0.7896</v>
      </c>
      <c r="G897" s="15"/>
      <c r="H897" s="16"/>
      <c r="I897" s="14"/>
    </row>
    <row r="898">
      <c r="A898" s="14">
        <v>671.0</v>
      </c>
      <c r="B898" s="14">
        <v>7215665.0</v>
      </c>
      <c r="C898" s="14">
        <v>1.34704926E8</v>
      </c>
      <c r="D898" s="2" t="s">
        <v>2559</v>
      </c>
      <c r="E898" s="1" t="s">
        <v>107</v>
      </c>
      <c r="F898" s="14">
        <v>0.7896</v>
      </c>
      <c r="G898" s="15"/>
      <c r="H898" s="16"/>
      <c r="I898" s="14"/>
    </row>
    <row r="899">
      <c r="A899" s="14">
        <v>243.0</v>
      </c>
      <c r="B899" s="14">
        <v>1476781.0</v>
      </c>
      <c r="C899" s="14">
        <v>6504919.0</v>
      </c>
      <c r="D899" s="2" t="s">
        <v>2562</v>
      </c>
      <c r="E899" s="1" t="s">
        <v>699</v>
      </c>
      <c r="F899" s="14">
        <v>0.7893</v>
      </c>
      <c r="G899" s="15"/>
      <c r="H899" s="16"/>
      <c r="I899" s="14"/>
    </row>
    <row r="900">
      <c r="A900" s="14">
        <v>671.0</v>
      </c>
      <c r="B900" s="14">
        <v>3017253.0</v>
      </c>
      <c r="C900" s="14">
        <v>1.2765753E7</v>
      </c>
      <c r="D900" s="2" t="s">
        <v>2564</v>
      </c>
      <c r="E900" s="1" t="s">
        <v>121</v>
      </c>
      <c r="F900" s="14">
        <v>0.7888</v>
      </c>
      <c r="G900" s="15"/>
      <c r="H900" s="16"/>
      <c r="I900" s="14"/>
    </row>
    <row r="901">
      <c r="A901" s="14">
        <v>609.0</v>
      </c>
      <c r="B901" s="14">
        <v>1.7906721E7</v>
      </c>
      <c r="C901" s="14">
        <v>7.5429934E7</v>
      </c>
      <c r="D901" s="2" t="s">
        <v>2565</v>
      </c>
      <c r="E901" s="1" t="s">
        <v>699</v>
      </c>
      <c r="F901" s="14">
        <v>0.7887</v>
      </c>
      <c r="G901" s="15"/>
      <c r="H901" s="16"/>
      <c r="I901" s="14"/>
    </row>
    <row r="902">
      <c r="A902" s="14">
        <v>609.0</v>
      </c>
      <c r="B902" s="14">
        <v>7788244.0</v>
      </c>
      <c r="C902" s="14">
        <v>3.3072466E7</v>
      </c>
      <c r="D902" s="2" t="s">
        <v>2568</v>
      </c>
      <c r="E902" s="1" t="s">
        <v>121</v>
      </c>
      <c r="F902" s="14">
        <v>0.7883</v>
      </c>
      <c r="G902" s="15"/>
      <c r="H902" s="16"/>
      <c r="I902" s="14"/>
    </row>
    <row r="903">
      <c r="A903" s="14">
        <v>671.0</v>
      </c>
      <c r="B903" s="14">
        <v>5.3064691E7</v>
      </c>
      <c r="C903" s="14">
        <v>2.1068387E8</v>
      </c>
      <c r="D903" s="2" t="s">
        <v>2570</v>
      </c>
      <c r="E903" s="1" t="s">
        <v>107</v>
      </c>
      <c r="F903" s="14">
        <v>0.7879</v>
      </c>
      <c r="G903" s="15"/>
      <c r="H903" s="16"/>
      <c r="I903" s="14"/>
    </row>
    <row r="904">
      <c r="A904" s="14">
        <v>564.0</v>
      </c>
      <c r="B904" s="14">
        <v>6.7073525E7</v>
      </c>
      <c r="C904" s="14">
        <v>2.74584109E8</v>
      </c>
      <c r="D904" s="2" t="s">
        <v>2380</v>
      </c>
      <c r="E904" s="1" t="s">
        <v>107</v>
      </c>
      <c r="F904" s="14">
        <v>0.7879</v>
      </c>
      <c r="G904" s="15"/>
      <c r="H904" s="16"/>
      <c r="I904" s="14"/>
    </row>
    <row r="905">
      <c r="A905" s="14">
        <v>602.0</v>
      </c>
      <c r="B905" s="14">
        <v>6002111.0</v>
      </c>
      <c r="C905" s="14">
        <v>2.5550494E7</v>
      </c>
      <c r="D905" s="2" t="s">
        <v>2574</v>
      </c>
      <c r="E905" s="1" t="s">
        <v>699</v>
      </c>
      <c r="F905" s="14">
        <v>0.7879</v>
      </c>
      <c r="G905" s="15"/>
      <c r="H905" s="16"/>
      <c r="I905" s="14"/>
    </row>
    <row r="906">
      <c r="A906" s="14">
        <v>664.0</v>
      </c>
      <c r="B906" s="14">
        <v>9.8017207E7</v>
      </c>
      <c r="C906" s="14">
        <v>4.187083E8</v>
      </c>
      <c r="D906" s="2" t="s">
        <v>702</v>
      </c>
      <c r="E906" s="1" t="s">
        <v>107</v>
      </c>
      <c r="F906" s="14">
        <v>0.7876</v>
      </c>
      <c r="G906" s="15"/>
      <c r="H906" s="16"/>
      <c r="I906" s="14"/>
    </row>
    <row r="907">
      <c r="A907" s="14">
        <v>565.0</v>
      </c>
      <c r="B907" s="14">
        <v>8.5686473E7</v>
      </c>
      <c r="C907" s="14">
        <v>3.61633802E8</v>
      </c>
      <c r="D907" s="2" t="s">
        <v>1382</v>
      </c>
      <c r="E907" s="1" t="s">
        <v>121</v>
      </c>
      <c r="F907" s="14">
        <v>0.7876</v>
      </c>
      <c r="G907" s="15"/>
      <c r="H907" s="16"/>
      <c r="I907" s="14"/>
    </row>
    <row r="908">
      <c r="A908" s="14">
        <v>337.0</v>
      </c>
      <c r="B908" s="14">
        <v>7.1308505E7</v>
      </c>
      <c r="C908" s="14">
        <v>2.94468452E8</v>
      </c>
      <c r="D908" s="2" t="s">
        <v>2160</v>
      </c>
      <c r="E908" s="1" t="s">
        <v>121</v>
      </c>
      <c r="F908" s="14">
        <v>0.7871</v>
      </c>
      <c r="G908" s="15"/>
      <c r="H908" s="16"/>
      <c r="I908" s="14"/>
    </row>
    <row r="909">
      <c r="A909" s="14">
        <v>159.0</v>
      </c>
      <c r="B909" s="14">
        <v>89680.0</v>
      </c>
      <c r="C909" s="14">
        <v>332520.0</v>
      </c>
      <c r="D909" s="2" t="s">
        <v>2580</v>
      </c>
      <c r="E909" s="1" t="s">
        <v>121</v>
      </c>
      <c r="F909" s="14">
        <v>0.7867</v>
      </c>
      <c r="G909" s="15"/>
      <c r="H909" s="16"/>
      <c r="I909" s="14"/>
    </row>
    <row r="910">
      <c r="A910" s="14">
        <v>204.0</v>
      </c>
      <c r="B910" s="14">
        <v>8.8058906E7</v>
      </c>
      <c r="C910" s="14">
        <v>3.72425286E8</v>
      </c>
      <c r="D910" s="2" t="s">
        <v>1238</v>
      </c>
      <c r="E910" s="1" t="s">
        <v>121</v>
      </c>
      <c r="F910" s="14">
        <v>0.7855</v>
      </c>
      <c r="G910" s="15"/>
      <c r="H910" s="16"/>
      <c r="I910" s="14"/>
    </row>
    <row r="911">
      <c r="A911" s="14">
        <v>414.0</v>
      </c>
      <c r="B911" s="14">
        <v>2923911.0</v>
      </c>
      <c r="C911" s="14">
        <v>1.2395366E7</v>
      </c>
      <c r="D911" s="2" t="s">
        <v>2584</v>
      </c>
      <c r="E911" s="1" t="s">
        <v>107</v>
      </c>
      <c r="F911" s="14">
        <v>0.7845</v>
      </c>
      <c r="G911" s="15"/>
      <c r="H911" s="16"/>
      <c r="I911" s="14"/>
    </row>
    <row r="912">
      <c r="A912" s="14">
        <v>522.0</v>
      </c>
      <c r="B912" s="14">
        <v>5871886.0</v>
      </c>
      <c r="C912" s="14">
        <v>7.6682478E7</v>
      </c>
      <c r="D912" s="2" t="s">
        <v>2586</v>
      </c>
      <c r="E912" s="1" t="s">
        <v>107</v>
      </c>
      <c r="F912" s="14">
        <v>0.7845</v>
      </c>
      <c r="G912" s="15"/>
      <c r="H912" s="16"/>
      <c r="I912" s="14"/>
    </row>
    <row r="913">
      <c r="A913" s="14">
        <v>215.0</v>
      </c>
      <c r="B913" s="14">
        <v>6120187.0</v>
      </c>
      <c r="C913" s="14">
        <v>2.6019189E7</v>
      </c>
      <c r="D913" s="2" t="s">
        <v>2587</v>
      </c>
      <c r="E913" s="1" t="s">
        <v>107</v>
      </c>
      <c r="F913" s="14">
        <v>0.7845</v>
      </c>
      <c r="G913" s="15"/>
      <c r="H913" s="16"/>
      <c r="I913" s="14"/>
    </row>
    <row r="914">
      <c r="A914" s="14">
        <v>414.0</v>
      </c>
      <c r="B914" s="14">
        <v>3.0002588E7</v>
      </c>
      <c r="C914" s="14">
        <v>1.20372019E8</v>
      </c>
      <c r="D914" s="2" t="s">
        <v>2589</v>
      </c>
      <c r="E914" s="1" t="s">
        <v>107</v>
      </c>
      <c r="F914" s="14">
        <v>0.7845</v>
      </c>
      <c r="G914" s="15"/>
      <c r="H914" s="16"/>
      <c r="I914" s="14"/>
    </row>
    <row r="915">
      <c r="A915" s="14">
        <v>656.0</v>
      </c>
      <c r="B915" s="14">
        <v>3.1803408E7</v>
      </c>
      <c r="C915" s="14">
        <v>2.24307202E8</v>
      </c>
      <c r="D915" s="2" t="s">
        <v>2592</v>
      </c>
      <c r="E915" s="1" t="s">
        <v>107</v>
      </c>
      <c r="F915" s="14">
        <v>0.7845</v>
      </c>
      <c r="G915" s="15"/>
      <c r="H915" s="16"/>
      <c r="I915" s="14"/>
    </row>
    <row r="916">
      <c r="A916" s="14">
        <v>403.0</v>
      </c>
      <c r="B916" s="14">
        <v>8.1732172E7</v>
      </c>
      <c r="C916" s="14">
        <v>3.42333644E8</v>
      </c>
      <c r="D916" s="2" t="s">
        <v>1658</v>
      </c>
      <c r="E916" s="1" t="s">
        <v>107</v>
      </c>
      <c r="F916" s="14">
        <v>0.7845</v>
      </c>
      <c r="G916" s="15"/>
      <c r="H916" s="16"/>
      <c r="I916" s="14"/>
    </row>
    <row r="917">
      <c r="A917" s="14">
        <v>120.0</v>
      </c>
      <c r="B917" s="14">
        <v>2.5122406E7</v>
      </c>
      <c r="C917" s="14">
        <v>1.02410777E8</v>
      </c>
      <c r="D917" s="2" t="s">
        <v>2595</v>
      </c>
      <c r="E917" s="1" t="s">
        <v>699</v>
      </c>
      <c r="F917" s="14">
        <v>0.7845</v>
      </c>
      <c r="G917" s="15"/>
      <c r="H917" s="16"/>
      <c r="I917" s="14"/>
    </row>
    <row r="918">
      <c r="A918" s="14">
        <v>504.0</v>
      </c>
      <c r="B918" s="14">
        <v>7.7160721E7</v>
      </c>
      <c r="C918" s="14">
        <v>3.20698286E8</v>
      </c>
      <c r="D918" s="2" t="s">
        <v>1906</v>
      </c>
      <c r="E918" s="1" t="s">
        <v>699</v>
      </c>
      <c r="F918" s="14">
        <v>0.7845</v>
      </c>
      <c r="G918" s="15"/>
      <c r="H918" s="16"/>
      <c r="I918" s="14"/>
    </row>
    <row r="919">
      <c r="A919" s="14">
        <v>674.0</v>
      </c>
      <c r="B919" s="14">
        <v>7.9212901E7</v>
      </c>
      <c r="C919" s="14">
        <v>3.31067164E8</v>
      </c>
      <c r="D919" s="2" t="s">
        <v>1787</v>
      </c>
      <c r="E919" s="1" t="s">
        <v>699</v>
      </c>
      <c r="F919" s="14">
        <v>0.7845</v>
      </c>
      <c r="G919" s="15"/>
      <c r="H919" s="16"/>
      <c r="I919" s="14"/>
    </row>
    <row r="920">
      <c r="A920" s="14">
        <v>578.0</v>
      </c>
      <c r="B920" s="14">
        <v>8.4080517E7</v>
      </c>
      <c r="C920" s="14">
        <v>3.53657938E8</v>
      </c>
      <c r="D920" s="2" t="s">
        <v>1507</v>
      </c>
      <c r="E920" s="1" t="s">
        <v>699</v>
      </c>
      <c r="F920" s="14">
        <v>0.7845</v>
      </c>
      <c r="G920" s="15"/>
      <c r="H920" s="16"/>
      <c r="I920" s="14"/>
    </row>
    <row r="921">
      <c r="A921" s="14">
        <v>205.0</v>
      </c>
      <c r="B921" s="14">
        <v>532242.0</v>
      </c>
      <c r="C921" s="14">
        <v>2558774.0</v>
      </c>
      <c r="D921" s="2" t="s">
        <v>2602</v>
      </c>
      <c r="E921" s="1" t="s">
        <v>121</v>
      </c>
      <c r="F921" s="14">
        <v>0.7845</v>
      </c>
      <c r="G921" s="15"/>
      <c r="H921" s="16"/>
      <c r="I921" s="14"/>
    </row>
    <row r="922">
      <c r="A922" s="14">
        <v>173.0</v>
      </c>
      <c r="B922" s="14">
        <v>721566.0</v>
      </c>
      <c r="C922" s="14">
        <v>3484867.0</v>
      </c>
      <c r="D922" s="2" t="s">
        <v>2605</v>
      </c>
      <c r="E922" s="1" t="s">
        <v>121</v>
      </c>
      <c r="F922" s="14">
        <v>0.7845</v>
      </c>
      <c r="G922" s="15"/>
      <c r="H922" s="16"/>
      <c r="I922" s="14"/>
    </row>
    <row r="923">
      <c r="A923" s="14">
        <v>570.0</v>
      </c>
      <c r="B923" s="14">
        <v>3720008.0</v>
      </c>
      <c r="C923" s="14">
        <v>8.1677821E7</v>
      </c>
      <c r="D923" s="2" t="s">
        <v>2606</v>
      </c>
      <c r="E923" s="1" t="s">
        <v>121</v>
      </c>
      <c r="F923" s="14">
        <v>0.7845</v>
      </c>
      <c r="G923" s="15"/>
      <c r="H923" s="16"/>
      <c r="I923" s="14"/>
    </row>
    <row r="924">
      <c r="A924" s="14">
        <v>414.0</v>
      </c>
      <c r="B924" s="14">
        <v>4108539.0</v>
      </c>
      <c r="C924" s="14">
        <v>1.7392005E7</v>
      </c>
      <c r="D924" s="2" t="s">
        <v>2609</v>
      </c>
      <c r="E924" s="1" t="s">
        <v>121</v>
      </c>
      <c r="F924" s="14">
        <v>0.7845</v>
      </c>
      <c r="G924" s="15"/>
      <c r="H924" s="16"/>
      <c r="I924" s="14"/>
    </row>
    <row r="925">
      <c r="A925" s="14">
        <v>672.0</v>
      </c>
      <c r="B925" s="14">
        <v>6.7337039E7</v>
      </c>
      <c r="C925" s="14">
        <v>2.75863695E8</v>
      </c>
      <c r="D925" s="2" t="s">
        <v>2365</v>
      </c>
      <c r="E925" s="1" t="s">
        <v>121</v>
      </c>
      <c r="F925" s="14">
        <v>0.7845</v>
      </c>
      <c r="G925" s="15"/>
      <c r="H925" s="16"/>
      <c r="I925" s="14"/>
    </row>
    <row r="926">
      <c r="A926" s="14">
        <v>475.0</v>
      </c>
      <c r="B926" s="14">
        <v>8.8634038E7</v>
      </c>
      <c r="C926" s="14">
        <v>3.75249643E8</v>
      </c>
      <c r="D926" s="2" t="s">
        <v>1215</v>
      </c>
      <c r="E926" s="1" t="s">
        <v>121</v>
      </c>
      <c r="F926" s="14">
        <v>0.7845</v>
      </c>
      <c r="G926" s="15"/>
      <c r="H926" s="16"/>
      <c r="I926" s="14"/>
    </row>
    <row r="927">
      <c r="A927" s="14">
        <v>571.0</v>
      </c>
      <c r="B927" s="14">
        <v>1.01411571E8</v>
      </c>
      <c r="C927" s="14">
        <v>4.35296818E8</v>
      </c>
      <c r="D927" s="2" t="s">
        <v>504</v>
      </c>
      <c r="E927" s="1" t="s">
        <v>107</v>
      </c>
      <c r="F927" s="14">
        <v>0.7841</v>
      </c>
      <c r="G927" s="15"/>
      <c r="H927" s="16"/>
      <c r="I927" s="14"/>
    </row>
    <row r="928">
      <c r="A928" s="14">
        <v>666.0</v>
      </c>
      <c r="B928" s="14">
        <v>1525528.0</v>
      </c>
      <c r="C928" s="14">
        <v>6715226.0</v>
      </c>
      <c r="D928" s="2" t="s">
        <v>2613</v>
      </c>
      <c r="E928" s="1" t="s">
        <v>107</v>
      </c>
      <c r="F928" s="14">
        <v>0.784</v>
      </c>
      <c r="G928" s="15"/>
      <c r="H928" s="16"/>
      <c r="I928" s="14"/>
    </row>
    <row r="929">
      <c r="A929" s="14">
        <v>608.0</v>
      </c>
      <c r="B929" s="14">
        <v>2458868.0</v>
      </c>
      <c r="C929" s="14">
        <v>1.0393609E7</v>
      </c>
      <c r="D929" s="2" t="s">
        <v>2616</v>
      </c>
      <c r="E929" s="1" t="s">
        <v>107</v>
      </c>
      <c r="F929" s="14">
        <v>0.784</v>
      </c>
      <c r="G929" s="15"/>
      <c r="H929" s="16"/>
      <c r="I929" s="14"/>
    </row>
    <row r="930">
      <c r="A930" s="14">
        <v>641.0</v>
      </c>
      <c r="B930" s="14">
        <v>4064756.0</v>
      </c>
      <c r="C930" s="14">
        <v>1.7239228E7</v>
      </c>
      <c r="D930" s="2" t="s">
        <v>2618</v>
      </c>
      <c r="E930" s="1" t="s">
        <v>107</v>
      </c>
      <c r="F930" s="14">
        <v>0.784</v>
      </c>
      <c r="G930" s="15"/>
      <c r="H930" s="16"/>
      <c r="I930" s="14"/>
    </row>
    <row r="931">
      <c r="A931" s="14">
        <v>456.0</v>
      </c>
      <c r="B931" s="14">
        <v>4610151.0</v>
      </c>
      <c r="C931" s="14">
        <v>5.270279E7</v>
      </c>
      <c r="D931" s="2" t="s">
        <v>2621</v>
      </c>
      <c r="E931" s="1" t="s">
        <v>107</v>
      </c>
      <c r="F931" s="14">
        <v>0.784</v>
      </c>
      <c r="G931" s="15"/>
      <c r="H931" s="16"/>
      <c r="I931" s="14"/>
    </row>
    <row r="932">
      <c r="A932" s="14">
        <v>476.0</v>
      </c>
      <c r="B932" s="14">
        <v>8248974.0</v>
      </c>
      <c r="C932" s="14">
        <v>3.5050674E7</v>
      </c>
      <c r="D932" s="2" t="s">
        <v>2622</v>
      </c>
      <c r="E932" s="1" t="s">
        <v>107</v>
      </c>
      <c r="F932" s="14">
        <v>0.784</v>
      </c>
      <c r="G932" s="15"/>
      <c r="H932" s="16"/>
      <c r="I932" s="14"/>
    </row>
    <row r="933">
      <c r="A933" s="14">
        <v>665.0</v>
      </c>
      <c r="B933" s="14">
        <v>3.9423567E7</v>
      </c>
      <c r="C933" s="14">
        <v>1.56337182E8</v>
      </c>
      <c r="D933" s="2" t="s">
        <v>2624</v>
      </c>
      <c r="E933" s="1" t="s">
        <v>107</v>
      </c>
      <c r="F933" s="14">
        <v>0.784</v>
      </c>
      <c r="G933" s="15"/>
      <c r="H933" s="16"/>
      <c r="I933" s="14"/>
    </row>
    <row r="934">
      <c r="A934" s="14">
        <v>564.0</v>
      </c>
      <c r="B934" s="14">
        <v>4.3965155E7</v>
      </c>
      <c r="C934" s="14">
        <v>1.73798971E8</v>
      </c>
      <c r="D934" s="2" t="s">
        <v>2627</v>
      </c>
      <c r="E934" s="1" t="s">
        <v>107</v>
      </c>
      <c r="F934" s="14">
        <v>0.784</v>
      </c>
      <c r="G934" s="15"/>
      <c r="H934" s="16"/>
      <c r="I934" s="14"/>
    </row>
    <row r="935">
      <c r="A935" s="14">
        <v>654.0</v>
      </c>
      <c r="B935" s="14">
        <v>5.9717816E7</v>
      </c>
      <c r="C935" s="14">
        <v>2.39173171E8</v>
      </c>
      <c r="D935" s="2" t="s">
        <v>2628</v>
      </c>
      <c r="E935" s="1" t="s">
        <v>107</v>
      </c>
      <c r="F935" s="14">
        <v>0.784</v>
      </c>
      <c r="G935" s="15"/>
      <c r="H935" s="16"/>
      <c r="I935" s="14"/>
    </row>
    <row r="936">
      <c r="A936" s="14">
        <v>173.0</v>
      </c>
      <c r="B936" s="14">
        <v>6.4135587E7</v>
      </c>
      <c r="C936" s="14">
        <v>2.60589464E8</v>
      </c>
      <c r="D936" s="2" t="s">
        <v>2528</v>
      </c>
      <c r="E936" s="1" t="s">
        <v>107</v>
      </c>
      <c r="F936" s="14">
        <v>0.784</v>
      </c>
      <c r="G936" s="15"/>
      <c r="H936" s="16"/>
      <c r="I936" s="14"/>
    </row>
    <row r="937">
      <c r="A937" s="14">
        <v>716.0</v>
      </c>
      <c r="B937" s="14">
        <v>6.6523659E7</v>
      </c>
      <c r="C937" s="14">
        <v>2.7186791E8</v>
      </c>
      <c r="D937" s="2" t="s">
        <v>2415</v>
      </c>
      <c r="E937" s="1" t="s">
        <v>107</v>
      </c>
      <c r="F937" s="14">
        <v>0.784</v>
      </c>
      <c r="G937" s="15"/>
      <c r="H937" s="16"/>
      <c r="I937" s="14"/>
    </row>
    <row r="938">
      <c r="A938" s="14">
        <v>210.0</v>
      </c>
      <c r="B938" s="14">
        <v>6.8713819E7</v>
      </c>
      <c r="C938" s="14">
        <v>2.82564142E8</v>
      </c>
      <c r="D938" s="2" t="s">
        <v>2297</v>
      </c>
      <c r="E938" s="1" t="s">
        <v>107</v>
      </c>
      <c r="F938" s="14">
        <v>0.784</v>
      </c>
      <c r="G938" s="15"/>
      <c r="H938" s="16"/>
      <c r="I938" s="14"/>
    </row>
    <row r="939">
      <c r="A939" s="14">
        <v>671.0</v>
      </c>
      <c r="B939" s="14">
        <v>7.8084054E7</v>
      </c>
      <c r="C939" s="14">
        <v>3.25154808E8</v>
      </c>
      <c r="D939" s="2" t="s">
        <v>1850</v>
      </c>
      <c r="E939" s="1" t="s">
        <v>107</v>
      </c>
      <c r="F939" s="14">
        <v>0.784</v>
      </c>
      <c r="G939" s="15"/>
      <c r="H939" s="16"/>
      <c r="I939" s="14"/>
    </row>
    <row r="940">
      <c r="A940" s="14">
        <v>571.0</v>
      </c>
      <c r="B940" s="14">
        <v>7.8947321E7</v>
      </c>
      <c r="C940" s="14">
        <v>3.29254133E8</v>
      </c>
      <c r="D940" s="2" t="s">
        <v>1800</v>
      </c>
      <c r="E940" s="1" t="s">
        <v>107</v>
      </c>
      <c r="F940" s="14">
        <v>0.784</v>
      </c>
      <c r="G940" s="15"/>
      <c r="H940" s="16"/>
      <c r="I940" s="14"/>
    </row>
    <row r="941">
      <c r="A941" s="14">
        <v>173.0</v>
      </c>
      <c r="B941" s="14">
        <v>7.9109136E7</v>
      </c>
      <c r="C941" s="14">
        <v>3.29857426E8</v>
      </c>
      <c r="D941" s="2" t="s">
        <v>1538</v>
      </c>
      <c r="E941" s="1" t="s">
        <v>107</v>
      </c>
      <c r="F941" s="14">
        <v>0.784</v>
      </c>
      <c r="G941" s="15"/>
      <c r="H941" s="16"/>
      <c r="I941" s="14"/>
    </row>
    <row r="942">
      <c r="A942" s="14">
        <v>408.0</v>
      </c>
      <c r="B942" s="14">
        <v>8.3631858E7</v>
      </c>
      <c r="C942" s="14">
        <v>3.51221883E8</v>
      </c>
      <c r="D942" s="2" t="s">
        <v>1538</v>
      </c>
      <c r="E942" s="1" t="s">
        <v>107</v>
      </c>
      <c r="F942" s="14">
        <v>0.784</v>
      </c>
      <c r="G942" s="15"/>
      <c r="H942" s="16"/>
      <c r="I942" s="14"/>
    </row>
    <row r="943">
      <c r="A943" s="14">
        <v>317.0</v>
      </c>
      <c r="B943" s="14">
        <v>8.5191484E7</v>
      </c>
      <c r="C943" s="14">
        <v>3.5897066E8</v>
      </c>
      <c r="D943" s="2" t="s">
        <v>1415</v>
      </c>
      <c r="E943" s="1" t="s">
        <v>107</v>
      </c>
      <c r="F943" s="14">
        <v>0.784</v>
      </c>
      <c r="G943" s="15"/>
      <c r="H943" s="16"/>
      <c r="I943" s="14"/>
    </row>
    <row r="944">
      <c r="A944" s="14">
        <v>173.0</v>
      </c>
      <c r="B944" s="14">
        <v>8.8646446E7</v>
      </c>
      <c r="C944" s="14">
        <v>3.75318712E8</v>
      </c>
      <c r="D944" s="2" t="s">
        <v>1207</v>
      </c>
      <c r="E944" s="1" t="s">
        <v>107</v>
      </c>
      <c r="F944" s="14">
        <v>0.784</v>
      </c>
      <c r="G944" s="15"/>
      <c r="H944" s="16"/>
      <c r="I944" s="14"/>
    </row>
    <row r="945">
      <c r="A945" s="14">
        <v>210.0</v>
      </c>
      <c r="B945" s="14">
        <v>9.792189E7</v>
      </c>
      <c r="C945" s="14">
        <v>4.18486536E8</v>
      </c>
      <c r="D945" s="2" t="s">
        <v>715</v>
      </c>
      <c r="E945" s="1" t="s">
        <v>107</v>
      </c>
      <c r="F945" s="14">
        <v>0.784</v>
      </c>
      <c r="G945" s="15"/>
      <c r="H945" s="16"/>
      <c r="I945" s="14"/>
    </row>
    <row r="946">
      <c r="A946" s="14">
        <v>488.0</v>
      </c>
      <c r="B946" s="14">
        <v>9.9166781E7</v>
      </c>
      <c r="C946" s="14">
        <v>4.24423542E8</v>
      </c>
      <c r="D946" s="2" t="s">
        <v>638</v>
      </c>
      <c r="E946" s="1" t="s">
        <v>107</v>
      </c>
      <c r="F946" s="14">
        <v>0.784</v>
      </c>
      <c r="G946" s="15"/>
      <c r="H946" s="16"/>
      <c r="I946" s="14"/>
    </row>
    <row r="947">
      <c r="A947" s="14">
        <v>504.0</v>
      </c>
      <c r="B947" s="14">
        <v>1.00454419E8</v>
      </c>
      <c r="C947" s="14">
        <v>4.30544746E8</v>
      </c>
      <c r="D947" s="2" t="s">
        <v>566</v>
      </c>
      <c r="E947" s="1" t="s">
        <v>107</v>
      </c>
      <c r="F947" s="14">
        <v>0.784</v>
      </c>
      <c r="G947" s="15"/>
      <c r="H947" s="16"/>
      <c r="I947" s="14"/>
    </row>
    <row r="948">
      <c r="A948" s="14">
        <v>633.0</v>
      </c>
      <c r="B948" s="14">
        <v>1.02475884E8</v>
      </c>
      <c r="C948" s="14">
        <v>4.42176757E8</v>
      </c>
      <c r="D948" s="2" t="s">
        <v>438</v>
      </c>
      <c r="E948" s="1" t="s">
        <v>107</v>
      </c>
      <c r="F948" s="14">
        <v>0.784</v>
      </c>
      <c r="G948" s="15"/>
      <c r="H948" s="16"/>
      <c r="I948" s="14"/>
    </row>
    <row r="949">
      <c r="A949" s="14">
        <v>654.0</v>
      </c>
      <c r="B949" s="14">
        <v>7.1515341E7</v>
      </c>
      <c r="C949" s="14">
        <v>2.9533771E8</v>
      </c>
      <c r="D949" s="2" t="s">
        <v>2153</v>
      </c>
      <c r="E949" s="1" t="s">
        <v>699</v>
      </c>
      <c r="F949" s="14">
        <v>0.784</v>
      </c>
      <c r="G949" s="15"/>
      <c r="H949" s="16"/>
      <c r="I949" s="14"/>
    </row>
    <row r="950">
      <c r="A950" s="14">
        <v>410.0</v>
      </c>
      <c r="B950" s="14">
        <v>1.10495819E8</v>
      </c>
      <c r="C950" s="14">
        <v>4.79534411E8</v>
      </c>
      <c r="D950" s="2" t="s">
        <v>67</v>
      </c>
      <c r="E950" s="1" t="s">
        <v>107</v>
      </c>
      <c r="F950" s="14">
        <v>0.7835</v>
      </c>
      <c r="G950" s="15"/>
      <c r="H950" s="16"/>
      <c r="I950" s="14"/>
    </row>
    <row r="951">
      <c r="A951" s="14">
        <v>455.0</v>
      </c>
      <c r="B951" s="14">
        <v>1.6557753E7</v>
      </c>
      <c r="C951" s="14">
        <v>7.0190926E7</v>
      </c>
      <c r="D951" s="2" t="s">
        <v>2642</v>
      </c>
      <c r="E951" s="1" t="s">
        <v>121</v>
      </c>
      <c r="F951" s="14">
        <v>0.7835</v>
      </c>
      <c r="G951" s="15"/>
      <c r="H951" s="16"/>
      <c r="I951" s="14"/>
    </row>
    <row r="952">
      <c r="A952" s="14">
        <v>414.0</v>
      </c>
      <c r="B952" s="14">
        <v>1.4335888E7</v>
      </c>
      <c r="C952" s="14">
        <v>6.101722E7</v>
      </c>
      <c r="D952" s="2" t="s">
        <v>2643</v>
      </c>
      <c r="E952" s="1" t="s">
        <v>107</v>
      </c>
      <c r="F952" s="14">
        <v>0.7832</v>
      </c>
      <c r="G952" s="15"/>
      <c r="H952" s="16"/>
      <c r="I952" s="14"/>
    </row>
    <row r="953">
      <c r="A953" s="14">
        <v>210.0</v>
      </c>
      <c r="B953" s="14">
        <v>6.2710746E7</v>
      </c>
      <c r="C953" s="14">
        <v>2.5354097E8</v>
      </c>
      <c r="D953" s="2" t="s">
        <v>2583</v>
      </c>
      <c r="E953" s="1" t="s">
        <v>107</v>
      </c>
      <c r="F953" s="14">
        <v>0.7832</v>
      </c>
      <c r="G953" s="15"/>
      <c r="H953" s="16"/>
      <c r="I953" s="14"/>
    </row>
    <row r="954">
      <c r="A954" s="14">
        <v>173.0</v>
      </c>
      <c r="B954" s="14">
        <v>8.3720816E7</v>
      </c>
      <c r="C954" s="14">
        <v>3.51562289E8</v>
      </c>
      <c r="D954" s="2" t="s">
        <v>1530</v>
      </c>
      <c r="E954" s="1" t="s">
        <v>107</v>
      </c>
      <c r="F954" s="14">
        <v>0.7832</v>
      </c>
      <c r="G954" s="15"/>
      <c r="H954" s="16"/>
      <c r="I954" s="14"/>
    </row>
    <row r="955">
      <c r="A955" s="14">
        <v>671.0</v>
      </c>
      <c r="B955" s="14">
        <v>9.0260098E7</v>
      </c>
      <c r="C955" s="14">
        <v>3.83015748E8</v>
      </c>
      <c r="D955" s="2" t="s">
        <v>1124</v>
      </c>
      <c r="E955" s="1" t="s">
        <v>107</v>
      </c>
      <c r="F955" s="14">
        <v>0.7825</v>
      </c>
      <c r="G955" s="15"/>
      <c r="H955" s="16"/>
      <c r="I955" s="14"/>
    </row>
    <row r="956">
      <c r="A956" s="14">
        <v>575.0</v>
      </c>
      <c r="B956" s="14">
        <v>6.4546036E7</v>
      </c>
      <c r="C956" s="14">
        <v>2.62494681E8</v>
      </c>
      <c r="D956" s="2" t="s">
        <v>2509</v>
      </c>
      <c r="E956" s="1" t="s">
        <v>107</v>
      </c>
      <c r="F956" s="14">
        <v>0.7818</v>
      </c>
      <c r="G956" s="15"/>
      <c r="H956" s="16"/>
      <c r="I956" s="14"/>
    </row>
    <row r="957">
      <c r="A957" s="14">
        <v>656.0</v>
      </c>
      <c r="B957" s="14">
        <v>3.6607273E7</v>
      </c>
      <c r="C957" s="14">
        <v>1.4572232E8</v>
      </c>
      <c r="D957" s="2" t="s">
        <v>2650</v>
      </c>
      <c r="E957" s="1" t="s">
        <v>107</v>
      </c>
      <c r="F957" s="14">
        <v>0.7814</v>
      </c>
      <c r="G957" s="15"/>
      <c r="H957" s="16"/>
      <c r="I957" s="14"/>
    </row>
    <row r="958">
      <c r="A958" s="14">
        <v>403.0</v>
      </c>
      <c r="B958" s="14">
        <v>5271988.0</v>
      </c>
      <c r="C958" s="14">
        <v>2.249696E7</v>
      </c>
      <c r="D958" s="2" t="s">
        <v>2651</v>
      </c>
      <c r="E958" s="1" t="s">
        <v>121</v>
      </c>
      <c r="F958" s="14">
        <v>0.7809</v>
      </c>
      <c r="G958" s="15"/>
      <c r="H958" s="16"/>
      <c r="I958" s="14"/>
    </row>
    <row r="959">
      <c r="A959" s="14">
        <v>571.0</v>
      </c>
      <c r="B959" s="14">
        <v>2673925.0</v>
      </c>
      <c r="C959" s="14">
        <v>2.9793853E7</v>
      </c>
      <c r="D959" s="2" t="s">
        <v>2653</v>
      </c>
      <c r="E959" s="1" t="s">
        <v>699</v>
      </c>
      <c r="F959" s="14">
        <v>0.7804</v>
      </c>
      <c r="G959" s="15"/>
      <c r="H959" s="16"/>
      <c r="I959" s="14"/>
    </row>
    <row r="960">
      <c r="A960" s="14">
        <v>602.0</v>
      </c>
      <c r="B960" s="14">
        <v>4531452.0</v>
      </c>
      <c r="C960" s="14">
        <v>1.9197829E7</v>
      </c>
      <c r="D960" s="2" t="s">
        <v>2654</v>
      </c>
      <c r="E960" s="1" t="s">
        <v>121</v>
      </c>
      <c r="F960" s="14">
        <v>0.7798</v>
      </c>
      <c r="G960" s="15"/>
      <c r="H960" s="16"/>
      <c r="I960" s="14"/>
    </row>
    <row r="961">
      <c r="A961" s="14">
        <v>641.0</v>
      </c>
      <c r="B961" s="14">
        <v>1908651.0</v>
      </c>
      <c r="C961" s="14">
        <v>2.3045338E7</v>
      </c>
      <c r="D961" s="2" t="s">
        <v>2655</v>
      </c>
      <c r="E961" s="1" t="s">
        <v>107</v>
      </c>
      <c r="F961" s="14">
        <v>0.779</v>
      </c>
      <c r="G961" s="15"/>
      <c r="H961" s="16"/>
      <c r="I961" s="14"/>
    </row>
    <row r="962">
      <c r="A962" s="14">
        <v>492.0</v>
      </c>
      <c r="B962" s="14">
        <v>5399052.0</v>
      </c>
      <c r="C962" s="14">
        <v>2.3062375E7</v>
      </c>
      <c r="D962" s="2" t="s">
        <v>2656</v>
      </c>
      <c r="E962" s="1" t="s">
        <v>107</v>
      </c>
      <c r="F962" s="14">
        <v>0.7783</v>
      </c>
      <c r="G962" s="15"/>
      <c r="H962" s="16"/>
      <c r="I962" s="14"/>
    </row>
    <row r="963">
      <c r="A963" s="14">
        <v>522.0</v>
      </c>
      <c r="B963" s="14">
        <v>1.6599642E7</v>
      </c>
      <c r="C963" s="14">
        <v>7.0386683E7</v>
      </c>
      <c r="D963" s="2" t="s">
        <v>2657</v>
      </c>
      <c r="E963" s="1" t="s">
        <v>107</v>
      </c>
      <c r="F963" s="14">
        <v>0.7783</v>
      </c>
      <c r="G963" s="15"/>
      <c r="H963" s="16"/>
      <c r="I963" s="14"/>
    </row>
    <row r="964">
      <c r="A964" s="14">
        <v>578.0</v>
      </c>
      <c r="B964" s="14">
        <v>4.6381877E7</v>
      </c>
      <c r="C964" s="14">
        <v>1.83320368E8</v>
      </c>
      <c r="D964" s="2" t="s">
        <v>2659</v>
      </c>
      <c r="E964" s="1" t="s">
        <v>107</v>
      </c>
      <c r="F964" s="14">
        <v>0.7783</v>
      </c>
      <c r="G964" s="15"/>
      <c r="H964" s="16"/>
      <c r="I964" s="14"/>
    </row>
    <row r="965">
      <c r="A965" s="14">
        <v>353.0</v>
      </c>
      <c r="B965" s="14">
        <v>8.6410615E7</v>
      </c>
      <c r="C965" s="14">
        <v>3.64642579E8</v>
      </c>
      <c r="D965" s="2" t="s">
        <v>1334</v>
      </c>
      <c r="E965" s="1" t="s">
        <v>107</v>
      </c>
      <c r="F965" s="14">
        <v>0.7783</v>
      </c>
      <c r="G965" s="15"/>
      <c r="H965" s="16"/>
      <c r="I965" s="14"/>
    </row>
    <row r="966">
      <c r="A966" s="14">
        <v>672.0</v>
      </c>
      <c r="B966" s="14">
        <v>1.12028521E8</v>
      </c>
      <c r="C966" s="14">
        <v>4.86803187E8</v>
      </c>
      <c r="D966" s="2" t="s">
        <v>38</v>
      </c>
      <c r="E966" s="1" t="s">
        <v>107</v>
      </c>
      <c r="F966" s="14">
        <v>0.7783</v>
      </c>
      <c r="G966" s="15"/>
      <c r="H966" s="16"/>
      <c r="I966" s="14"/>
    </row>
    <row r="967">
      <c r="A967" s="14">
        <v>571.0</v>
      </c>
      <c r="B967" s="14">
        <v>1.3017436E7</v>
      </c>
      <c r="C967" s="14">
        <v>1.93244584E8</v>
      </c>
      <c r="D967" s="2" t="s">
        <v>2663</v>
      </c>
      <c r="E967" s="1" t="s">
        <v>699</v>
      </c>
      <c r="F967" s="14">
        <v>0.7783</v>
      </c>
      <c r="G967" s="15"/>
      <c r="H967" s="16"/>
      <c r="I967" s="14"/>
    </row>
    <row r="968">
      <c r="A968" s="14">
        <v>602.0</v>
      </c>
      <c r="B968" s="14">
        <v>5.2775283E7</v>
      </c>
      <c r="C968" s="14">
        <v>2.09635999E8</v>
      </c>
      <c r="D968" s="2" t="s">
        <v>2664</v>
      </c>
      <c r="E968" s="1" t="s">
        <v>699</v>
      </c>
      <c r="F968" s="14">
        <v>0.7783</v>
      </c>
      <c r="G968" s="15"/>
      <c r="H968" s="16"/>
      <c r="I968" s="14"/>
    </row>
    <row r="969">
      <c r="A969" s="14">
        <v>678.0</v>
      </c>
      <c r="B969" s="14">
        <v>3.1713881E7</v>
      </c>
      <c r="C969" s="14">
        <v>1.27108004E8</v>
      </c>
      <c r="D969" s="2" t="s">
        <v>2666</v>
      </c>
      <c r="E969" s="1" t="s">
        <v>121</v>
      </c>
      <c r="F969" s="14">
        <v>0.7783</v>
      </c>
      <c r="G969" s="15"/>
      <c r="H969" s="16"/>
      <c r="I969" s="14"/>
    </row>
    <row r="970">
      <c r="A970" s="14">
        <v>571.0</v>
      </c>
      <c r="B970" s="14">
        <v>6.4554452E7</v>
      </c>
      <c r="C970" s="14">
        <v>3.79072981E8</v>
      </c>
      <c r="D970" s="2" t="s">
        <v>2507</v>
      </c>
      <c r="E970" s="1" t="s">
        <v>121</v>
      </c>
      <c r="F970" s="14">
        <v>0.7783</v>
      </c>
      <c r="G970" s="15"/>
      <c r="H970" s="16"/>
      <c r="I970" s="14"/>
    </row>
    <row r="971">
      <c r="A971" s="14">
        <v>587.0</v>
      </c>
      <c r="B971" s="14">
        <v>1.08048976E8</v>
      </c>
      <c r="C971" s="14">
        <v>4.695626E8</v>
      </c>
      <c r="D971" s="2" t="s">
        <v>213</v>
      </c>
      <c r="E971" s="1" t="s">
        <v>121</v>
      </c>
      <c r="F971" s="14">
        <v>0.7783</v>
      </c>
      <c r="G971" s="15"/>
      <c r="H971" s="16"/>
      <c r="I971" s="14"/>
    </row>
    <row r="972">
      <c r="A972" s="14">
        <v>129.0</v>
      </c>
      <c r="B972" s="14">
        <v>9.7068858E7</v>
      </c>
      <c r="C972" s="14">
        <v>4.14361032E8</v>
      </c>
      <c r="D972" s="2" t="s">
        <v>762</v>
      </c>
      <c r="E972" s="1" t="s">
        <v>107</v>
      </c>
      <c r="F972" s="14">
        <v>0.7778</v>
      </c>
      <c r="G972" s="15"/>
      <c r="H972" s="16"/>
      <c r="I972" s="14"/>
    </row>
    <row r="973">
      <c r="A973" s="14">
        <v>173.0</v>
      </c>
      <c r="B973" s="14">
        <v>1.10382509E8</v>
      </c>
      <c r="C973" s="14">
        <v>4.7813281E8</v>
      </c>
      <c r="D973" s="2" t="s">
        <v>72</v>
      </c>
      <c r="E973" s="1" t="s">
        <v>107</v>
      </c>
      <c r="F973" s="14">
        <v>0.7778</v>
      </c>
      <c r="G973" s="15"/>
      <c r="H973" s="16"/>
      <c r="I973" s="14"/>
    </row>
    <row r="974">
      <c r="A974" s="14">
        <v>142.0</v>
      </c>
      <c r="B974" s="14">
        <v>1.6890156E7</v>
      </c>
      <c r="C974" s="14">
        <v>7.1636066E7</v>
      </c>
      <c r="D974" s="2" t="s">
        <v>2673</v>
      </c>
      <c r="E974" s="1" t="s">
        <v>121</v>
      </c>
      <c r="F974" s="14">
        <v>0.7778</v>
      </c>
      <c r="G974" s="15"/>
      <c r="H974" s="16"/>
      <c r="I974" s="14"/>
    </row>
    <row r="975">
      <c r="A975" s="14">
        <v>398.0</v>
      </c>
      <c r="B975" s="14">
        <v>6.9490288E7</v>
      </c>
      <c r="C975" s="14">
        <v>2.86096706E8</v>
      </c>
      <c r="D975" s="2" t="s">
        <v>2256</v>
      </c>
      <c r="E975" s="1" t="s">
        <v>121</v>
      </c>
      <c r="F975" s="14">
        <v>0.7777</v>
      </c>
      <c r="G975" s="15"/>
      <c r="H975" s="16"/>
      <c r="I975" s="14"/>
    </row>
    <row r="976">
      <c r="A976" s="14">
        <v>244.0</v>
      </c>
      <c r="B976" s="14">
        <v>3884095.0</v>
      </c>
      <c r="C976" s="14">
        <v>1.6435592E7</v>
      </c>
      <c r="D976" s="2" t="s">
        <v>2679</v>
      </c>
      <c r="E976" s="1" t="s">
        <v>107</v>
      </c>
      <c r="F976" s="14">
        <v>0.7776</v>
      </c>
      <c r="G976" s="15"/>
      <c r="H976" s="16"/>
      <c r="I976" s="14"/>
    </row>
    <row r="977">
      <c r="A977" s="14">
        <v>414.0</v>
      </c>
      <c r="B977" s="14">
        <v>1.4574492E7</v>
      </c>
      <c r="C977" s="14">
        <v>6.2012733E7</v>
      </c>
      <c r="D977" s="2" t="s">
        <v>2682</v>
      </c>
      <c r="E977" s="1" t="s">
        <v>121</v>
      </c>
      <c r="F977" s="14">
        <v>0.7776</v>
      </c>
      <c r="G977" s="15"/>
      <c r="H977" s="16"/>
      <c r="I977" s="14"/>
    </row>
    <row r="978">
      <c r="A978" s="14">
        <v>571.0</v>
      </c>
      <c r="B978" s="14">
        <v>9.5528032E7</v>
      </c>
      <c r="C978" s="14">
        <v>4.06810368E8</v>
      </c>
      <c r="D978" s="2" t="s">
        <v>850</v>
      </c>
      <c r="E978" s="1" t="s">
        <v>121</v>
      </c>
      <c r="F978" s="14">
        <v>0.7776</v>
      </c>
      <c r="G978" s="15"/>
      <c r="H978" s="16"/>
      <c r="I978" s="14"/>
    </row>
    <row r="979">
      <c r="A979" s="14">
        <v>694.0</v>
      </c>
      <c r="B979" s="14">
        <v>1.3849103E7</v>
      </c>
      <c r="C979" s="14">
        <v>5.8866281E7</v>
      </c>
      <c r="D979" s="2" t="s">
        <v>2686</v>
      </c>
      <c r="E979" s="1" t="s">
        <v>121</v>
      </c>
      <c r="F979" s="14">
        <v>0.7773</v>
      </c>
      <c r="G979" s="15"/>
      <c r="H979" s="16"/>
      <c r="I979" s="14"/>
    </row>
    <row r="980">
      <c r="A980" s="14">
        <v>587.0</v>
      </c>
      <c r="B980" s="14">
        <v>4047583.0</v>
      </c>
      <c r="C980" s="14">
        <v>1.7121963E7</v>
      </c>
      <c r="D980" s="2" t="s">
        <v>2688</v>
      </c>
      <c r="E980" s="1" t="s">
        <v>107</v>
      </c>
      <c r="F980" s="14">
        <v>0.7772</v>
      </c>
      <c r="G980" s="15"/>
      <c r="H980" s="16"/>
      <c r="I980" s="14"/>
    </row>
    <row r="981">
      <c r="A981" s="14">
        <v>531.0</v>
      </c>
      <c r="B981" s="14">
        <v>1.6362657E7</v>
      </c>
      <c r="C981" s="14">
        <v>6.9412545E7</v>
      </c>
      <c r="D981" s="2" t="s">
        <v>2691</v>
      </c>
      <c r="E981" s="1" t="s">
        <v>121</v>
      </c>
      <c r="F981" s="14">
        <v>0.7771</v>
      </c>
      <c r="G981" s="15"/>
      <c r="H981" s="16"/>
      <c r="I981" s="14"/>
    </row>
    <row r="982">
      <c r="A982" s="14">
        <v>157.0</v>
      </c>
      <c r="B982" s="14">
        <v>227703.0</v>
      </c>
      <c r="C982" s="14">
        <v>946170.0</v>
      </c>
      <c r="D982" s="2" t="s">
        <v>2693</v>
      </c>
      <c r="E982" s="1" t="s">
        <v>121</v>
      </c>
      <c r="F982" s="14">
        <v>0.7769</v>
      </c>
      <c r="G982" s="15"/>
      <c r="H982" s="16"/>
      <c r="I982" s="14"/>
    </row>
    <row r="983">
      <c r="A983" s="14">
        <v>501.0</v>
      </c>
      <c r="B983" s="14">
        <v>2153405.0</v>
      </c>
      <c r="C983" s="14">
        <v>9254888.0</v>
      </c>
      <c r="D983" s="2" t="s">
        <v>2696</v>
      </c>
      <c r="E983" s="1" t="s">
        <v>121</v>
      </c>
      <c r="F983" s="14">
        <v>0.7766</v>
      </c>
      <c r="G983" s="15"/>
      <c r="H983" s="16"/>
      <c r="I983" s="14"/>
    </row>
    <row r="984">
      <c r="A984" s="14">
        <v>410.0</v>
      </c>
      <c r="B984" s="14">
        <v>3112892.0</v>
      </c>
      <c r="C984" s="14">
        <v>1.3206469E7</v>
      </c>
      <c r="D984" s="2" t="s">
        <v>2698</v>
      </c>
      <c r="E984" s="1" t="s">
        <v>107</v>
      </c>
      <c r="F984" s="14">
        <v>0.7764</v>
      </c>
      <c r="G984" s="15"/>
      <c r="H984" s="16"/>
      <c r="I984" s="14"/>
    </row>
    <row r="985">
      <c r="A985" s="14">
        <v>401.0</v>
      </c>
      <c r="B985" s="14">
        <v>5734460.0</v>
      </c>
      <c r="C985" s="14">
        <v>2.4557412E7</v>
      </c>
      <c r="D985" s="2" t="s">
        <v>2700</v>
      </c>
      <c r="E985" s="1" t="s">
        <v>121</v>
      </c>
      <c r="F985" s="14">
        <v>0.7761</v>
      </c>
      <c r="G985" s="15"/>
      <c r="H985" s="16"/>
      <c r="I985" s="14"/>
    </row>
    <row r="986">
      <c r="A986" s="14">
        <v>216.0</v>
      </c>
      <c r="B986" s="14">
        <v>698102.0</v>
      </c>
      <c r="C986" s="14">
        <v>3387262.0</v>
      </c>
      <c r="D986" s="2" t="s">
        <v>2702</v>
      </c>
      <c r="E986" s="1" t="s">
        <v>107</v>
      </c>
      <c r="F986" s="14">
        <v>0.7757</v>
      </c>
      <c r="G986" s="15"/>
      <c r="H986" s="16"/>
      <c r="I986" s="14"/>
    </row>
    <row r="987">
      <c r="A987" s="14">
        <v>213.0</v>
      </c>
      <c r="B987" s="14">
        <v>8.6117788E7</v>
      </c>
      <c r="C987" s="14">
        <v>3.63706226E8</v>
      </c>
      <c r="D987" s="2" t="s">
        <v>1359</v>
      </c>
      <c r="E987" s="1" t="s">
        <v>107</v>
      </c>
      <c r="F987" s="14">
        <v>0.7755</v>
      </c>
      <c r="G987" s="15"/>
      <c r="H987" s="16"/>
      <c r="I987" s="14"/>
    </row>
    <row r="988">
      <c r="A988" s="14">
        <v>656.0</v>
      </c>
      <c r="B988" s="14">
        <v>6343055.0</v>
      </c>
      <c r="C988" s="14">
        <v>2.6997266E7</v>
      </c>
      <c r="D988" s="2" t="s">
        <v>2705</v>
      </c>
      <c r="E988" s="1" t="s">
        <v>121</v>
      </c>
      <c r="F988" s="14">
        <v>0.7746</v>
      </c>
      <c r="G988" s="15"/>
      <c r="H988" s="16"/>
      <c r="I988" s="14"/>
    </row>
    <row r="989">
      <c r="A989" s="14">
        <v>664.0</v>
      </c>
      <c r="B989" s="14">
        <v>1.05646105E8</v>
      </c>
      <c r="C989" s="14">
        <v>4.55225993E8</v>
      </c>
      <c r="D989" s="2" t="s">
        <v>324</v>
      </c>
      <c r="E989" s="1" t="s">
        <v>107</v>
      </c>
      <c r="F989" s="14">
        <v>0.7744</v>
      </c>
      <c r="G989" s="15"/>
      <c r="H989" s="16"/>
      <c r="I989" s="14"/>
    </row>
    <row r="990">
      <c r="A990" s="14">
        <v>671.0</v>
      </c>
      <c r="B990" s="14">
        <v>1.1070441E7</v>
      </c>
      <c r="C990" s="14">
        <v>5.6312673E7</v>
      </c>
      <c r="D990" s="2" t="s">
        <v>2710</v>
      </c>
      <c r="E990" s="1" t="s">
        <v>107</v>
      </c>
      <c r="F990" s="14">
        <v>0.7741</v>
      </c>
      <c r="G990" s="15"/>
      <c r="H990" s="16"/>
      <c r="I990" s="14"/>
    </row>
    <row r="991">
      <c r="A991" s="14">
        <v>380.0</v>
      </c>
      <c r="B991" s="14">
        <v>1.1100503E7</v>
      </c>
      <c r="C991" s="14">
        <v>4.7202626E7</v>
      </c>
      <c r="D991" s="2" t="s">
        <v>2713</v>
      </c>
      <c r="E991" s="1" t="s">
        <v>121</v>
      </c>
      <c r="F991" s="14">
        <v>0.7741</v>
      </c>
      <c r="G991" s="15"/>
      <c r="H991" s="16"/>
      <c r="I991" s="14"/>
    </row>
    <row r="992">
      <c r="A992" s="14">
        <v>194.0</v>
      </c>
      <c r="B992" s="14">
        <v>8.6843713E7</v>
      </c>
      <c r="C992" s="14">
        <v>3.67060564E8</v>
      </c>
      <c r="D992" s="2" t="s">
        <v>1304</v>
      </c>
      <c r="E992" s="1" t="s">
        <v>107</v>
      </c>
      <c r="F992" s="14">
        <v>0.7732</v>
      </c>
      <c r="G992" s="15"/>
      <c r="H992" s="16"/>
      <c r="I992" s="14"/>
    </row>
    <row r="993">
      <c r="A993" s="14">
        <v>601.0</v>
      </c>
      <c r="B993" s="14">
        <v>2462682.0</v>
      </c>
      <c r="C993" s="14">
        <v>3.5110807E7</v>
      </c>
      <c r="D993" s="2" t="s">
        <v>2717</v>
      </c>
      <c r="E993" s="1" t="s">
        <v>107</v>
      </c>
      <c r="F993" s="14">
        <v>0.7717</v>
      </c>
      <c r="G993" s="15"/>
      <c r="H993" s="16"/>
      <c r="I993" s="14"/>
    </row>
    <row r="994">
      <c r="A994" s="14">
        <v>142.0</v>
      </c>
      <c r="B994" s="14">
        <v>3016592.0</v>
      </c>
      <c r="C994" s="14">
        <v>1.2843234E7</v>
      </c>
      <c r="D994" s="2" t="s">
        <v>2718</v>
      </c>
      <c r="E994" s="1" t="s">
        <v>107</v>
      </c>
      <c r="F994" s="14">
        <v>0.7717</v>
      </c>
      <c r="G994" s="15"/>
      <c r="H994" s="16"/>
      <c r="I994" s="14"/>
    </row>
    <row r="995">
      <c r="A995" s="14">
        <v>504.0</v>
      </c>
      <c r="B995" s="14">
        <v>9835889.0</v>
      </c>
      <c r="C995" s="14">
        <v>4.1734266E7</v>
      </c>
      <c r="D995" s="2" t="s">
        <v>2719</v>
      </c>
      <c r="E995" s="1" t="s">
        <v>107</v>
      </c>
      <c r="F995" s="14">
        <v>0.7717</v>
      </c>
      <c r="G995" s="15"/>
      <c r="H995" s="16"/>
      <c r="I995" s="14"/>
    </row>
    <row r="996">
      <c r="A996" s="14">
        <v>571.0</v>
      </c>
      <c r="B996" s="14">
        <v>1.1532779E7</v>
      </c>
      <c r="C996" s="14">
        <v>1.83327399E8</v>
      </c>
      <c r="D996" s="2" t="s">
        <v>2721</v>
      </c>
      <c r="E996" s="1" t="s">
        <v>107</v>
      </c>
      <c r="F996" s="14">
        <v>0.7717</v>
      </c>
      <c r="G996" s="15"/>
      <c r="H996" s="16"/>
      <c r="I996" s="14"/>
    </row>
    <row r="997">
      <c r="A997" s="14">
        <v>395.0</v>
      </c>
      <c r="B997" s="14">
        <v>1.2225953E7</v>
      </c>
      <c r="C997" s="14">
        <v>5.1976614E7</v>
      </c>
      <c r="D997" s="2" t="s">
        <v>2724</v>
      </c>
      <c r="E997" s="1" t="s">
        <v>107</v>
      </c>
      <c r="F997" s="14">
        <v>0.7717</v>
      </c>
      <c r="G997" s="15"/>
      <c r="H997" s="16"/>
      <c r="I997" s="14"/>
    </row>
    <row r="998">
      <c r="A998" s="14">
        <v>353.0</v>
      </c>
      <c r="B998" s="14">
        <v>5.2541965E7</v>
      </c>
      <c r="C998" s="14">
        <v>2.08526707E8</v>
      </c>
      <c r="D998" s="2" t="s">
        <v>2726</v>
      </c>
      <c r="E998" s="1" t="s">
        <v>107</v>
      </c>
      <c r="F998" s="14">
        <v>0.7717</v>
      </c>
      <c r="G998" s="15"/>
      <c r="H998" s="16"/>
      <c r="I998" s="14"/>
    </row>
    <row r="999">
      <c r="A999" s="14">
        <v>244.0</v>
      </c>
      <c r="B999" s="14">
        <v>9.4825802E7</v>
      </c>
      <c r="C999" s="14">
        <v>4.03393568E8</v>
      </c>
      <c r="D999" s="2" t="s">
        <v>887</v>
      </c>
      <c r="E999" s="1" t="s">
        <v>107</v>
      </c>
      <c r="F999" s="14">
        <v>0.7717</v>
      </c>
      <c r="G999" s="15"/>
      <c r="H999" s="16"/>
      <c r="I999" s="14"/>
    </row>
    <row r="1000">
      <c r="A1000" s="14">
        <v>587.0</v>
      </c>
      <c r="B1000" s="14">
        <v>1.03635415E8</v>
      </c>
      <c r="C1000" s="14">
        <v>4.48208695E8</v>
      </c>
      <c r="D1000" s="2" t="s">
        <v>394</v>
      </c>
      <c r="E1000" s="1" t="s">
        <v>107</v>
      </c>
      <c r="F1000" s="14">
        <v>0.7717</v>
      </c>
      <c r="G1000" s="15"/>
      <c r="H1000" s="16"/>
      <c r="I1000" s="14"/>
    </row>
    <row r="1001">
      <c r="A1001" s="14">
        <v>661.0</v>
      </c>
      <c r="B1001" s="14">
        <v>4551195.0</v>
      </c>
      <c r="C1001" s="14">
        <v>3.58334852E8</v>
      </c>
      <c r="D1001" s="2" t="s">
        <v>2733</v>
      </c>
      <c r="E1001" s="1" t="s">
        <v>699</v>
      </c>
      <c r="F1001" s="14">
        <v>0.7717</v>
      </c>
      <c r="G1001" s="15"/>
      <c r="H1001" s="16"/>
      <c r="I1001" s="14"/>
    </row>
    <row r="1002">
      <c r="A1002" s="14">
        <v>671.0</v>
      </c>
      <c r="B1002" s="14">
        <v>7.9422659E7</v>
      </c>
      <c r="C1002" s="14">
        <v>3.31494813E8</v>
      </c>
      <c r="D1002" s="2" t="s">
        <v>1772</v>
      </c>
      <c r="E1002" s="1" t="s">
        <v>699</v>
      </c>
      <c r="F1002" s="14">
        <v>0.7717</v>
      </c>
      <c r="G1002" s="15"/>
      <c r="H1002" s="16"/>
      <c r="I1002" s="14"/>
    </row>
    <row r="1003">
      <c r="A1003" s="14">
        <v>120.0</v>
      </c>
      <c r="B1003" s="14">
        <v>503497.0</v>
      </c>
      <c r="C1003" s="14">
        <v>2398587.0</v>
      </c>
      <c r="D1003" s="2" t="s">
        <v>2737</v>
      </c>
      <c r="E1003" s="1" t="s">
        <v>121</v>
      </c>
      <c r="F1003" s="14">
        <v>0.7717</v>
      </c>
      <c r="G1003" s="15"/>
      <c r="H1003" s="16"/>
      <c r="I1003" s="14"/>
    </row>
    <row r="1004">
      <c r="A1004" s="14">
        <v>678.0</v>
      </c>
      <c r="B1004" s="14">
        <v>5169824.0</v>
      </c>
      <c r="C1004" s="14">
        <v>2.2032131E7</v>
      </c>
      <c r="D1004" s="2" t="s">
        <v>2740</v>
      </c>
      <c r="E1004" s="1" t="s">
        <v>121</v>
      </c>
      <c r="F1004" s="14">
        <v>0.7717</v>
      </c>
      <c r="G1004" s="15"/>
      <c r="H1004" s="16"/>
      <c r="I1004" s="14"/>
    </row>
    <row r="1005">
      <c r="A1005" s="14">
        <v>671.0</v>
      </c>
      <c r="B1005" s="14">
        <v>5195620.0</v>
      </c>
      <c r="C1005" s="14">
        <v>2.2142771E7</v>
      </c>
      <c r="D1005" s="2" t="s">
        <v>2743</v>
      </c>
      <c r="E1005" s="1" t="s">
        <v>121</v>
      </c>
      <c r="F1005" s="14">
        <v>0.7717</v>
      </c>
      <c r="G1005" s="15"/>
      <c r="H1005" s="16"/>
      <c r="I1005" s="14"/>
    </row>
    <row r="1006">
      <c r="A1006" s="14">
        <v>676.0</v>
      </c>
      <c r="B1006" s="14">
        <v>9739843.0</v>
      </c>
      <c r="C1006" s="14">
        <v>4.1336697E7</v>
      </c>
      <c r="D1006" s="2" t="s">
        <v>2747</v>
      </c>
      <c r="E1006" s="1" t="s">
        <v>121</v>
      </c>
      <c r="F1006" s="14">
        <v>0.7717</v>
      </c>
      <c r="G1006" s="15"/>
      <c r="H1006" s="16"/>
      <c r="I1006" s="14"/>
    </row>
    <row r="1007">
      <c r="A1007" s="14">
        <v>320.0</v>
      </c>
      <c r="B1007" s="14">
        <v>5.9371725E7</v>
      </c>
      <c r="C1007" s="14">
        <v>2.37666484E8</v>
      </c>
      <c r="D1007" s="2" t="s">
        <v>2712</v>
      </c>
      <c r="E1007" s="1" t="s">
        <v>107</v>
      </c>
      <c r="F1007" s="14">
        <v>0.7712</v>
      </c>
      <c r="G1007" s="15"/>
      <c r="H1007" s="16"/>
      <c r="I1007" s="14"/>
    </row>
    <row r="1008">
      <c r="A1008" s="14">
        <v>596.0</v>
      </c>
      <c r="B1008" s="14">
        <v>5.0369547E7</v>
      </c>
      <c r="C1008" s="14">
        <v>1.99438784E8</v>
      </c>
      <c r="D1008" s="2" t="s">
        <v>2751</v>
      </c>
      <c r="E1008" s="1" t="s">
        <v>699</v>
      </c>
      <c r="F1008" s="14">
        <v>0.7712</v>
      </c>
      <c r="G1008" s="15"/>
      <c r="H1008" s="16"/>
      <c r="I1008" s="14"/>
    </row>
    <row r="1009">
      <c r="A1009" s="14">
        <v>504.0</v>
      </c>
      <c r="B1009" s="14">
        <v>8.4907036E7</v>
      </c>
      <c r="C1009" s="14">
        <v>3.57508252E8</v>
      </c>
      <c r="D1009" s="2" t="s">
        <v>1432</v>
      </c>
      <c r="E1009" s="1" t="s">
        <v>121</v>
      </c>
      <c r="F1009" s="14">
        <v>0.7707</v>
      </c>
      <c r="G1009" s="15"/>
      <c r="H1009" s="16"/>
      <c r="I1009" s="14"/>
    </row>
    <row r="1010">
      <c r="A1010" s="14">
        <v>713.0</v>
      </c>
      <c r="B1010" s="14">
        <v>6724401.0</v>
      </c>
      <c r="C1010" s="14">
        <v>2.860628E7</v>
      </c>
      <c r="D1010" s="2" t="s">
        <v>2757</v>
      </c>
      <c r="E1010" s="1" t="s">
        <v>121</v>
      </c>
      <c r="F1010" s="14">
        <v>0.7696</v>
      </c>
      <c r="G1010" s="15"/>
      <c r="H1010" s="16"/>
      <c r="I1010" s="14"/>
    </row>
    <row r="1011">
      <c r="A1011" s="14">
        <v>285.0</v>
      </c>
      <c r="B1011" s="14">
        <v>1.6958592E7</v>
      </c>
      <c r="C1011" s="14">
        <v>7.1887605E7</v>
      </c>
      <c r="D1011" s="2" t="s">
        <v>2759</v>
      </c>
      <c r="E1011" s="1" t="s">
        <v>107</v>
      </c>
      <c r="F1011" s="14">
        <v>0.7689</v>
      </c>
      <c r="G1011" s="15"/>
      <c r="H1011" s="16"/>
      <c r="I1011" s="14"/>
    </row>
    <row r="1012">
      <c r="A1012" s="14">
        <v>239.0</v>
      </c>
      <c r="B1012" s="14">
        <v>327749.0</v>
      </c>
      <c r="C1012" s="14">
        <v>1404492.0</v>
      </c>
      <c r="D1012" s="2" t="s">
        <v>2761</v>
      </c>
      <c r="E1012" s="1" t="s">
        <v>121</v>
      </c>
      <c r="F1012" s="14">
        <v>0.7684</v>
      </c>
      <c r="G1012" s="15"/>
      <c r="H1012" s="16"/>
      <c r="I1012" s="14"/>
    </row>
    <row r="1013">
      <c r="A1013" s="14">
        <v>203.0</v>
      </c>
      <c r="B1013" s="14">
        <v>967666.0</v>
      </c>
      <c r="C1013" s="14">
        <v>4469634.0</v>
      </c>
      <c r="D1013" s="2" t="s">
        <v>2763</v>
      </c>
      <c r="E1013" s="1" t="s">
        <v>121</v>
      </c>
      <c r="F1013" s="14">
        <v>0.7684</v>
      </c>
      <c r="G1013" s="15"/>
      <c r="H1013" s="16"/>
      <c r="I1013" s="14"/>
    </row>
    <row r="1014">
      <c r="A1014" s="14">
        <v>120.0</v>
      </c>
      <c r="B1014" s="14">
        <v>4113999.0</v>
      </c>
      <c r="C1014" s="14">
        <v>1.7453838E7</v>
      </c>
      <c r="D1014" s="2" t="s">
        <v>2765</v>
      </c>
      <c r="E1014" s="1" t="s">
        <v>121</v>
      </c>
      <c r="F1014" s="14">
        <v>0.7684</v>
      </c>
      <c r="G1014" s="15"/>
      <c r="H1014" s="16"/>
      <c r="I1014" s="14"/>
    </row>
    <row r="1015">
      <c r="A1015" s="14">
        <v>353.0</v>
      </c>
      <c r="B1015" s="14">
        <v>2.8263644E7</v>
      </c>
      <c r="C1015" s="14">
        <v>1.94859402E8</v>
      </c>
      <c r="D1015" s="2" t="s">
        <v>2767</v>
      </c>
      <c r="E1015" s="1" t="s">
        <v>121</v>
      </c>
      <c r="F1015" s="14">
        <v>0.7684</v>
      </c>
      <c r="G1015" s="15"/>
      <c r="H1015" s="16"/>
      <c r="I1015" s="14"/>
    </row>
    <row r="1016">
      <c r="A1016" s="14">
        <v>565.0</v>
      </c>
      <c r="B1016" s="14">
        <v>6.9352058E7</v>
      </c>
      <c r="C1016" s="14">
        <v>2.85375722E8</v>
      </c>
      <c r="D1016" s="2" t="s">
        <v>2265</v>
      </c>
      <c r="E1016" s="1" t="s">
        <v>121</v>
      </c>
      <c r="F1016" s="14">
        <v>0.7672</v>
      </c>
      <c r="G1016" s="15"/>
      <c r="H1016" s="16"/>
      <c r="I1016" s="14"/>
    </row>
    <row r="1017">
      <c r="A1017" s="14">
        <v>571.0</v>
      </c>
      <c r="B1017" s="14">
        <v>1.09347708E8</v>
      </c>
      <c r="C1017" s="14">
        <v>4.73286041E8</v>
      </c>
      <c r="D1017" s="2" t="s">
        <v>120</v>
      </c>
      <c r="E1017" s="1" t="s">
        <v>107</v>
      </c>
      <c r="F1017" s="14">
        <v>0.7651</v>
      </c>
      <c r="G1017" s="15"/>
      <c r="H1017" s="16"/>
      <c r="I1017" s="14"/>
    </row>
    <row r="1018">
      <c r="A1018" s="14">
        <v>120.0</v>
      </c>
      <c r="B1018" s="14">
        <v>108219.0</v>
      </c>
      <c r="C1018" s="14">
        <v>410334.0</v>
      </c>
      <c r="D1018" s="2" t="s">
        <v>2772</v>
      </c>
      <c r="E1018" s="1" t="s">
        <v>107</v>
      </c>
      <c r="F1018" s="14">
        <v>0.765</v>
      </c>
      <c r="G1018" s="15"/>
      <c r="H1018" s="16"/>
      <c r="I1018" s="14"/>
    </row>
    <row r="1019">
      <c r="A1019" s="14">
        <v>129.0</v>
      </c>
      <c r="B1019" s="14">
        <v>427982.0</v>
      </c>
      <c r="C1019" s="14">
        <v>1958259.0</v>
      </c>
      <c r="D1019" s="2" t="s">
        <v>2774</v>
      </c>
      <c r="E1019" s="1" t="s">
        <v>107</v>
      </c>
      <c r="F1019" s="14">
        <v>0.765</v>
      </c>
      <c r="G1019" s="15"/>
      <c r="H1019" s="16"/>
      <c r="I1019" s="14"/>
    </row>
    <row r="1020">
      <c r="A1020" s="14">
        <v>285.0</v>
      </c>
      <c r="B1020" s="14">
        <v>1076558.0</v>
      </c>
      <c r="C1020" s="14">
        <v>4882833.0</v>
      </c>
      <c r="D1020" s="2" t="s">
        <v>2776</v>
      </c>
      <c r="E1020" s="1" t="s">
        <v>107</v>
      </c>
      <c r="F1020" s="14">
        <v>0.765</v>
      </c>
      <c r="G1020" s="15"/>
      <c r="H1020" s="16"/>
      <c r="I1020" s="14"/>
    </row>
    <row r="1021">
      <c r="A1021" s="14">
        <v>610.0</v>
      </c>
      <c r="B1021" s="14">
        <v>3722119.0</v>
      </c>
      <c r="C1021" s="14">
        <v>2.59962823E8</v>
      </c>
      <c r="D1021" s="2" t="s">
        <v>2777</v>
      </c>
      <c r="E1021" s="1" t="s">
        <v>107</v>
      </c>
      <c r="F1021" s="14">
        <v>0.765</v>
      </c>
      <c r="G1021" s="15"/>
      <c r="H1021" s="16"/>
      <c r="I1021" s="14"/>
    </row>
    <row r="1022">
      <c r="A1022" s="14">
        <v>488.0</v>
      </c>
      <c r="B1022" s="14">
        <v>4151755.0</v>
      </c>
      <c r="C1022" s="14">
        <v>1.7817499E7</v>
      </c>
      <c r="D1022" s="2" t="s">
        <v>2778</v>
      </c>
      <c r="E1022" s="1" t="s">
        <v>107</v>
      </c>
      <c r="F1022" s="14">
        <v>0.765</v>
      </c>
      <c r="G1022" s="15"/>
      <c r="H1022" s="16"/>
      <c r="I1022" s="14"/>
    </row>
    <row r="1023">
      <c r="A1023" s="14">
        <v>671.0</v>
      </c>
      <c r="B1023" s="14">
        <v>5703619.0</v>
      </c>
      <c r="C1023" s="14">
        <v>2.4423075E7</v>
      </c>
      <c r="D1023" s="2" t="s">
        <v>2781</v>
      </c>
      <c r="E1023" s="1" t="s">
        <v>107</v>
      </c>
      <c r="F1023" s="14">
        <v>0.765</v>
      </c>
      <c r="G1023" s="15"/>
      <c r="H1023" s="16"/>
      <c r="I1023" s="14"/>
    </row>
    <row r="1024">
      <c r="A1024" s="14">
        <v>378.0</v>
      </c>
      <c r="B1024" s="14">
        <v>8433166.0</v>
      </c>
      <c r="C1024" s="14">
        <v>3.5719525E7</v>
      </c>
      <c r="D1024" s="2" t="s">
        <v>2782</v>
      </c>
      <c r="E1024" s="1" t="s">
        <v>107</v>
      </c>
      <c r="F1024" s="14">
        <v>0.765</v>
      </c>
      <c r="G1024" s="15"/>
      <c r="H1024" s="16"/>
      <c r="I1024" s="14"/>
    </row>
    <row r="1025">
      <c r="A1025" s="14">
        <v>380.0</v>
      </c>
      <c r="B1025" s="14">
        <v>8793368.0</v>
      </c>
      <c r="C1025" s="14">
        <v>3.7290072E7</v>
      </c>
      <c r="D1025" s="2" t="s">
        <v>2785</v>
      </c>
      <c r="E1025" s="1" t="s">
        <v>107</v>
      </c>
      <c r="F1025" s="14">
        <v>0.765</v>
      </c>
      <c r="G1025" s="15"/>
      <c r="H1025" s="16"/>
      <c r="I1025" s="14"/>
    </row>
    <row r="1026">
      <c r="A1026" s="14">
        <v>671.0</v>
      </c>
      <c r="B1026" s="14">
        <v>1.3732244E7</v>
      </c>
      <c r="C1026" s="14">
        <v>5.826846E7</v>
      </c>
      <c r="D1026" s="2" t="s">
        <v>2788</v>
      </c>
      <c r="E1026" s="1" t="s">
        <v>107</v>
      </c>
      <c r="F1026" s="14">
        <v>0.765</v>
      </c>
      <c r="G1026" s="15"/>
      <c r="H1026" s="16"/>
      <c r="I1026" s="14"/>
    </row>
    <row r="1027">
      <c r="A1027" s="14">
        <v>392.0</v>
      </c>
      <c r="B1027" s="14">
        <v>2.8162895E7</v>
      </c>
      <c r="C1027" s="14">
        <v>1.13669778E8</v>
      </c>
      <c r="D1027" s="2" t="s">
        <v>2790</v>
      </c>
      <c r="E1027" s="1" t="s">
        <v>107</v>
      </c>
      <c r="F1027" s="14">
        <v>0.765</v>
      </c>
      <c r="G1027" s="15"/>
      <c r="H1027" s="16"/>
      <c r="I1027" s="14"/>
    </row>
    <row r="1028">
      <c r="A1028" s="14">
        <v>601.0</v>
      </c>
      <c r="B1028" s="14">
        <v>2.8293701E7</v>
      </c>
      <c r="C1028" s="14">
        <v>2.23233488E8</v>
      </c>
      <c r="D1028" s="2" t="s">
        <v>2792</v>
      </c>
      <c r="E1028" s="1" t="s">
        <v>107</v>
      </c>
      <c r="F1028" s="14">
        <v>0.765</v>
      </c>
      <c r="G1028" s="15"/>
      <c r="H1028" s="16"/>
      <c r="I1028" s="14"/>
    </row>
    <row r="1029">
      <c r="A1029" s="14">
        <v>565.0</v>
      </c>
      <c r="B1029" s="14">
        <v>4.5740845E7</v>
      </c>
      <c r="C1029" s="14">
        <v>1.80727019E8</v>
      </c>
      <c r="D1029" s="2" t="s">
        <v>2793</v>
      </c>
      <c r="E1029" s="1" t="s">
        <v>107</v>
      </c>
      <c r="F1029" s="14">
        <v>0.765</v>
      </c>
      <c r="G1029" s="15"/>
      <c r="H1029" s="16"/>
      <c r="I1029" s="14"/>
    </row>
    <row r="1030">
      <c r="A1030" s="14">
        <v>571.0</v>
      </c>
      <c r="B1030" s="14">
        <v>5.1475362E7</v>
      </c>
      <c r="C1030" s="14">
        <v>2.04310861E8</v>
      </c>
      <c r="D1030" s="2" t="s">
        <v>2795</v>
      </c>
      <c r="E1030" s="1" t="s">
        <v>107</v>
      </c>
      <c r="F1030" s="14">
        <v>0.765</v>
      </c>
      <c r="G1030" s="15"/>
      <c r="H1030" s="16"/>
      <c r="I1030" s="14"/>
    </row>
    <row r="1031">
      <c r="A1031" s="14">
        <v>603.0</v>
      </c>
      <c r="B1031" s="14">
        <v>5.3156534E7</v>
      </c>
      <c r="C1031" s="14">
        <v>2.11191925E8</v>
      </c>
      <c r="D1031" s="2" t="s">
        <v>2798</v>
      </c>
      <c r="E1031" s="1" t="s">
        <v>107</v>
      </c>
      <c r="F1031" s="14">
        <v>0.765</v>
      </c>
      <c r="G1031" s="15"/>
      <c r="H1031" s="16"/>
      <c r="I1031" s="14"/>
    </row>
    <row r="1032">
      <c r="A1032" s="14">
        <v>337.0</v>
      </c>
      <c r="B1032" s="14">
        <v>5.4043677E7</v>
      </c>
      <c r="C1032" s="14">
        <v>2.14675723E8</v>
      </c>
      <c r="D1032" s="2" t="s">
        <v>2800</v>
      </c>
      <c r="E1032" s="1" t="s">
        <v>107</v>
      </c>
      <c r="F1032" s="14">
        <v>0.765</v>
      </c>
      <c r="G1032" s="15"/>
      <c r="H1032" s="16"/>
      <c r="I1032" s="14"/>
    </row>
    <row r="1033">
      <c r="A1033" s="14">
        <v>394.0</v>
      </c>
      <c r="B1033" s="14">
        <v>5.8467432E7</v>
      </c>
      <c r="C1033" s="14">
        <v>2.33214432E8</v>
      </c>
      <c r="D1033" s="2" t="s">
        <v>2739</v>
      </c>
      <c r="E1033" s="1" t="s">
        <v>107</v>
      </c>
      <c r="F1033" s="14">
        <v>0.765</v>
      </c>
      <c r="G1033" s="15"/>
      <c r="H1033" s="16"/>
      <c r="I1033" s="14"/>
    </row>
    <row r="1034">
      <c r="A1034" s="14">
        <v>210.0</v>
      </c>
      <c r="B1034" s="14">
        <v>6.1441192E7</v>
      </c>
      <c r="C1034" s="14">
        <v>2.54642659E8</v>
      </c>
      <c r="D1034" s="2" t="s">
        <v>2633</v>
      </c>
      <c r="E1034" s="1" t="s">
        <v>107</v>
      </c>
      <c r="F1034" s="14">
        <v>0.765</v>
      </c>
      <c r="G1034" s="15"/>
      <c r="H1034" s="16"/>
      <c r="I1034" s="14"/>
    </row>
    <row r="1035">
      <c r="A1035" s="14">
        <v>215.0</v>
      </c>
      <c r="B1035" s="14">
        <v>6.4323696E7</v>
      </c>
      <c r="C1035" s="14">
        <v>2.62113524E8</v>
      </c>
      <c r="D1035" s="2" t="s">
        <v>2522</v>
      </c>
      <c r="E1035" s="1" t="s">
        <v>107</v>
      </c>
      <c r="F1035" s="14">
        <v>0.765</v>
      </c>
      <c r="G1035" s="15"/>
      <c r="H1035" s="16"/>
      <c r="I1035" s="14"/>
    </row>
    <row r="1036">
      <c r="A1036" s="14">
        <v>571.0</v>
      </c>
      <c r="B1036" s="14">
        <v>6.5596723E7</v>
      </c>
      <c r="C1036" s="14">
        <v>2.67363767E8</v>
      </c>
      <c r="D1036" s="2" t="s">
        <v>2467</v>
      </c>
      <c r="E1036" s="1" t="s">
        <v>107</v>
      </c>
      <c r="F1036" s="14">
        <v>0.765</v>
      </c>
      <c r="G1036" s="15"/>
      <c r="H1036" s="16"/>
      <c r="I1036" s="14"/>
    </row>
    <row r="1037">
      <c r="A1037" s="14">
        <v>403.0</v>
      </c>
      <c r="B1037" s="14">
        <v>6.7062958E7</v>
      </c>
      <c r="C1037" s="14">
        <v>2.74569948E8</v>
      </c>
      <c r="D1037" s="2" t="s">
        <v>2382</v>
      </c>
      <c r="E1037" s="1" t="s">
        <v>107</v>
      </c>
      <c r="F1037" s="14">
        <v>0.765</v>
      </c>
      <c r="G1037" s="15"/>
      <c r="H1037" s="16"/>
      <c r="I1037" s="14"/>
    </row>
    <row r="1038">
      <c r="A1038" s="14">
        <v>173.0</v>
      </c>
      <c r="B1038" s="14">
        <v>6.7739564E7</v>
      </c>
      <c r="C1038" s="14">
        <v>2.77810772E8</v>
      </c>
      <c r="D1038" s="2" t="s">
        <v>2352</v>
      </c>
      <c r="E1038" s="1" t="s">
        <v>107</v>
      </c>
      <c r="F1038" s="14">
        <v>0.765</v>
      </c>
      <c r="G1038" s="15"/>
      <c r="H1038" s="16"/>
      <c r="I1038" s="14"/>
    </row>
    <row r="1039">
      <c r="A1039" s="14">
        <v>173.0</v>
      </c>
      <c r="B1039" s="14">
        <v>6.7757054E7</v>
      </c>
      <c r="C1039" s="14">
        <v>2.77830081E8</v>
      </c>
      <c r="D1039" s="2" t="s">
        <v>2350</v>
      </c>
      <c r="E1039" s="1" t="s">
        <v>107</v>
      </c>
      <c r="F1039" s="14">
        <v>0.765</v>
      </c>
      <c r="G1039" s="15"/>
      <c r="H1039" s="16"/>
      <c r="I1039" s="14"/>
    </row>
    <row r="1040">
      <c r="A1040" s="14">
        <v>645.0</v>
      </c>
      <c r="B1040" s="14">
        <v>7.0413551E7</v>
      </c>
      <c r="C1040" s="14">
        <v>2.91528032E8</v>
      </c>
      <c r="D1040" s="2" t="s">
        <v>2194</v>
      </c>
      <c r="E1040" s="1" t="s">
        <v>107</v>
      </c>
      <c r="F1040" s="14">
        <v>0.765</v>
      </c>
      <c r="G1040" s="15"/>
      <c r="H1040" s="16"/>
      <c r="I1040" s="14"/>
    </row>
    <row r="1041">
      <c r="A1041" s="14">
        <v>671.0</v>
      </c>
      <c r="B1041" s="14">
        <v>7.2671479E7</v>
      </c>
      <c r="C1041" s="14">
        <v>3.0036931E8</v>
      </c>
      <c r="D1041" s="2" t="s">
        <v>2098</v>
      </c>
      <c r="E1041" s="1" t="s">
        <v>107</v>
      </c>
      <c r="F1041" s="14">
        <v>0.765</v>
      </c>
      <c r="G1041" s="15"/>
      <c r="H1041" s="16"/>
      <c r="I1041" s="14"/>
    </row>
    <row r="1042">
      <c r="A1042" s="14">
        <v>353.0</v>
      </c>
      <c r="B1042" s="14">
        <v>7.5790191E7</v>
      </c>
      <c r="C1042" s="14">
        <v>3.14473507E8</v>
      </c>
      <c r="D1042" s="2" t="s">
        <v>1980</v>
      </c>
      <c r="E1042" s="1" t="s">
        <v>107</v>
      </c>
      <c r="F1042" s="14">
        <v>0.765</v>
      </c>
      <c r="G1042" s="15"/>
      <c r="H1042" s="16"/>
      <c r="I1042" s="14"/>
    </row>
    <row r="1043">
      <c r="A1043" s="14">
        <v>461.0</v>
      </c>
      <c r="B1043" s="14">
        <v>7.6481339E7</v>
      </c>
      <c r="C1043" s="14">
        <v>3.43237099E8</v>
      </c>
      <c r="D1043" s="2" t="s">
        <v>1947</v>
      </c>
      <c r="E1043" s="1" t="s">
        <v>107</v>
      </c>
      <c r="F1043" s="14">
        <v>0.765</v>
      </c>
      <c r="G1043" s="15"/>
      <c r="H1043" s="16"/>
      <c r="I1043" s="14"/>
    </row>
    <row r="1044">
      <c r="A1044" s="14">
        <v>654.0</v>
      </c>
      <c r="B1044" s="14">
        <v>7.6987038E7</v>
      </c>
      <c r="C1044" s="14">
        <v>3.19817566E8</v>
      </c>
      <c r="D1044" s="2" t="s">
        <v>1919</v>
      </c>
      <c r="E1044" s="1" t="s">
        <v>107</v>
      </c>
      <c r="F1044" s="14">
        <v>0.765</v>
      </c>
      <c r="G1044" s="15"/>
      <c r="H1044" s="16"/>
      <c r="I1044" s="14"/>
    </row>
    <row r="1045">
      <c r="A1045" s="14">
        <v>353.0</v>
      </c>
      <c r="B1045" s="14">
        <v>7.7745805E7</v>
      </c>
      <c r="C1045" s="14">
        <v>3.23669766E8</v>
      </c>
      <c r="D1045" s="2" t="s">
        <v>1883</v>
      </c>
      <c r="E1045" s="1" t="s">
        <v>107</v>
      </c>
      <c r="F1045" s="14">
        <v>0.765</v>
      </c>
      <c r="G1045" s="15"/>
      <c r="H1045" s="16"/>
      <c r="I1045" s="14"/>
    </row>
    <row r="1046">
      <c r="A1046" s="14">
        <v>461.0</v>
      </c>
      <c r="B1046" s="14">
        <v>7.7982652E7</v>
      </c>
      <c r="C1046" s="14">
        <v>3.24644311E8</v>
      </c>
      <c r="D1046" s="2" t="s">
        <v>1861</v>
      </c>
      <c r="E1046" s="1" t="s">
        <v>107</v>
      </c>
      <c r="F1046" s="14">
        <v>0.765</v>
      </c>
      <c r="G1046" s="15"/>
      <c r="H1046" s="16"/>
      <c r="I1046" s="14"/>
    </row>
    <row r="1047">
      <c r="A1047" s="14">
        <v>504.0</v>
      </c>
      <c r="B1047" s="14">
        <v>8.2935303E7</v>
      </c>
      <c r="C1047" s="14">
        <v>3.89484751E8</v>
      </c>
      <c r="D1047" s="2" t="s">
        <v>1573</v>
      </c>
      <c r="E1047" s="1" t="s">
        <v>107</v>
      </c>
      <c r="F1047" s="14">
        <v>0.765</v>
      </c>
      <c r="G1047" s="15"/>
      <c r="H1047" s="16"/>
      <c r="I1047" s="14"/>
    </row>
    <row r="1048">
      <c r="A1048" s="14">
        <v>532.0</v>
      </c>
      <c r="B1048" s="14">
        <v>8.2998649E7</v>
      </c>
      <c r="C1048" s="14">
        <v>4.02198996E8</v>
      </c>
      <c r="D1048" s="2" t="s">
        <v>1567</v>
      </c>
      <c r="E1048" s="1" t="s">
        <v>107</v>
      </c>
      <c r="F1048" s="14">
        <v>0.765</v>
      </c>
      <c r="G1048" s="15"/>
      <c r="H1048" s="16"/>
      <c r="I1048" s="14"/>
    </row>
    <row r="1049">
      <c r="A1049" s="14">
        <v>511.0</v>
      </c>
      <c r="B1049" s="14">
        <v>8.4802384E7</v>
      </c>
      <c r="C1049" s="14">
        <v>4.07021228E8</v>
      </c>
      <c r="D1049" s="2" t="s">
        <v>1444</v>
      </c>
      <c r="E1049" s="1" t="s">
        <v>107</v>
      </c>
      <c r="F1049" s="14">
        <v>0.765</v>
      </c>
      <c r="G1049" s="15"/>
      <c r="H1049" s="16"/>
      <c r="I1049" s="14"/>
    </row>
    <row r="1050">
      <c r="A1050" s="14">
        <v>630.0</v>
      </c>
      <c r="B1050" s="14">
        <v>8.4839295E7</v>
      </c>
      <c r="C1050" s="14">
        <v>3.57137221E8</v>
      </c>
      <c r="D1050" s="2" t="s">
        <v>1437</v>
      </c>
      <c r="E1050" s="1" t="s">
        <v>107</v>
      </c>
      <c r="F1050" s="14">
        <v>0.765</v>
      </c>
      <c r="G1050" s="15"/>
      <c r="H1050" s="16"/>
      <c r="I1050" s="14"/>
    </row>
    <row r="1051">
      <c r="A1051" s="14">
        <v>173.0</v>
      </c>
      <c r="B1051" s="14">
        <v>8.5649981E7</v>
      </c>
      <c r="C1051" s="14">
        <v>3.61078055E8</v>
      </c>
      <c r="D1051" s="2" t="s">
        <v>1386</v>
      </c>
      <c r="E1051" s="1" t="s">
        <v>107</v>
      </c>
      <c r="F1051" s="14">
        <v>0.765</v>
      </c>
      <c r="G1051" s="15"/>
      <c r="H1051" s="16"/>
      <c r="I1051" s="14"/>
    </row>
    <row r="1052">
      <c r="A1052" s="14">
        <v>173.0</v>
      </c>
      <c r="B1052" s="14">
        <v>8.9639128E7</v>
      </c>
      <c r="C1052" s="14">
        <v>4.07630121E8</v>
      </c>
      <c r="D1052" s="2" t="s">
        <v>1164</v>
      </c>
      <c r="E1052" s="1" t="s">
        <v>107</v>
      </c>
      <c r="F1052" s="14">
        <v>0.765</v>
      </c>
      <c r="G1052" s="15"/>
      <c r="H1052" s="16"/>
      <c r="I1052" s="14"/>
    </row>
    <row r="1053">
      <c r="A1053" s="14">
        <v>471.0</v>
      </c>
      <c r="B1053" s="14">
        <v>8.9951182E7</v>
      </c>
      <c r="C1053" s="14">
        <v>3.81275542E8</v>
      </c>
      <c r="D1053" s="2" t="s">
        <v>1143</v>
      </c>
      <c r="E1053" s="1" t="s">
        <v>107</v>
      </c>
      <c r="F1053" s="14">
        <v>0.765</v>
      </c>
      <c r="G1053" s="15"/>
      <c r="H1053" s="16"/>
      <c r="I1053" s="14"/>
    </row>
    <row r="1054">
      <c r="A1054" s="14">
        <v>215.0</v>
      </c>
      <c r="B1054" s="14">
        <v>9.0414926E7</v>
      </c>
      <c r="C1054" s="14">
        <v>3.83296692E8</v>
      </c>
      <c r="D1054" s="2" t="s">
        <v>1113</v>
      </c>
      <c r="E1054" s="1" t="s">
        <v>107</v>
      </c>
      <c r="F1054" s="14">
        <v>0.765</v>
      </c>
      <c r="G1054" s="15"/>
      <c r="H1054" s="16"/>
      <c r="I1054" s="14"/>
    </row>
    <row r="1055">
      <c r="A1055" s="14">
        <v>394.0</v>
      </c>
      <c r="B1055" s="14">
        <v>9.3731783E7</v>
      </c>
      <c r="C1055" s="14">
        <v>3.98128099E8</v>
      </c>
      <c r="D1055" s="2" t="s">
        <v>945</v>
      </c>
      <c r="E1055" s="1" t="s">
        <v>107</v>
      </c>
      <c r="F1055" s="14">
        <v>0.765</v>
      </c>
      <c r="G1055" s="15"/>
      <c r="H1055" s="16"/>
      <c r="I1055" s="14"/>
    </row>
    <row r="1056">
      <c r="A1056" s="14">
        <v>630.0</v>
      </c>
      <c r="B1056" s="14">
        <v>9.3815842E7</v>
      </c>
      <c r="C1056" s="14">
        <v>3.98961788E8</v>
      </c>
      <c r="D1056" s="2" t="s">
        <v>937</v>
      </c>
      <c r="E1056" s="1" t="s">
        <v>107</v>
      </c>
      <c r="F1056" s="14">
        <v>0.765</v>
      </c>
      <c r="G1056" s="15"/>
      <c r="H1056" s="16"/>
      <c r="I1056" s="14"/>
    </row>
    <row r="1057">
      <c r="A1057" s="14">
        <v>353.0</v>
      </c>
      <c r="B1057" s="14">
        <v>9.4321464E7</v>
      </c>
      <c r="C1057" s="14">
        <v>4.01080718E8</v>
      </c>
      <c r="D1057" s="2" t="s">
        <v>919</v>
      </c>
      <c r="E1057" s="1" t="s">
        <v>107</v>
      </c>
      <c r="F1057" s="14">
        <v>0.765</v>
      </c>
      <c r="G1057" s="15"/>
      <c r="H1057" s="16"/>
      <c r="I1057" s="14"/>
    </row>
    <row r="1058">
      <c r="A1058" s="14">
        <v>210.0</v>
      </c>
      <c r="B1058" s="14">
        <v>1.04123488E8</v>
      </c>
      <c r="C1058" s="14">
        <v>4.48273227E8</v>
      </c>
      <c r="D1058" s="2" t="s">
        <v>376</v>
      </c>
      <c r="E1058" s="1" t="s">
        <v>107</v>
      </c>
      <c r="F1058" s="14">
        <v>0.765</v>
      </c>
      <c r="G1058" s="15"/>
      <c r="H1058" s="16"/>
      <c r="I1058" s="14"/>
    </row>
    <row r="1059">
      <c r="A1059" s="14">
        <v>630.0</v>
      </c>
      <c r="B1059" s="14">
        <v>9.672455E7</v>
      </c>
      <c r="C1059" s="14">
        <v>4.12842867E8</v>
      </c>
      <c r="D1059" s="2" t="s">
        <v>777</v>
      </c>
      <c r="E1059" s="1" t="s">
        <v>699</v>
      </c>
      <c r="F1059" s="14">
        <v>0.765</v>
      </c>
      <c r="G1059" s="15"/>
      <c r="H1059" s="16"/>
      <c r="I1059" s="14"/>
    </row>
    <row r="1060">
      <c r="A1060" s="14">
        <v>599.0</v>
      </c>
      <c r="B1060" s="14">
        <v>3071870.0</v>
      </c>
      <c r="C1060" s="14">
        <v>1.3023741E7</v>
      </c>
      <c r="D1060" s="2" t="s">
        <v>2827</v>
      </c>
      <c r="E1060" s="1" t="s">
        <v>121</v>
      </c>
      <c r="F1060" s="14">
        <v>0.765</v>
      </c>
      <c r="G1060" s="15"/>
      <c r="H1060" s="16"/>
      <c r="I1060" s="14"/>
    </row>
    <row r="1061">
      <c r="A1061" s="14">
        <v>414.0</v>
      </c>
      <c r="B1061" s="14">
        <v>8000638.0</v>
      </c>
      <c r="C1061" s="14">
        <v>3.3964598E7</v>
      </c>
      <c r="D1061" s="2" t="s">
        <v>2830</v>
      </c>
      <c r="E1061" s="1" t="s">
        <v>121</v>
      </c>
      <c r="F1061" s="14">
        <v>0.765</v>
      </c>
      <c r="G1061" s="15"/>
      <c r="H1061" s="16"/>
      <c r="I1061" s="14"/>
    </row>
    <row r="1062">
      <c r="A1062" s="14">
        <v>394.0</v>
      </c>
      <c r="B1062" s="14">
        <v>1.560509E7</v>
      </c>
      <c r="C1062" s="14">
        <v>6.6291316E7</v>
      </c>
      <c r="D1062" s="2" t="s">
        <v>2833</v>
      </c>
      <c r="E1062" s="1" t="s">
        <v>121</v>
      </c>
      <c r="F1062" s="14">
        <v>0.765</v>
      </c>
      <c r="G1062" s="15"/>
      <c r="H1062" s="16"/>
      <c r="I1062" s="14"/>
    </row>
    <row r="1063">
      <c r="A1063" s="14">
        <v>578.0</v>
      </c>
      <c r="B1063" s="14">
        <v>5.3359717E7</v>
      </c>
      <c r="C1063" s="14">
        <v>2.11951385E8</v>
      </c>
      <c r="D1063" s="2" t="s">
        <v>2835</v>
      </c>
      <c r="E1063" s="1" t="s">
        <v>121</v>
      </c>
      <c r="F1063" s="14">
        <v>0.765</v>
      </c>
      <c r="G1063" s="15"/>
      <c r="H1063" s="16"/>
      <c r="I1063" s="14"/>
    </row>
    <row r="1064">
      <c r="A1064" s="14">
        <v>353.0</v>
      </c>
      <c r="B1064" s="14">
        <v>6.5699362E7</v>
      </c>
      <c r="C1064" s="14">
        <v>2.67908221E8</v>
      </c>
      <c r="D1064" s="2" t="s">
        <v>2461</v>
      </c>
      <c r="E1064" s="1" t="s">
        <v>107</v>
      </c>
      <c r="F1064" s="14">
        <v>0.7645</v>
      </c>
      <c r="G1064" s="15"/>
      <c r="H1064" s="16"/>
      <c r="I1064" s="14"/>
    </row>
    <row r="1065">
      <c r="A1065" s="14">
        <v>667.0</v>
      </c>
      <c r="B1065" s="14">
        <v>1.0828787E7</v>
      </c>
      <c r="C1065" s="14">
        <v>4.6051938E7</v>
      </c>
      <c r="D1065" s="2" t="s">
        <v>2839</v>
      </c>
      <c r="E1065" s="1" t="s">
        <v>121</v>
      </c>
      <c r="F1065" s="14">
        <v>0.7645</v>
      </c>
      <c r="G1065" s="15"/>
      <c r="H1065" s="16"/>
      <c r="I1065" s="14"/>
    </row>
    <row r="1066">
      <c r="A1066" s="14">
        <v>721.0</v>
      </c>
      <c r="B1066" s="14">
        <v>1.6559816E7</v>
      </c>
      <c r="C1066" s="14">
        <v>7.0209093E7</v>
      </c>
      <c r="D1066" s="2" t="s">
        <v>2842</v>
      </c>
      <c r="E1066" s="1" t="s">
        <v>107</v>
      </c>
      <c r="F1066" s="14">
        <v>0.7644</v>
      </c>
      <c r="G1066" s="15"/>
      <c r="H1066" s="16"/>
      <c r="I1066" s="14"/>
    </row>
    <row r="1067">
      <c r="A1067" s="14">
        <v>244.0</v>
      </c>
      <c r="B1067" s="14">
        <v>7683240.0</v>
      </c>
      <c r="C1067" s="14">
        <v>3.266616E7</v>
      </c>
      <c r="D1067" s="2" t="s">
        <v>2844</v>
      </c>
      <c r="E1067" s="1" t="s">
        <v>121</v>
      </c>
      <c r="F1067" s="14">
        <v>0.7644</v>
      </c>
      <c r="G1067" s="15"/>
      <c r="H1067" s="16"/>
      <c r="I1067" s="14"/>
    </row>
    <row r="1068">
      <c r="A1068" s="14">
        <v>546.0</v>
      </c>
      <c r="B1068" s="14">
        <v>1.7382295E7</v>
      </c>
      <c r="C1068" s="14">
        <v>7.3501886E7</v>
      </c>
      <c r="D1068" s="2" t="s">
        <v>2847</v>
      </c>
      <c r="E1068" s="1" t="s">
        <v>107</v>
      </c>
      <c r="F1068" s="14">
        <v>0.7634</v>
      </c>
      <c r="G1068" s="15"/>
      <c r="H1068" s="16"/>
      <c r="I1068" s="14"/>
    </row>
    <row r="1069">
      <c r="A1069" s="14">
        <v>578.0</v>
      </c>
      <c r="B1069" s="14">
        <v>3.6201352E7</v>
      </c>
      <c r="C1069" s="14">
        <v>1.44456267E8</v>
      </c>
      <c r="D1069" s="2" t="s">
        <v>2850</v>
      </c>
      <c r="E1069" s="1" t="s">
        <v>107</v>
      </c>
      <c r="F1069" s="14">
        <v>0.7627</v>
      </c>
      <c r="G1069" s="15"/>
      <c r="H1069" s="16"/>
      <c r="I1069" s="14"/>
    </row>
    <row r="1070">
      <c r="A1070" s="14">
        <v>394.0</v>
      </c>
      <c r="B1070" s="14">
        <v>5.2119782E7</v>
      </c>
      <c r="C1070" s="14">
        <v>2.0653511E8</v>
      </c>
      <c r="D1070" s="2" t="s">
        <v>2852</v>
      </c>
      <c r="E1070" s="1" t="s">
        <v>107</v>
      </c>
      <c r="F1070" s="14">
        <v>0.7619</v>
      </c>
      <c r="G1070" s="15"/>
      <c r="H1070" s="16"/>
      <c r="I1070" s="14"/>
    </row>
    <row r="1071">
      <c r="A1071" s="14">
        <v>669.0</v>
      </c>
      <c r="B1071" s="14">
        <v>4.7601963E7</v>
      </c>
      <c r="C1071" s="14">
        <v>1.88040869E8</v>
      </c>
      <c r="D1071" s="2" t="s">
        <v>2853</v>
      </c>
      <c r="E1071" s="1" t="s">
        <v>107</v>
      </c>
      <c r="F1071" s="14">
        <v>0.7614</v>
      </c>
      <c r="G1071" s="15"/>
      <c r="H1071" s="16"/>
      <c r="I1071" s="14"/>
    </row>
    <row r="1072">
      <c r="A1072" s="14">
        <v>571.0</v>
      </c>
      <c r="B1072" s="14">
        <v>7.4730646E7</v>
      </c>
      <c r="C1072" s="14">
        <v>3.09615663E8</v>
      </c>
      <c r="D1072" s="2" t="s">
        <v>2039</v>
      </c>
      <c r="E1072" s="1" t="s">
        <v>699</v>
      </c>
      <c r="F1072" s="14">
        <v>0.7608</v>
      </c>
      <c r="G1072" s="15"/>
      <c r="H1072" s="16"/>
      <c r="I1072" s="14"/>
    </row>
    <row r="1073">
      <c r="A1073" s="14">
        <v>395.0</v>
      </c>
      <c r="B1073" s="14">
        <v>8973590.0</v>
      </c>
      <c r="C1073" s="14">
        <v>3.8088949E7</v>
      </c>
      <c r="D1073" s="2" t="s">
        <v>2855</v>
      </c>
      <c r="E1073" s="1" t="s">
        <v>107</v>
      </c>
      <c r="F1073" s="14">
        <v>0.7605</v>
      </c>
      <c r="G1073" s="15"/>
      <c r="H1073" s="16"/>
      <c r="I1073" s="14"/>
    </row>
    <row r="1074">
      <c r="A1074" s="14">
        <v>565.0</v>
      </c>
      <c r="B1074" s="14">
        <v>1.7092867E7</v>
      </c>
      <c r="C1074" s="14">
        <v>7.2398142E7</v>
      </c>
      <c r="D1074" s="2" t="s">
        <v>2857</v>
      </c>
      <c r="E1074" s="1" t="s">
        <v>107</v>
      </c>
      <c r="F1074" s="14">
        <v>0.7592</v>
      </c>
      <c r="G1074" s="15"/>
      <c r="H1074" s="16"/>
      <c r="I1074" s="14"/>
    </row>
    <row r="1075">
      <c r="A1075" s="14">
        <v>380.0</v>
      </c>
      <c r="B1075" s="14">
        <v>1.6938262E7</v>
      </c>
      <c r="C1075" s="14">
        <v>7.1765483E7</v>
      </c>
      <c r="D1075" s="2" t="s">
        <v>2860</v>
      </c>
      <c r="E1075" s="1" t="s">
        <v>121</v>
      </c>
      <c r="F1075" s="14">
        <v>0.7592</v>
      </c>
      <c r="G1075" s="15"/>
      <c r="H1075" s="16"/>
      <c r="I1075" s="14"/>
    </row>
    <row r="1076">
      <c r="A1076" s="14">
        <v>173.0</v>
      </c>
      <c r="B1076" s="14">
        <v>1.04151299E8</v>
      </c>
      <c r="C1076" s="14">
        <v>4.48163785E8</v>
      </c>
      <c r="D1076" s="2" t="s">
        <v>375</v>
      </c>
      <c r="E1076" s="1" t="s">
        <v>699</v>
      </c>
      <c r="F1076" s="14">
        <v>0.7582</v>
      </c>
      <c r="G1076" s="15"/>
      <c r="H1076" s="16"/>
      <c r="I1076" s="14"/>
    </row>
    <row r="1077">
      <c r="A1077" s="14">
        <v>215.0</v>
      </c>
      <c r="B1077" s="14">
        <v>2782806.0</v>
      </c>
      <c r="C1077" s="14">
        <v>1.180782E7</v>
      </c>
      <c r="D1077" s="2" t="s">
        <v>2864</v>
      </c>
      <c r="E1077" s="1" t="s">
        <v>121</v>
      </c>
      <c r="F1077" s="14">
        <v>0.7582</v>
      </c>
      <c r="G1077" s="15"/>
      <c r="H1077" s="16"/>
      <c r="I1077" s="14"/>
    </row>
    <row r="1078">
      <c r="A1078" s="14">
        <v>676.0</v>
      </c>
      <c r="B1078" s="14">
        <v>7556863.0</v>
      </c>
      <c r="C1078" s="14">
        <v>3.2137649E7</v>
      </c>
      <c r="D1078" s="2" t="s">
        <v>2866</v>
      </c>
      <c r="E1078" s="1" t="s">
        <v>107</v>
      </c>
      <c r="F1078" s="14">
        <v>0.7579</v>
      </c>
      <c r="G1078" s="15"/>
      <c r="H1078" s="16"/>
      <c r="I1078" s="14"/>
    </row>
    <row r="1079">
      <c r="A1079" s="14">
        <v>671.0</v>
      </c>
      <c r="B1079" s="14">
        <v>1.1582157E7</v>
      </c>
      <c r="C1079" s="14">
        <v>4.9178052E7</v>
      </c>
      <c r="D1079" s="2" t="s">
        <v>2868</v>
      </c>
      <c r="E1079" s="1" t="s">
        <v>107</v>
      </c>
      <c r="F1079" s="14">
        <v>0.7579</v>
      </c>
      <c r="G1079" s="15"/>
      <c r="H1079" s="16"/>
      <c r="I1079" s="14"/>
    </row>
    <row r="1080">
      <c r="A1080" s="14">
        <v>353.0</v>
      </c>
      <c r="B1080" s="14">
        <v>6.9498882E7</v>
      </c>
      <c r="C1080" s="14">
        <v>2.86120891E8</v>
      </c>
      <c r="D1080" s="2" t="s">
        <v>2254</v>
      </c>
      <c r="E1080" s="1" t="s">
        <v>107</v>
      </c>
      <c r="F1080" s="14">
        <v>0.7579</v>
      </c>
      <c r="G1080" s="15"/>
      <c r="H1080" s="16"/>
      <c r="I1080" s="14"/>
    </row>
    <row r="1081">
      <c r="A1081" s="14">
        <v>661.0</v>
      </c>
      <c r="B1081" s="14">
        <v>9.3356889E7</v>
      </c>
      <c r="C1081" s="14">
        <v>3.9641469E8</v>
      </c>
      <c r="D1081" s="2" t="s">
        <v>968</v>
      </c>
      <c r="E1081" s="1" t="s">
        <v>107</v>
      </c>
      <c r="F1081" s="14">
        <v>0.7579</v>
      </c>
      <c r="G1081" s="15"/>
      <c r="H1081" s="16"/>
      <c r="I1081" s="14"/>
    </row>
    <row r="1082">
      <c r="A1082" s="14">
        <v>625.0</v>
      </c>
      <c r="B1082" s="14">
        <v>1.3160203E7</v>
      </c>
      <c r="C1082" s="14">
        <v>5.5803095E7</v>
      </c>
      <c r="D1082" s="2" t="s">
        <v>2873</v>
      </c>
      <c r="E1082" s="1" t="s">
        <v>699</v>
      </c>
      <c r="F1082" s="14">
        <v>0.7579</v>
      </c>
      <c r="G1082" s="15"/>
      <c r="H1082" s="16"/>
      <c r="I1082" s="14"/>
    </row>
    <row r="1083">
      <c r="A1083" s="14">
        <v>715.0</v>
      </c>
      <c r="B1083" s="14">
        <v>7.5071808E7</v>
      </c>
      <c r="C1083" s="14">
        <v>3.11319563E8</v>
      </c>
      <c r="D1083" s="2" t="s">
        <v>2024</v>
      </c>
      <c r="E1083" s="1" t="s">
        <v>699</v>
      </c>
      <c r="F1083" s="14">
        <v>0.7579</v>
      </c>
      <c r="G1083" s="15"/>
      <c r="H1083" s="16"/>
      <c r="I1083" s="14"/>
    </row>
    <row r="1084">
      <c r="A1084" s="14">
        <v>462.0</v>
      </c>
      <c r="B1084" s="14">
        <v>8.3617757E7</v>
      </c>
      <c r="C1084" s="14">
        <v>3.51332081E8</v>
      </c>
      <c r="D1084" s="2" t="s">
        <v>1539</v>
      </c>
      <c r="E1084" s="1" t="s">
        <v>699</v>
      </c>
      <c r="F1084" s="14">
        <v>0.7579</v>
      </c>
      <c r="G1084" s="15"/>
      <c r="H1084" s="16"/>
      <c r="I1084" s="14"/>
    </row>
    <row r="1085">
      <c r="A1085" s="14">
        <v>504.0</v>
      </c>
      <c r="B1085" s="14">
        <v>9.4810828E7</v>
      </c>
      <c r="C1085" s="14">
        <v>4.03335895E8</v>
      </c>
      <c r="D1085" s="2" t="s">
        <v>890</v>
      </c>
      <c r="E1085" s="1" t="s">
        <v>699</v>
      </c>
      <c r="F1085" s="14">
        <v>0.7579</v>
      </c>
      <c r="G1085" s="15"/>
      <c r="H1085" s="16"/>
      <c r="I1085" s="14"/>
    </row>
    <row r="1086">
      <c r="A1086" s="14">
        <v>395.0</v>
      </c>
      <c r="B1086" s="14">
        <v>1260463.0</v>
      </c>
      <c r="C1086" s="14">
        <v>5637308.0</v>
      </c>
      <c r="D1086" s="2" t="s">
        <v>2877</v>
      </c>
      <c r="E1086" s="1" t="s">
        <v>121</v>
      </c>
      <c r="F1086" s="14">
        <v>0.7579</v>
      </c>
      <c r="G1086" s="15"/>
      <c r="H1086" s="16"/>
      <c r="I1086" s="14"/>
    </row>
    <row r="1087">
      <c r="A1087" s="14">
        <v>380.0</v>
      </c>
      <c r="B1087" s="14">
        <v>1695715.0</v>
      </c>
      <c r="C1087" s="14">
        <v>7412833.0</v>
      </c>
      <c r="D1087" s="2" t="s">
        <v>2878</v>
      </c>
      <c r="E1087" s="1" t="s">
        <v>121</v>
      </c>
      <c r="F1087" s="14">
        <v>0.7579</v>
      </c>
      <c r="G1087" s="15"/>
      <c r="H1087" s="16"/>
      <c r="I1087" s="14"/>
    </row>
    <row r="1088">
      <c r="A1088" s="14">
        <v>379.0</v>
      </c>
      <c r="B1088" s="14">
        <v>3594533.0</v>
      </c>
      <c r="C1088" s="14">
        <v>1.5219106E7</v>
      </c>
      <c r="D1088" s="2" t="s">
        <v>2887</v>
      </c>
      <c r="E1088" s="1" t="s">
        <v>121</v>
      </c>
      <c r="F1088" s="14">
        <v>0.7579</v>
      </c>
      <c r="G1088" s="15"/>
      <c r="H1088" s="16"/>
      <c r="I1088" s="14"/>
    </row>
    <row r="1089">
      <c r="A1089" s="14">
        <v>488.0</v>
      </c>
      <c r="B1089" s="14">
        <v>1.3490278E7</v>
      </c>
      <c r="C1089" s="14">
        <v>5.727328E7</v>
      </c>
      <c r="D1089" s="2" t="s">
        <v>2889</v>
      </c>
      <c r="E1089" s="1" t="s">
        <v>121</v>
      </c>
      <c r="F1089" s="14">
        <v>0.7579</v>
      </c>
      <c r="G1089" s="15"/>
      <c r="H1089" s="16"/>
      <c r="I1089" s="14"/>
    </row>
    <row r="1090">
      <c r="A1090" s="14">
        <v>458.0</v>
      </c>
      <c r="B1090" s="14">
        <v>6.7145844E7</v>
      </c>
      <c r="C1090" s="14">
        <v>2.75285208E8</v>
      </c>
      <c r="D1090" s="2" t="s">
        <v>2373</v>
      </c>
      <c r="E1090" s="1" t="s">
        <v>121</v>
      </c>
      <c r="F1090" s="14">
        <v>0.7579</v>
      </c>
      <c r="G1090" s="15"/>
      <c r="H1090" s="16"/>
      <c r="I1090" s="14"/>
    </row>
    <row r="1091">
      <c r="A1091" s="14">
        <v>407.0</v>
      </c>
      <c r="B1091" s="14">
        <v>6369059.0</v>
      </c>
      <c r="C1091" s="14">
        <v>2.7117899E7</v>
      </c>
      <c r="D1091" s="2" t="s">
        <v>2892</v>
      </c>
      <c r="E1091" s="1" t="s">
        <v>107</v>
      </c>
      <c r="F1091" s="14">
        <v>0.7574</v>
      </c>
      <c r="G1091" s="15"/>
      <c r="H1091" s="16"/>
      <c r="I1091" s="14"/>
    </row>
    <row r="1092">
      <c r="A1092" s="14">
        <v>665.0</v>
      </c>
      <c r="B1092" s="14">
        <v>2.3744597E7</v>
      </c>
      <c r="C1092" s="14">
        <v>9.7633248E7</v>
      </c>
      <c r="D1092" s="2" t="s">
        <v>2895</v>
      </c>
      <c r="E1092" s="1" t="s">
        <v>107</v>
      </c>
      <c r="F1092" s="14">
        <v>0.7574</v>
      </c>
      <c r="G1092" s="15"/>
      <c r="H1092" s="16"/>
      <c r="I1092" s="14"/>
    </row>
    <row r="1093">
      <c r="A1093" s="14">
        <v>608.0</v>
      </c>
      <c r="B1093" s="14">
        <v>2.6530184E7</v>
      </c>
      <c r="C1093" s="14">
        <v>1.07371327E8</v>
      </c>
      <c r="D1093" s="2" t="s">
        <v>2897</v>
      </c>
      <c r="E1093" s="1" t="s">
        <v>107</v>
      </c>
      <c r="F1093" s="14">
        <v>0.7574</v>
      </c>
      <c r="G1093" s="15"/>
      <c r="H1093" s="16"/>
      <c r="I1093" s="14"/>
    </row>
    <row r="1094">
      <c r="A1094" s="14">
        <v>665.0</v>
      </c>
      <c r="B1094" s="14">
        <v>3.3231093E7</v>
      </c>
      <c r="C1094" s="14">
        <v>1.3293919E8</v>
      </c>
      <c r="D1094" s="2" t="s">
        <v>2899</v>
      </c>
      <c r="E1094" s="1" t="s">
        <v>107</v>
      </c>
      <c r="F1094" s="14">
        <v>0.7574</v>
      </c>
      <c r="G1094" s="15"/>
      <c r="H1094" s="16"/>
      <c r="I1094" s="14"/>
    </row>
    <row r="1095">
      <c r="A1095" s="14">
        <v>671.0</v>
      </c>
      <c r="B1095" s="14">
        <v>6.3453541E7</v>
      </c>
      <c r="C1095" s="14">
        <v>2.5742639E8</v>
      </c>
      <c r="D1095" s="2" t="s">
        <v>2551</v>
      </c>
      <c r="E1095" s="1" t="s">
        <v>107</v>
      </c>
      <c r="F1095" s="14">
        <v>0.7574</v>
      </c>
      <c r="G1095" s="15"/>
      <c r="H1095" s="16"/>
      <c r="I1095" s="14"/>
    </row>
    <row r="1096">
      <c r="A1096" s="14">
        <v>504.0</v>
      </c>
      <c r="B1096" s="14">
        <v>7.0432474E7</v>
      </c>
      <c r="C1096" s="14">
        <v>2.90288885E8</v>
      </c>
      <c r="D1096" s="2" t="s">
        <v>2192</v>
      </c>
      <c r="E1096" s="1" t="s">
        <v>107</v>
      </c>
      <c r="F1096" s="14">
        <v>0.7574</v>
      </c>
      <c r="G1096" s="15"/>
      <c r="H1096" s="16"/>
      <c r="I1096" s="14"/>
    </row>
    <row r="1097">
      <c r="A1097" s="14">
        <v>173.0</v>
      </c>
      <c r="B1097" s="14">
        <v>9.5001434E7</v>
      </c>
      <c r="C1097" s="14">
        <v>4.04145908E8</v>
      </c>
      <c r="D1097" s="2" t="s">
        <v>875</v>
      </c>
      <c r="E1097" s="1" t="s">
        <v>107</v>
      </c>
      <c r="F1097" s="14">
        <v>0.7574</v>
      </c>
      <c r="G1097" s="15"/>
      <c r="H1097" s="16"/>
      <c r="I1097" s="14"/>
    </row>
    <row r="1098">
      <c r="A1098" s="14">
        <v>353.0</v>
      </c>
      <c r="B1098" s="14">
        <v>9.7414321E7</v>
      </c>
      <c r="C1098" s="14">
        <v>4.16557075E8</v>
      </c>
      <c r="D1098" s="2" t="s">
        <v>749</v>
      </c>
      <c r="E1098" s="1" t="s">
        <v>107</v>
      </c>
      <c r="F1098" s="14">
        <v>0.7574</v>
      </c>
      <c r="G1098" s="15"/>
      <c r="H1098" s="16"/>
      <c r="I1098" s="14"/>
    </row>
    <row r="1099">
      <c r="A1099" s="14">
        <v>720.0</v>
      </c>
      <c r="B1099" s="14">
        <v>1.8822626E7</v>
      </c>
      <c r="C1099" s="14">
        <v>7.8902589E7</v>
      </c>
      <c r="D1099" s="2" t="s">
        <v>2906</v>
      </c>
      <c r="E1099" s="1" t="s">
        <v>699</v>
      </c>
      <c r="F1099" s="14">
        <v>0.7574</v>
      </c>
      <c r="G1099" s="15"/>
      <c r="H1099" s="16"/>
      <c r="I1099" s="14"/>
    </row>
    <row r="1100">
      <c r="A1100" s="14">
        <v>587.0</v>
      </c>
      <c r="B1100" s="14">
        <v>8722105.0</v>
      </c>
      <c r="C1100" s="14">
        <v>3.6966462E7</v>
      </c>
      <c r="D1100" s="2" t="s">
        <v>2909</v>
      </c>
      <c r="E1100" s="1" t="s">
        <v>121</v>
      </c>
      <c r="F1100" s="14">
        <v>0.7574</v>
      </c>
      <c r="G1100" s="15"/>
      <c r="H1100" s="16"/>
      <c r="I1100" s="14"/>
    </row>
    <row r="1101">
      <c r="A1101" s="14">
        <v>571.0</v>
      </c>
      <c r="B1101" s="14">
        <v>9.7452378E7</v>
      </c>
      <c r="C1101" s="14">
        <v>4.1684645E8</v>
      </c>
      <c r="D1101" s="2" t="s">
        <v>744</v>
      </c>
      <c r="E1101" s="1" t="s">
        <v>121</v>
      </c>
      <c r="F1101" s="14">
        <v>0.7574</v>
      </c>
      <c r="G1101" s="15"/>
      <c r="H1101" s="16"/>
      <c r="I1101" s="14"/>
    </row>
    <row r="1102">
      <c r="A1102" s="14">
        <v>609.0</v>
      </c>
      <c r="B1102" s="14">
        <v>5426839.0</v>
      </c>
      <c r="C1102" s="14">
        <v>2.3186393E7</v>
      </c>
      <c r="D1102" s="2" t="s">
        <v>2912</v>
      </c>
      <c r="E1102" s="1" t="s">
        <v>121</v>
      </c>
      <c r="F1102" s="14">
        <v>0.7572</v>
      </c>
      <c r="G1102" s="15"/>
      <c r="H1102" s="16"/>
      <c r="I1102" s="14"/>
    </row>
    <row r="1103">
      <c r="A1103" s="14">
        <v>378.0</v>
      </c>
      <c r="B1103" s="14">
        <v>2.9852021E7</v>
      </c>
      <c r="C1103" s="14">
        <v>1.19763579E8</v>
      </c>
      <c r="D1103" s="26" t="s">
        <v>2915</v>
      </c>
      <c r="E1103" s="1" t="s">
        <v>107</v>
      </c>
      <c r="F1103" s="14">
        <v>0.7568</v>
      </c>
      <c r="G1103" s="15"/>
      <c r="H1103" s="16"/>
      <c r="I1103" s="14"/>
    </row>
    <row r="1104">
      <c r="A1104" s="14">
        <v>210.0</v>
      </c>
      <c r="B1104" s="14">
        <v>6.7030521E7</v>
      </c>
      <c r="C1104" s="14">
        <v>2.74685588E8</v>
      </c>
      <c r="D1104" s="2" t="s">
        <v>2385</v>
      </c>
      <c r="E1104" s="1" t="s">
        <v>107</v>
      </c>
      <c r="F1104" s="14">
        <v>0.7568</v>
      </c>
      <c r="G1104" s="15"/>
      <c r="H1104" s="16"/>
      <c r="I1104" s="14"/>
    </row>
    <row r="1105">
      <c r="A1105" s="14">
        <v>244.0</v>
      </c>
      <c r="B1105" s="14">
        <v>3086437.0</v>
      </c>
      <c r="C1105" s="14">
        <v>1.3092242E7</v>
      </c>
      <c r="D1105" s="2" t="s">
        <v>2923</v>
      </c>
      <c r="E1105" s="1" t="s">
        <v>699</v>
      </c>
      <c r="F1105" s="14">
        <v>0.7568</v>
      </c>
      <c r="G1105" s="15"/>
      <c r="H1105" s="16"/>
      <c r="I1105" s="14"/>
    </row>
    <row r="1106">
      <c r="A1106" s="14">
        <v>672.0</v>
      </c>
      <c r="B1106" s="14">
        <v>9092862.0</v>
      </c>
      <c r="C1106" s="14">
        <v>3.860793E7</v>
      </c>
      <c r="D1106" s="2" t="s">
        <v>2925</v>
      </c>
      <c r="E1106" s="1" t="s">
        <v>121</v>
      </c>
      <c r="F1106" s="14">
        <v>0.7568</v>
      </c>
      <c r="G1106" s="15"/>
      <c r="H1106" s="16"/>
      <c r="I1106" s="14"/>
    </row>
    <row r="1107">
      <c r="A1107" s="14">
        <v>173.0</v>
      </c>
      <c r="B1107" s="14">
        <v>6.3729375E7</v>
      </c>
      <c r="C1107" s="14">
        <v>2.58575278E8</v>
      </c>
      <c r="D1107" s="2" t="s">
        <v>2538</v>
      </c>
      <c r="E1107" s="1" t="s">
        <v>107</v>
      </c>
      <c r="F1107" s="14">
        <v>0.7564</v>
      </c>
      <c r="G1107" s="15"/>
      <c r="H1107" s="16"/>
      <c r="I1107" s="14"/>
    </row>
    <row r="1108">
      <c r="A1108" s="14">
        <v>630.0</v>
      </c>
      <c r="B1108" s="14">
        <v>2975687.0</v>
      </c>
      <c r="C1108" s="14">
        <v>3.53451098E8</v>
      </c>
      <c r="D1108" s="2" t="s">
        <v>2928</v>
      </c>
      <c r="E1108" s="1" t="s">
        <v>699</v>
      </c>
      <c r="F1108" s="14">
        <v>0.7564</v>
      </c>
      <c r="G1108" s="15"/>
      <c r="H1108" s="16"/>
      <c r="I1108" s="14"/>
    </row>
    <row r="1109">
      <c r="A1109" s="14">
        <v>319.0</v>
      </c>
      <c r="B1109" s="14">
        <v>5.8070053E7</v>
      </c>
      <c r="C1109" s="14">
        <v>2.31463141E8</v>
      </c>
      <c r="D1109" s="2" t="s">
        <v>2755</v>
      </c>
      <c r="E1109" s="1" t="s">
        <v>121</v>
      </c>
      <c r="F1109" s="14">
        <v>0.7564</v>
      </c>
      <c r="G1109" s="15"/>
      <c r="H1109" s="16"/>
      <c r="I1109" s="14"/>
    </row>
    <row r="1110">
      <c r="A1110" s="14">
        <v>609.0</v>
      </c>
      <c r="B1110" s="14">
        <v>1.0431363E7</v>
      </c>
      <c r="C1110" s="14">
        <v>4.4423459E7</v>
      </c>
      <c r="D1110" s="2" t="s">
        <v>2932</v>
      </c>
      <c r="E1110" s="1" t="s">
        <v>121</v>
      </c>
      <c r="F1110" s="14">
        <v>0.7556</v>
      </c>
      <c r="G1110" s="15"/>
      <c r="H1110" s="16"/>
      <c r="I1110" s="14"/>
    </row>
    <row r="1111">
      <c r="A1111" s="14">
        <v>403.0</v>
      </c>
      <c r="B1111" s="14">
        <v>1.3649687E7</v>
      </c>
      <c r="C1111" s="14">
        <v>5.792306E7</v>
      </c>
      <c r="D1111" s="2" t="s">
        <v>2933</v>
      </c>
      <c r="E1111" s="1" t="s">
        <v>107</v>
      </c>
      <c r="F1111" s="14">
        <v>0.755</v>
      </c>
      <c r="G1111" s="15"/>
      <c r="H1111" s="16"/>
      <c r="I1111" s="14"/>
    </row>
    <row r="1112">
      <c r="A1112" s="14">
        <v>455.0</v>
      </c>
      <c r="B1112" s="14">
        <v>9.4999659E7</v>
      </c>
      <c r="C1112" s="14">
        <v>4.15070255E8</v>
      </c>
      <c r="D1112" s="2" t="s">
        <v>877</v>
      </c>
      <c r="E1112" s="1" t="s">
        <v>107</v>
      </c>
      <c r="F1112" s="14">
        <v>0.7547</v>
      </c>
      <c r="G1112" s="15"/>
      <c r="H1112" s="16"/>
      <c r="I1112" s="14"/>
    </row>
    <row r="1113">
      <c r="A1113" s="14">
        <v>601.0</v>
      </c>
      <c r="B1113" s="14">
        <v>7494492.0</v>
      </c>
      <c r="C1113" s="14">
        <v>3.1855599E7</v>
      </c>
      <c r="D1113" s="2" t="s">
        <v>2937</v>
      </c>
      <c r="E1113" s="1" t="s">
        <v>121</v>
      </c>
      <c r="F1113" s="14">
        <v>0.7543</v>
      </c>
      <c r="G1113" s="15"/>
      <c r="H1113" s="16"/>
      <c r="I1113" s="14"/>
    </row>
    <row r="1114">
      <c r="A1114" s="14">
        <v>713.0</v>
      </c>
      <c r="B1114" s="14">
        <v>7.6271584E7</v>
      </c>
      <c r="C1114" s="14">
        <v>3.16685296E8</v>
      </c>
      <c r="D1114" s="2" t="s">
        <v>1957</v>
      </c>
      <c r="E1114" s="1" t="s">
        <v>107</v>
      </c>
      <c r="F1114" s="14">
        <v>0.754</v>
      </c>
      <c r="G1114" s="15"/>
      <c r="H1114" s="16"/>
      <c r="I1114" s="14"/>
    </row>
    <row r="1115">
      <c r="A1115" s="14">
        <v>607.0</v>
      </c>
      <c r="B1115" s="14">
        <v>1.481779E7</v>
      </c>
      <c r="C1115" s="14">
        <v>6.3069536E7</v>
      </c>
      <c r="D1115" s="2" t="s">
        <v>2940</v>
      </c>
      <c r="E1115" s="1" t="s">
        <v>699</v>
      </c>
      <c r="F1115" s="14">
        <v>0.7539</v>
      </c>
      <c r="G1115" s="15"/>
      <c r="H1115" s="16"/>
      <c r="I1115" s="14"/>
    </row>
    <row r="1116">
      <c r="A1116" s="14">
        <v>244.0</v>
      </c>
      <c r="B1116" s="14">
        <v>2792503.0</v>
      </c>
      <c r="C1116" s="14">
        <v>1.178227E7</v>
      </c>
      <c r="D1116" s="2" t="s">
        <v>2942</v>
      </c>
      <c r="E1116" s="1" t="s">
        <v>699</v>
      </c>
      <c r="F1116" s="14">
        <v>0.7527</v>
      </c>
      <c r="G1116" s="15"/>
      <c r="H1116" s="16"/>
      <c r="I1116" s="14"/>
    </row>
    <row r="1117">
      <c r="A1117" s="14">
        <v>120.0</v>
      </c>
      <c r="B1117" s="14">
        <v>3024918.0</v>
      </c>
      <c r="C1117" s="14">
        <v>1.2821319E7</v>
      </c>
      <c r="D1117" s="2" t="s">
        <v>2944</v>
      </c>
      <c r="E1117" s="1" t="s">
        <v>107</v>
      </c>
      <c r="F1117" s="14">
        <v>0.7519</v>
      </c>
      <c r="G1117" s="15"/>
      <c r="H1117" s="16"/>
      <c r="I1117" s="14"/>
    </row>
    <row r="1118">
      <c r="A1118" s="14">
        <v>671.0</v>
      </c>
      <c r="B1118" s="14">
        <v>1.6763325E7</v>
      </c>
      <c r="C1118" s="14">
        <v>7.0994632E7</v>
      </c>
      <c r="D1118" s="2" t="s">
        <v>2947</v>
      </c>
      <c r="E1118" s="1" t="s">
        <v>107</v>
      </c>
      <c r="F1118" s="14">
        <v>0.7506</v>
      </c>
      <c r="G1118" s="15"/>
      <c r="H1118" s="16"/>
      <c r="I1118" s="14"/>
    </row>
    <row r="1119">
      <c r="A1119" s="14">
        <v>394.0</v>
      </c>
      <c r="B1119" s="14">
        <v>1.690561E7</v>
      </c>
      <c r="C1119" s="14">
        <v>7.15863E7</v>
      </c>
      <c r="D1119" s="2" t="s">
        <v>2950</v>
      </c>
      <c r="E1119" s="1" t="s">
        <v>107</v>
      </c>
      <c r="F1119" s="14">
        <v>0.7506</v>
      </c>
      <c r="G1119" s="15"/>
      <c r="H1119" s="16"/>
      <c r="I1119" s="14"/>
    </row>
    <row r="1120">
      <c r="A1120" s="14">
        <v>355.0</v>
      </c>
      <c r="B1120" s="14">
        <v>3.7943351E7</v>
      </c>
      <c r="C1120" s="14">
        <v>1.50727042E8</v>
      </c>
      <c r="D1120" s="2" t="s">
        <v>2951</v>
      </c>
      <c r="E1120" s="1" t="s">
        <v>107</v>
      </c>
      <c r="F1120" s="14">
        <v>0.7506</v>
      </c>
      <c r="G1120" s="15"/>
      <c r="H1120" s="16"/>
      <c r="I1120" s="14"/>
    </row>
    <row r="1121">
      <c r="A1121" s="14">
        <v>419.0</v>
      </c>
      <c r="B1121" s="14">
        <v>4.2835315E7</v>
      </c>
      <c r="C1121" s="14">
        <v>1.69415323E8</v>
      </c>
      <c r="D1121" s="2" t="s">
        <v>2953</v>
      </c>
      <c r="E1121" s="1" t="s">
        <v>107</v>
      </c>
      <c r="F1121" s="14">
        <v>0.7506</v>
      </c>
      <c r="G1121" s="15"/>
      <c r="H1121" s="16"/>
      <c r="I1121" s="14"/>
    </row>
    <row r="1122">
      <c r="A1122" s="14">
        <v>173.0</v>
      </c>
      <c r="B1122" s="14">
        <v>6.45376E7</v>
      </c>
      <c r="C1122" s="14">
        <v>2.62750757E8</v>
      </c>
      <c r="D1122" s="2" t="s">
        <v>2511</v>
      </c>
      <c r="E1122" s="1" t="s">
        <v>107</v>
      </c>
      <c r="F1122" s="14">
        <v>0.7506</v>
      </c>
      <c r="G1122" s="15"/>
      <c r="H1122" s="16"/>
      <c r="I1122" s="14"/>
    </row>
    <row r="1123">
      <c r="A1123" s="14">
        <v>664.0</v>
      </c>
      <c r="B1123" s="14">
        <v>7.1656849E7</v>
      </c>
      <c r="C1123" s="14">
        <v>2.95799054E8</v>
      </c>
      <c r="D1123" s="2" t="s">
        <v>2145</v>
      </c>
      <c r="E1123" s="1" t="s">
        <v>107</v>
      </c>
      <c r="F1123" s="14">
        <v>0.7506</v>
      </c>
      <c r="G1123" s="15"/>
      <c r="H1123" s="16"/>
      <c r="I1123" s="14"/>
    </row>
    <row r="1124">
      <c r="A1124" s="14">
        <v>661.0</v>
      </c>
      <c r="B1124" s="14">
        <v>8.4621848E7</v>
      </c>
      <c r="C1124" s="14">
        <v>3.55994293E8</v>
      </c>
      <c r="D1124" s="2" t="s">
        <v>1457</v>
      </c>
      <c r="E1124" s="1" t="s">
        <v>107</v>
      </c>
      <c r="F1124" s="14">
        <v>0.7506</v>
      </c>
      <c r="G1124" s="15"/>
      <c r="H1124" s="16"/>
      <c r="I1124" s="14"/>
    </row>
    <row r="1125">
      <c r="A1125" s="14">
        <v>654.0</v>
      </c>
      <c r="B1125" s="14">
        <v>1.12643518E8</v>
      </c>
      <c r="C1125" s="14">
        <v>4.89381042E8</v>
      </c>
      <c r="D1125" s="2" t="s">
        <v>20</v>
      </c>
      <c r="E1125" s="1" t="s">
        <v>107</v>
      </c>
      <c r="F1125" s="14">
        <v>0.7506</v>
      </c>
      <c r="G1125" s="15"/>
      <c r="H1125" s="16"/>
      <c r="I1125" s="14"/>
    </row>
    <row r="1126">
      <c r="A1126" s="14">
        <v>353.0</v>
      </c>
      <c r="B1126" s="14">
        <v>1.2307094E7</v>
      </c>
      <c r="C1126" s="14">
        <v>5.2258655E7</v>
      </c>
      <c r="D1126" s="2" t="s">
        <v>2963</v>
      </c>
      <c r="E1126" s="1" t="s">
        <v>699</v>
      </c>
      <c r="F1126" s="14">
        <v>0.7506</v>
      </c>
      <c r="G1126" s="15"/>
      <c r="H1126" s="16"/>
      <c r="I1126" s="14"/>
    </row>
    <row r="1127">
      <c r="A1127" s="14">
        <v>656.0</v>
      </c>
      <c r="B1127" s="14">
        <v>2.9682927E7</v>
      </c>
      <c r="C1127" s="14">
        <v>1.19144588E8</v>
      </c>
      <c r="D1127" s="2" t="s">
        <v>2965</v>
      </c>
      <c r="E1127" s="1" t="s">
        <v>699</v>
      </c>
      <c r="F1127" s="14">
        <v>0.7506</v>
      </c>
      <c r="G1127" s="15"/>
      <c r="H1127" s="16"/>
      <c r="I1127" s="14"/>
    </row>
    <row r="1128">
      <c r="A1128" s="14">
        <v>317.0</v>
      </c>
      <c r="B1128" s="14">
        <v>9.0414899E7</v>
      </c>
      <c r="C1128" s="14">
        <v>3.83203097E8</v>
      </c>
      <c r="D1128" s="2" t="s">
        <v>1114</v>
      </c>
      <c r="E1128" s="1" t="s">
        <v>699</v>
      </c>
      <c r="F1128" s="14">
        <v>0.7506</v>
      </c>
      <c r="G1128" s="15"/>
      <c r="H1128" s="16"/>
      <c r="I1128" s="14"/>
    </row>
    <row r="1129">
      <c r="A1129" s="14">
        <v>498.0</v>
      </c>
      <c r="B1129" s="14">
        <v>9.5454838E7</v>
      </c>
      <c r="C1129" s="14">
        <v>4.07019535E8</v>
      </c>
      <c r="D1129" s="2" t="s">
        <v>861</v>
      </c>
      <c r="E1129" s="1" t="s">
        <v>699</v>
      </c>
      <c r="F1129" s="14">
        <v>0.7506</v>
      </c>
      <c r="G1129" s="15"/>
      <c r="H1129" s="16"/>
      <c r="I1129" s="14"/>
    </row>
    <row r="1130">
      <c r="A1130" s="14">
        <v>578.0</v>
      </c>
      <c r="B1130" s="14">
        <v>1.11531113E8</v>
      </c>
      <c r="C1130" s="14">
        <v>4.83691469E8</v>
      </c>
      <c r="D1130" s="2" t="s">
        <v>42</v>
      </c>
      <c r="E1130" s="1" t="s">
        <v>699</v>
      </c>
      <c r="F1130" s="14">
        <v>0.7506</v>
      </c>
      <c r="G1130" s="15"/>
      <c r="H1130" s="16"/>
      <c r="I1130" s="14"/>
    </row>
    <row r="1131">
      <c r="A1131" s="14">
        <v>484.0</v>
      </c>
      <c r="B1131" s="14">
        <v>3787993.0</v>
      </c>
      <c r="C1131" s="14">
        <v>1.6030268E7</v>
      </c>
      <c r="D1131" s="2" t="s">
        <v>2972</v>
      </c>
      <c r="E1131" s="1" t="s">
        <v>121</v>
      </c>
      <c r="F1131" s="14">
        <v>0.7506</v>
      </c>
      <c r="G1131" s="15"/>
      <c r="H1131" s="16"/>
      <c r="I1131" s="14"/>
    </row>
    <row r="1132">
      <c r="A1132" s="14">
        <v>587.0</v>
      </c>
      <c r="B1132" s="14">
        <v>4.3037204E7</v>
      </c>
      <c r="C1132" s="14">
        <v>1.70175681E8</v>
      </c>
      <c r="D1132" s="2" t="s">
        <v>2974</v>
      </c>
      <c r="E1132" s="1" t="s">
        <v>121</v>
      </c>
      <c r="F1132" s="14">
        <v>0.7506</v>
      </c>
      <c r="G1132" s="15"/>
      <c r="H1132" s="16"/>
      <c r="I1132" s="14"/>
    </row>
    <row r="1133">
      <c r="A1133" s="14">
        <v>571.0</v>
      </c>
      <c r="B1133" s="14">
        <v>5.4231028E7</v>
      </c>
      <c r="C1133" s="14">
        <v>2.16067527E8</v>
      </c>
      <c r="D1133" s="2" t="s">
        <v>2870</v>
      </c>
      <c r="E1133" s="1" t="s">
        <v>121</v>
      </c>
      <c r="F1133" s="14">
        <v>0.7506</v>
      </c>
      <c r="G1133" s="15"/>
      <c r="H1133" s="16"/>
      <c r="I1133" s="14"/>
    </row>
    <row r="1134">
      <c r="A1134" s="14">
        <v>337.0</v>
      </c>
      <c r="B1134" s="14">
        <v>6.6876434E7</v>
      </c>
      <c r="C1134" s="14">
        <v>2.7386904E8</v>
      </c>
      <c r="D1134" s="2" t="s">
        <v>2394</v>
      </c>
      <c r="E1134" s="1" t="s">
        <v>121</v>
      </c>
      <c r="F1134" s="14">
        <v>0.7506</v>
      </c>
      <c r="G1134" s="15"/>
      <c r="H1134" s="16"/>
      <c r="I1134" s="14"/>
    </row>
    <row r="1135">
      <c r="A1135" s="14">
        <v>564.0</v>
      </c>
      <c r="B1135" s="14">
        <v>3943145.0</v>
      </c>
      <c r="C1135" s="14">
        <v>1.6706384E7</v>
      </c>
      <c r="D1135" s="2" t="s">
        <v>2979</v>
      </c>
      <c r="E1135" s="1" t="s">
        <v>121</v>
      </c>
      <c r="F1135" s="14">
        <v>0.7501</v>
      </c>
      <c r="G1135" s="15"/>
      <c r="H1135" s="16"/>
      <c r="I1135" s="14"/>
    </row>
    <row r="1136">
      <c r="A1136" s="14">
        <v>661.0</v>
      </c>
      <c r="B1136" s="14">
        <v>6.2565195E7</v>
      </c>
      <c r="C1136" s="14">
        <v>2.52979107E8</v>
      </c>
      <c r="D1136" s="2" t="s">
        <v>2590</v>
      </c>
      <c r="E1136" s="1" t="s">
        <v>699</v>
      </c>
      <c r="F1136" s="14">
        <v>0.75</v>
      </c>
      <c r="G1136" s="15"/>
      <c r="H1136" s="16"/>
      <c r="I1136" s="14"/>
    </row>
    <row r="1137">
      <c r="A1137" s="14">
        <v>462.0</v>
      </c>
      <c r="B1137" s="14">
        <v>9.3781878E7</v>
      </c>
      <c r="C1137" s="14">
        <v>3.98405817E8</v>
      </c>
      <c r="D1137" s="2" t="s">
        <v>939</v>
      </c>
      <c r="E1137" s="1" t="s">
        <v>699</v>
      </c>
      <c r="F1137" s="14">
        <v>0.75</v>
      </c>
      <c r="G1137" s="15"/>
      <c r="H1137" s="16"/>
      <c r="I1137" s="14"/>
    </row>
    <row r="1138">
      <c r="A1138" s="14">
        <v>587.0</v>
      </c>
      <c r="B1138" s="14">
        <v>1.03870273E8</v>
      </c>
      <c r="C1138" s="14">
        <v>4.46776832E8</v>
      </c>
      <c r="D1138" s="2" t="s">
        <v>388</v>
      </c>
      <c r="E1138" s="1" t="s">
        <v>121</v>
      </c>
      <c r="F1138" s="14">
        <v>0.7497</v>
      </c>
      <c r="G1138" s="15"/>
      <c r="H1138" s="16"/>
      <c r="I1138" s="14"/>
    </row>
    <row r="1139">
      <c r="A1139" s="14">
        <v>571.0</v>
      </c>
      <c r="B1139" s="14">
        <v>6.6961501E7</v>
      </c>
      <c r="C1139" s="14">
        <v>2.74152052E8</v>
      </c>
      <c r="D1139" s="2" t="s">
        <v>2386</v>
      </c>
      <c r="E1139" s="1" t="s">
        <v>107</v>
      </c>
      <c r="F1139" s="14">
        <v>0.7495</v>
      </c>
      <c r="G1139" s="15"/>
      <c r="H1139" s="16"/>
      <c r="I1139" s="14"/>
    </row>
    <row r="1140">
      <c r="A1140" s="14">
        <v>409.0</v>
      </c>
      <c r="B1140" s="14">
        <v>1.02393375E8</v>
      </c>
      <c r="C1140" s="14">
        <v>4.39866099E8</v>
      </c>
      <c r="D1140" s="2" t="s">
        <v>443</v>
      </c>
      <c r="E1140" s="1" t="s">
        <v>107</v>
      </c>
      <c r="F1140" s="14">
        <v>0.7494</v>
      </c>
      <c r="G1140" s="15"/>
      <c r="H1140" s="16"/>
      <c r="I1140" s="14"/>
    </row>
    <row r="1141">
      <c r="A1141" s="14">
        <v>602.0</v>
      </c>
      <c r="B1141" s="14">
        <v>8.3020793E7</v>
      </c>
      <c r="C1141" s="14">
        <v>3.4926063E8</v>
      </c>
      <c r="D1141" s="2" t="s">
        <v>1565</v>
      </c>
      <c r="E1141" s="1" t="s">
        <v>121</v>
      </c>
      <c r="F1141" s="14">
        <v>0.7493</v>
      </c>
      <c r="G1141" s="15"/>
      <c r="H1141" s="16"/>
      <c r="I1141" s="14"/>
    </row>
    <row r="1142">
      <c r="A1142" s="14">
        <v>403.0</v>
      </c>
      <c r="B1142" s="14">
        <v>5.7256662E7</v>
      </c>
      <c r="C1142" s="14">
        <v>2.27909707E8</v>
      </c>
      <c r="D1142" s="2" t="s">
        <v>2769</v>
      </c>
      <c r="E1142" s="1" t="s">
        <v>699</v>
      </c>
      <c r="F1142" s="14">
        <v>0.749</v>
      </c>
      <c r="G1142" s="15"/>
      <c r="H1142" s="16"/>
      <c r="I1142" s="14"/>
    </row>
    <row r="1143">
      <c r="A1143" s="14">
        <v>224.0</v>
      </c>
      <c r="B1143" s="14">
        <v>5.1679016E7</v>
      </c>
      <c r="C1143" s="14">
        <v>2.04761275E8</v>
      </c>
      <c r="D1143" s="2" t="s">
        <v>2958</v>
      </c>
      <c r="E1143" s="1" t="s">
        <v>107</v>
      </c>
      <c r="F1143" s="14">
        <v>0.7485</v>
      </c>
      <c r="G1143" s="15"/>
      <c r="H1143" s="16"/>
      <c r="I1143" s="14"/>
    </row>
    <row r="1144">
      <c r="A1144" s="14">
        <v>210.0</v>
      </c>
      <c r="B1144" s="14">
        <v>7.5972259E7</v>
      </c>
      <c r="C1144" s="14">
        <v>3.15100251E8</v>
      </c>
      <c r="D1144" s="2" t="s">
        <v>1973</v>
      </c>
      <c r="E1144" s="1" t="s">
        <v>107</v>
      </c>
      <c r="F1144" s="14">
        <v>0.7485</v>
      </c>
      <c r="G1144" s="15"/>
      <c r="H1144" s="16"/>
      <c r="I1144" s="14"/>
    </row>
    <row r="1145">
      <c r="A1145" s="14">
        <v>353.0</v>
      </c>
      <c r="B1145" s="14">
        <v>1.01228044E8</v>
      </c>
      <c r="C1145" s="14">
        <v>4.34183927E8</v>
      </c>
      <c r="D1145" s="2" t="s">
        <v>516</v>
      </c>
      <c r="E1145" s="1" t="s">
        <v>107</v>
      </c>
      <c r="F1145" s="14">
        <v>0.7485</v>
      </c>
      <c r="G1145" s="15"/>
      <c r="H1145" s="16"/>
      <c r="I1145" s="14"/>
    </row>
    <row r="1146">
      <c r="A1146" s="14">
        <v>353.0</v>
      </c>
      <c r="B1146" s="14">
        <v>1.02962807E8</v>
      </c>
      <c r="C1146" s="14">
        <v>4.42681167E8</v>
      </c>
      <c r="D1146" s="2" t="s">
        <v>424</v>
      </c>
      <c r="E1146" s="1" t="s">
        <v>107</v>
      </c>
      <c r="F1146" s="14">
        <v>0.7485</v>
      </c>
      <c r="G1146" s="15"/>
      <c r="H1146" s="16"/>
      <c r="I1146" s="14"/>
    </row>
    <row r="1147">
      <c r="A1147" s="14">
        <v>403.0</v>
      </c>
      <c r="B1147" s="14">
        <v>1.12286041E8</v>
      </c>
      <c r="C1147" s="14">
        <v>4.87399454E8</v>
      </c>
      <c r="D1147" s="2" t="s">
        <v>32</v>
      </c>
      <c r="E1147" s="1" t="s">
        <v>107</v>
      </c>
      <c r="F1147" s="14">
        <v>0.7484</v>
      </c>
      <c r="G1147" s="15"/>
      <c r="H1147" s="16"/>
      <c r="I1147" s="14"/>
    </row>
    <row r="1148">
      <c r="A1148" s="14">
        <v>565.0</v>
      </c>
      <c r="B1148" s="14">
        <v>5.9925787E7</v>
      </c>
      <c r="C1148" s="14">
        <v>2.40109742E8</v>
      </c>
      <c r="D1148" s="2" t="s">
        <v>2695</v>
      </c>
      <c r="E1148" s="1" t="s">
        <v>107</v>
      </c>
      <c r="F1148" s="14">
        <v>0.7476</v>
      </c>
      <c r="G1148" s="15"/>
      <c r="H1148" s="16"/>
      <c r="I1148" s="14"/>
    </row>
    <row r="1149">
      <c r="A1149" s="14">
        <v>503.0</v>
      </c>
      <c r="B1149" s="14">
        <v>5507348.0</v>
      </c>
      <c r="C1149" s="14">
        <v>2.3625516E7</v>
      </c>
      <c r="D1149" s="2" t="s">
        <v>3003</v>
      </c>
      <c r="E1149" s="1" t="s">
        <v>699</v>
      </c>
      <c r="F1149" s="14">
        <v>0.7469</v>
      </c>
      <c r="G1149" s="15"/>
      <c r="H1149" s="16"/>
      <c r="I1149" s="14"/>
    </row>
    <row r="1150">
      <c r="A1150" s="14">
        <v>471.0</v>
      </c>
      <c r="B1150" s="14">
        <v>4.9811819E7</v>
      </c>
      <c r="C1150" s="14">
        <v>1.97638497E8</v>
      </c>
      <c r="D1150" s="2" t="s">
        <v>3005</v>
      </c>
      <c r="E1150" s="1" t="s">
        <v>121</v>
      </c>
      <c r="F1150" s="14">
        <v>0.7468</v>
      </c>
      <c r="G1150" s="15"/>
      <c r="H1150" s="16"/>
      <c r="I1150" s="14"/>
    </row>
    <row r="1151">
      <c r="A1151" s="14">
        <v>610.0</v>
      </c>
      <c r="B1151" s="14">
        <v>3292322.0</v>
      </c>
      <c r="C1151" s="14">
        <v>1.3943471E7</v>
      </c>
      <c r="D1151" s="2" t="s">
        <v>3007</v>
      </c>
      <c r="E1151" s="1" t="s">
        <v>107</v>
      </c>
      <c r="F1151" s="14">
        <v>0.7455</v>
      </c>
      <c r="G1151" s="15"/>
      <c r="H1151" s="16"/>
      <c r="I1151" s="14"/>
    </row>
    <row r="1152">
      <c r="A1152" s="14">
        <v>492.0</v>
      </c>
      <c r="B1152" s="14">
        <v>8.1270286E7</v>
      </c>
      <c r="C1152" s="14">
        <v>3.40071083E8</v>
      </c>
      <c r="D1152" s="2" t="s">
        <v>1684</v>
      </c>
      <c r="E1152" s="1" t="s">
        <v>121</v>
      </c>
      <c r="F1152" s="14">
        <v>0.7445</v>
      </c>
      <c r="G1152" s="15"/>
      <c r="H1152" s="16"/>
      <c r="I1152" s="14"/>
    </row>
    <row r="1153">
      <c r="A1153" s="14">
        <v>228.0</v>
      </c>
      <c r="B1153" s="14">
        <v>620851.0</v>
      </c>
      <c r="C1153" s="14">
        <v>3014689.0</v>
      </c>
      <c r="D1153" s="2" t="s">
        <v>3009</v>
      </c>
      <c r="E1153" s="1" t="s">
        <v>107</v>
      </c>
      <c r="F1153" s="14">
        <v>0.7437</v>
      </c>
      <c r="G1153" s="15"/>
      <c r="H1153" s="16"/>
      <c r="I1153" s="14"/>
    </row>
    <row r="1154">
      <c r="A1154" s="14">
        <v>410.0</v>
      </c>
      <c r="B1154" s="14">
        <v>4772937.0</v>
      </c>
      <c r="C1154" s="14">
        <v>2.0287461E7</v>
      </c>
      <c r="D1154" s="2" t="s">
        <v>3011</v>
      </c>
      <c r="E1154" s="1" t="s">
        <v>107</v>
      </c>
      <c r="F1154" s="14">
        <v>0.743</v>
      </c>
      <c r="G1154" s="15"/>
      <c r="H1154" s="16"/>
      <c r="I1154" s="14"/>
    </row>
    <row r="1155">
      <c r="A1155" s="14">
        <v>403.0</v>
      </c>
      <c r="B1155" s="14">
        <v>5120739.0</v>
      </c>
      <c r="C1155" s="14">
        <v>2.1795436E7</v>
      </c>
      <c r="D1155" s="2" t="s">
        <v>3014</v>
      </c>
      <c r="E1155" s="1" t="s">
        <v>107</v>
      </c>
      <c r="F1155" s="14">
        <v>0.743</v>
      </c>
      <c r="G1155" s="15"/>
      <c r="H1155" s="16"/>
      <c r="I1155" s="14"/>
    </row>
    <row r="1156">
      <c r="A1156" s="14">
        <v>531.0</v>
      </c>
      <c r="B1156" s="14">
        <v>1.0044252E7</v>
      </c>
      <c r="C1156" s="14">
        <v>4.2748026E7</v>
      </c>
      <c r="D1156" s="2" t="s">
        <v>3016</v>
      </c>
      <c r="E1156" s="1" t="s">
        <v>107</v>
      </c>
      <c r="F1156" s="14">
        <v>0.743</v>
      </c>
      <c r="G1156" s="15"/>
      <c r="H1156" s="16"/>
      <c r="I1156" s="14"/>
    </row>
    <row r="1157">
      <c r="A1157" s="14">
        <v>215.0</v>
      </c>
      <c r="B1157" s="14">
        <v>4.1765034E7</v>
      </c>
      <c r="C1157" s="14">
        <v>1.65476162E8</v>
      </c>
      <c r="D1157" s="2" t="s">
        <v>3019</v>
      </c>
      <c r="E1157" s="1" t="s">
        <v>107</v>
      </c>
      <c r="F1157" s="14">
        <v>0.743</v>
      </c>
      <c r="G1157" s="15"/>
      <c r="H1157" s="16"/>
      <c r="I1157" s="14"/>
    </row>
    <row r="1158">
      <c r="A1158" s="14">
        <v>173.0</v>
      </c>
      <c r="B1158" s="14">
        <v>6.1266523E7</v>
      </c>
      <c r="C1158" s="14">
        <v>2.46462838E8</v>
      </c>
      <c r="D1158" s="2" t="s">
        <v>2640</v>
      </c>
      <c r="E1158" s="1" t="s">
        <v>107</v>
      </c>
      <c r="F1158" s="14">
        <v>0.743</v>
      </c>
      <c r="G1158" s="15"/>
      <c r="H1158" s="16"/>
      <c r="I1158" s="14"/>
    </row>
    <row r="1159">
      <c r="A1159" s="14">
        <v>672.0</v>
      </c>
      <c r="B1159" s="14">
        <v>9.1415732E7</v>
      </c>
      <c r="C1159" s="14">
        <v>3.87920789E8</v>
      </c>
      <c r="D1159" s="2" t="s">
        <v>1058</v>
      </c>
      <c r="E1159" s="1" t="s">
        <v>107</v>
      </c>
      <c r="F1159" s="14">
        <v>0.743</v>
      </c>
      <c r="G1159" s="15"/>
      <c r="H1159" s="16"/>
      <c r="I1159" s="14"/>
    </row>
    <row r="1160">
      <c r="A1160" s="14">
        <v>319.0</v>
      </c>
      <c r="B1160" s="14">
        <v>1.03626929E8</v>
      </c>
      <c r="C1160" s="14">
        <v>4.46192099E8</v>
      </c>
      <c r="D1160" s="2" t="s">
        <v>397</v>
      </c>
      <c r="E1160" s="1" t="s">
        <v>107</v>
      </c>
      <c r="F1160" s="14">
        <v>0.743</v>
      </c>
      <c r="G1160" s="15"/>
      <c r="H1160" s="16"/>
      <c r="I1160" s="14"/>
    </row>
    <row r="1161">
      <c r="A1161" s="14">
        <v>671.0</v>
      </c>
      <c r="B1161" s="14">
        <v>1.08785522E8</v>
      </c>
      <c r="C1161" s="14">
        <v>4.70340786E8</v>
      </c>
      <c r="D1161" s="2" t="s">
        <v>169</v>
      </c>
      <c r="E1161" s="1" t="s">
        <v>107</v>
      </c>
      <c r="F1161" s="14">
        <v>0.743</v>
      </c>
      <c r="G1161" s="15"/>
      <c r="H1161" s="16"/>
      <c r="I1161" s="14"/>
    </row>
    <row r="1162">
      <c r="A1162" s="14">
        <v>671.0</v>
      </c>
      <c r="B1162" s="14">
        <v>4198210.0</v>
      </c>
      <c r="C1162" s="14">
        <v>1.7770871E7</v>
      </c>
      <c r="D1162" s="2" t="s">
        <v>3025</v>
      </c>
      <c r="E1162" s="1" t="s">
        <v>699</v>
      </c>
      <c r="F1162" s="14">
        <v>0.743</v>
      </c>
      <c r="G1162" s="15"/>
      <c r="H1162" s="16"/>
      <c r="I1162" s="14"/>
    </row>
    <row r="1163">
      <c r="A1163" s="14">
        <v>608.0</v>
      </c>
      <c r="B1163" s="14">
        <v>6776741.0</v>
      </c>
      <c r="C1163" s="14">
        <v>2.8804349E7</v>
      </c>
      <c r="D1163" s="2" t="s">
        <v>3027</v>
      </c>
      <c r="E1163" s="1" t="s">
        <v>699</v>
      </c>
      <c r="F1163" s="14">
        <v>0.743</v>
      </c>
      <c r="G1163" s="15"/>
      <c r="H1163" s="16"/>
      <c r="I1163" s="14"/>
    </row>
    <row r="1164">
      <c r="A1164" s="14">
        <v>571.0</v>
      </c>
      <c r="B1164" s="14">
        <v>6.364044E7</v>
      </c>
      <c r="C1164" s="14">
        <v>2.58298067E8</v>
      </c>
      <c r="D1164" s="2" t="s">
        <v>2543</v>
      </c>
      <c r="E1164" s="1" t="s">
        <v>699</v>
      </c>
      <c r="F1164" s="14">
        <v>0.743</v>
      </c>
      <c r="G1164" s="15"/>
      <c r="H1164" s="16"/>
      <c r="I1164" s="14"/>
    </row>
    <row r="1165">
      <c r="A1165" s="14">
        <v>337.0</v>
      </c>
      <c r="B1165" s="14">
        <v>7.4657983E7</v>
      </c>
      <c r="C1165" s="14">
        <v>3.09067201E8</v>
      </c>
      <c r="D1165" s="2" t="s">
        <v>2043</v>
      </c>
      <c r="E1165" s="1" t="s">
        <v>699</v>
      </c>
      <c r="F1165" s="14">
        <v>0.743</v>
      </c>
      <c r="G1165" s="15"/>
      <c r="H1165" s="16"/>
      <c r="I1165" s="14"/>
    </row>
    <row r="1166">
      <c r="A1166" s="14">
        <v>392.0</v>
      </c>
      <c r="B1166" s="14">
        <v>2.1140526E7</v>
      </c>
      <c r="C1166" s="14">
        <v>8.76342E7</v>
      </c>
      <c r="D1166" s="2" t="s">
        <v>3031</v>
      </c>
      <c r="E1166" s="1" t="s">
        <v>121</v>
      </c>
      <c r="F1166" s="14">
        <v>0.743</v>
      </c>
      <c r="G1166" s="15"/>
      <c r="H1166" s="16"/>
      <c r="I1166" s="14"/>
    </row>
    <row r="1167">
      <c r="A1167" s="14">
        <v>664.0</v>
      </c>
      <c r="B1167" s="14">
        <v>2.8367364E7</v>
      </c>
      <c r="C1167" s="14">
        <v>1.14222389E8</v>
      </c>
      <c r="D1167" s="2" t="s">
        <v>3033</v>
      </c>
      <c r="E1167" s="1" t="s">
        <v>121</v>
      </c>
      <c r="F1167" s="14">
        <v>0.743</v>
      </c>
      <c r="G1167" s="15"/>
      <c r="H1167" s="16"/>
      <c r="I1167" s="14"/>
    </row>
    <row r="1168">
      <c r="A1168" s="14">
        <v>414.0</v>
      </c>
      <c r="B1168" s="14">
        <v>7.2874189E7</v>
      </c>
      <c r="C1168" s="14">
        <v>3.01221478E8</v>
      </c>
      <c r="D1168" s="2" t="s">
        <v>2091</v>
      </c>
      <c r="E1168" s="1" t="s">
        <v>107</v>
      </c>
      <c r="F1168" s="14">
        <v>0.7424</v>
      </c>
      <c r="G1168" s="15"/>
      <c r="H1168" s="16"/>
      <c r="I1168" s="14"/>
    </row>
    <row r="1169">
      <c r="A1169" s="14">
        <v>394.0</v>
      </c>
      <c r="B1169" s="14">
        <v>1.0616241E8</v>
      </c>
      <c r="C1169" s="14">
        <v>4.57514286E8</v>
      </c>
      <c r="D1169" s="2" t="s">
        <v>307</v>
      </c>
      <c r="E1169" s="1" t="s">
        <v>107</v>
      </c>
      <c r="F1169" s="14">
        <v>0.7424</v>
      </c>
      <c r="G1169" s="15"/>
      <c r="H1169" s="16"/>
      <c r="I1169" s="14"/>
    </row>
    <row r="1170">
      <c r="A1170" s="14">
        <v>403.0</v>
      </c>
      <c r="B1170" s="14">
        <v>7.7851252E7</v>
      </c>
      <c r="C1170" s="14">
        <v>3.35753656E8</v>
      </c>
      <c r="D1170" s="2" t="s">
        <v>1869</v>
      </c>
      <c r="E1170" s="1" t="s">
        <v>699</v>
      </c>
      <c r="F1170" s="14">
        <v>0.7424</v>
      </c>
      <c r="G1170" s="15"/>
      <c r="H1170" s="16"/>
      <c r="I1170" s="14"/>
    </row>
    <row r="1171">
      <c r="A1171" s="14">
        <v>601.0</v>
      </c>
      <c r="B1171" s="14">
        <v>2690088.0</v>
      </c>
      <c r="C1171" s="14">
        <v>1.1325198E7</v>
      </c>
      <c r="D1171" s="2" t="s">
        <v>3039</v>
      </c>
      <c r="E1171" s="1" t="s">
        <v>121</v>
      </c>
      <c r="F1171" s="14">
        <v>0.742</v>
      </c>
      <c r="G1171" s="15"/>
      <c r="H1171" s="16"/>
      <c r="I1171" s="14"/>
    </row>
    <row r="1172">
      <c r="A1172" s="14">
        <v>587.0</v>
      </c>
      <c r="B1172" s="14">
        <v>3312951.0</v>
      </c>
      <c r="C1172" s="14">
        <v>1.4040426E7</v>
      </c>
      <c r="D1172" s="2" t="s">
        <v>3042</v>
      </c>
      <c r="E1172" s="1" t="s">
        <v>107</v>
      </c>
      <c r="F1172" s="14">
        <v>0.7419</v>
      </c>
      <c r="G1172" s="15"/>
      <c r="H1172" s="16"/>
      <c r="I1172" s="14"/>
    </row>
    <row r="1173">
      <c r="A1173" s="14">
        <v>455.0</v>
      </c>
      <c r="B1173" s="14">
        <v>8.5123632E7</v>
      </c>
      <c r="C1173" s="14">
        <v>3.58626524E8</v>
      </c>
      <c r="D1173" s="2" t="s">
        <v>1419</v>
      </c>
      <c r="E1173" s="1" t="s">
        <v>107</v>
      </c>
      <c r="F1173" s="14">
        <v>0.7408</v>
      </c>
      <c r="G1173" s="15"/>
      <c r="H1173" s="16"/>
      <c r="I1173" s="14"/>
    </row>
    <row r="1174">
      <c r="A1174" s="14">
        <v>353.0</v>
      </c>
      <c r="B1174" s="14">
        <v>9.2801666E7</v>
      </c>
      <c r="C1174" s="14">
        <v>3.940179E8</v>
      </c>
      <c r="D1174" s="2" t="s">
        <v>993</v>
      </c>
      <c r="E1174" s="1" t="s">
        <v>107</v>
      </c>
      <c r="F1174" s="14">
        <v>0.7408</v>
      </c>
      <c r="G1174" s="15"/>
      <c r="H1174" s="16"/>
      <c r="I1174" s="14"/>
    </row>
    <row r="1175">
      <c r="A1175" s="14">
        <v>671.0</v>
      </c>
      <c r="B1175" s="14">
        <v>9.3668612E7</v>
      </c>
      <c r="C1175" s="14">
        <v>3.98158499E8</v>
      </c>
      <c r="D1175" s="2" t="s">
        <v>955</v>
      </c>
      <c r="E1175" s="1" t="s">
        <v>107</v>
      </c>
      <c r="F1175" s="14">
        <v>0.7407</v>
      </c>
      <c r="G1175" s="15"/>
      <c r="H1175" s="16"/>
      <c r="I1175" s="14"/>
    </row>
    <row r="1176">
      <c r="A1176" s="14">
        <v>353.0</v>
      </c>
      <c r="B1176" s="14">
        <v>5.1505355E7</v>
      </c>
      <c r="C1176" s="14">
        <v>2.04029606E8</v>
      </c>
      <c r="D1176" s="2" t="s">
        <v>2967</v>
      </c>
      <c r="E1176" s="1" t="s">
        <v>121</v>
      </c>
      <c r="F1176" s="14">
        <v>0.7407</v>
      </c>
      <c r="G1176" s="15"/>
      <c r="H1176" s="16"/>
      <c r="I1176" s="14"/>
    </row>
    <row r="1177">
      <c r="A1177" s="14">
        <v>380.0</v>
      </c>
      <c r="B1177" s="14">
        <v>3.7596485E7</v>
      </c>
      <c r="C1177" s="14">
        <v>1.49393013E8</v>
      </c>
      <c r="D1177" s="2" t="s">
        <v>3050</v>
      </c>
      <c r="E1177" s="1" t="s">
        <v>107</v>
      </c>
      <c r="F1177" s="14">
        <v>0.7405</v>
      </c>
      <c r="G1177" s="15"/>
      <c r="H1177" s="16"/>
      <c r="I1177" s="14"/>
    </row>
    <row r="1178">
      <c r="A1178" s="14">
        <v>570.0</v>
      </c>
      <c r="B1178" s="14">
        <v>4673320.0</v>
      </c>
      <c r="C1178" s="14">
        <v>1.9824046E7</v>
      </c>
      <c r="D1178" s="2" t="s">
        <v>3053</v>
      </c>
      <c r="E1178" s="1" t="s">
        <v>107</v>
      </c>
      <c r="F1178" s="14">
        <v>0.7402</v>
      </c>
      <c r="G1178" s="15"/>
      <c r="H1178" s="16"/>
      <c r="I1178" s="14"/>
    </row>
    <row r="1179">
      <c r="A1179" s="14">
        <v>394.0</v>
      </c>
      <c r="B1179" s="14">
        <v>5.197581E7</v>
      </c>
      <c r="C1179" s="14">
        <v>2.0614425E8</v>
      </c>
      <c r="D1179" s="2" t="s">
        <v>2946</v>
      </c>
      <c r="E1179" s="1" t="s">
        <v>107</v>
      </c>
      <c r="F1179" s="14">
        <v>0.7402</v>
      </c>
      <c r="G1179" s="15"/>
      <c r="H1179" s="16"/>
      <c r="I1179" s="14"/>
    </row>
    <row r="1180">
      <c r="A1180" s="14">
        <v>394.0</v>
      </c>
      <c r="B1180" s="14">
        <v>9.333996E7</v>
      </c>
      <c r="C1180" s="14">
        <v>3.96402984E8</v>
      </c>
      <c r="D1180" s="2" t="s">
        <v>344</v>
      </c>
      <c r="E1180" s="1" t="s">
        <v>107</v>
      </c>
      <c r="F1180" s="14">
        <v>0.7402</v>
      </c>
      <c r="G1180" s="15"/>
      <c r="H1180" s="16"/>
      <c r="I1180" s="14"/>
    </row>
    <row r="1181">
      <c r="A1181" s="14">
        <v>656.0</v>
      </c>
      <c r="B1181" s="14">
        <v>1.05120426E8</v>
      </c>
      <c r="C1181" s="14">
        <v>4.52789419E8</v>
      </c>
      <c r="D1181" s="2" t="s">
        <v>344</v>
      </c>
      <c r="E1181" s="1" t="s">
        <v>107</v>
      </c>
      <c r="F1181" s="14">
        <v>0.7402</v>
      </c>
      <c r="G1181" s="15"/>
      <c r="H1181" s="16"/>
      <c r="I1181" s="14"/>
    </row>
    <row r="1182">
      <c r="A1182" s="14">
        <v>504.0</v>
      </c>
      <c r="B1182" s="14">
        <v>7529600.0</v>
      </c>
      <c r="C1182" s="14">
        <v>3.2043769E7</v>
      </c>
      <c r="D1182" s="2" t="s">
        <v>3058</v>
      </c>
      <c r="E1182" s="1" t="s">
        <v>121</v>
      </c>
      <c r="F1182" s="14">
        <v>0.7402</v>
      </c>
      <c r="G1182" s="15"/>
      <c r="H1182" s="16"/>
      <c r="I1182" s="14"/>
    </row>
    <row r="1183">
      <c r="A1183" s="14">
        <v>257.0</v>
      </c>
      <c r="B1183" s="14">
        <v>3048929.0</v>
      </c>
      <c r="C1183" s="14">
        <v>1.2926989E7</v>
      </c>
      <c r="D1183" s="2" t="s">
        <v>3061</v>
      </c>
      <c r="E1183" s="1" t="s">
        <v>107</v>
      </c>
      <c r="F1183" s="14">
        <v>0.7399</v>
      </c>
      <c r="G1183" s="15"/>
      <c r="H1183" s="16"/>
      <c r="I1183" s="14"/>
    </row>
    <row r="1184">
      <c r="A1184" s="14">
        <v>320.0</v>
      </c>
      <c r="B1184" s="14">
        <v>1.12843057E8</v>
      </c>
      <c r="C1184" s="14">
        <v>4.90601249E8</v>
      </c>
      <c r="D1184" s="2" t="s">
        <v>16</v>
      </c>
      <c r="E1184" s="1" t="s">
        <v>107</v>
      </c>
      <c r="F1184" s="14">
        <v>0.7397</v>
      </c>
      <c r="G1184" s="15"/>
      <c r="H1184" s="16"/>
      <c r="I1184" s="14"/>
    </row>
    <row r="1185">
      <c r="A1185" s="14">
        <v>674.0</v>
      </c>
      <c r="B1185" s="14">
        <v>1.12407464E8</v>
      </c>
      <c r="C1185" s="14">
        <v>4.88271951E8</v>
      </c>
      <c r="D1185" s="2" t="s">
        <v>26</v>
      </c>
      <c r="E1185" s="1" t="s">
        <v>107</v>
      </c>
      <c r="F1185" s="14">
        <v>0.7394</v>
      </c>
      <c r="G1185" s="15"/>
      <c r="H1185" s="16"/>
      <c r="I1185" s="14"/>
    </row>
    <row r="1186">
      <c r="A1186" s="14">
        <v>414.0</v>
      </c>
      <c r="B1186" s="14">
        <v>2927844.0</v>
      </c>
      <c r="C1186" s="14">
        <v>1.2405442E7</v>
      </c>
      <c r="D1186" s="2" t="s">
        <v>3066</v>
      </c>
      <c r="E1186" s="1" t="s">
        <v>121</v>
      </c>
      <c r="F1186" s="14">
        <v>0.7385</v>
      </c>
      <c r="G1186" s="15"/>
      <c r="H1186" s="16"/>
      <c r="I1186" s="14"/>
    </row>
    <row r="1187">
      <c r="A1187" s="14">
        <v>414.0</v>
      </c>
      <c r="B1187" s="14">
        <v>3.8325826E7</v>
      </c>
      <c r="C1187" s="14">
        <v>1.52041085E8</v>
      </c>
      <c r="D1187" s="2" t="s">
        <v>3069</v>
      </c>
      <c r="E1187" s="1" t="s">
        <v>121</v>
      </c>
      <c r="F1187" s="14">
        <v>0.7381</v>
      </c>
      <c r="G1187" s="15"/>
      <c r="H1187" s="16"/>
      <c r="I1187" s="14"/>
    </row>
    <row r="1188">
      <c r="A1188" s="14">
        <v>504.0</v>
      </c>
      <c r="B1188" s="14">
        <v>2.4101656E7</v>
      </c>
      <c r="C1188" s="14">
        <v>9.9095795E7</v>
      </c>
      <c r="D1188" s="2" t="s">
        <v>3070</v>
      </c>
      <c r="E1188" s="1" t="s">
        <v>107</v>
      </c>
      <c r="F1188" s="14">
        <v>0.7371</v>
      </c>
      <c r="G1188" s="15"/>
      <c r="H1188" s="16"/>
      <c r="I1188" s="14"/>
    </row>
    <row r="1189">
      <c r="A1189" s="14">
        <v>609.0</v>
      </c>
      <c r="B1189" s="14">
        <v>4470599.0</v>
      </c>
      <c r="C1189" s="14">
        <v>1.8976999E7</v>
      </c>
      <c r="D1189" s="2" t="s">
        <v>3072</v>
      </c>
      <c r="E1189" s="1" t="s">
        <v>121</v>
      </c>
      <c r="F1189" s="14">
        <v>0.7359</v>
      </c>
      <c r="G1189" s="15"/>
      <c r="H1189" s="16"/>
      <c r="I1189" s="14"/>
    </row>
    <row r="1190">
      <c r="A1190" s="14">
        <v>459.0</v>
      </c>
      <c r="B1190" s="14">
        <v>2816750.0</v>
      </c>
      <c r="C1190" s="14">
        <v>1.1933435E7</v>
      </c>
      <c r="D1190" s="2" t="s">
        <v>3073</v>
      </c>
      <c r="E1190" s="1" t="s">
        <v>107</v>
      </c>
      <c r="F1190" s="14">
        <v>0.7351</v>
      </c>
      <c r="G1190" s="15"/>
      <c r="H1190" s="16"/>
      <c r="I1190" s="14"/>
    </row>
    <row r="1191">
      <c r="A1191" s="14">
        <v>224.0</v>
      </c>
      <c r="B1191" s="14">
        <v>3669003.0</v>
      </c>
      <c r="C1191" s="14">
        <v>1.5545882E7</v>
      </c>
      <c r="D1191" s="2" t="s">
        <v>3074</v>
      </c>
      <c r="E1191" s="1" t="s">
        <v>107</v>
      </c>
      <c r="F1191" s="14">
        <v>0.7351</v>
      </c>
      <c r="G1191" s="15"/>
      <c r="H1191" s="16"/>
      <c r="I1191" s="14"/>
    </row>
    <row r="1192">
      <c r="A1192" s="14">
        <v>672.0</v>
      </c>
      <c r="B1192" s="14">
        <v>3807935.0</v>
      </c>
      <c r="C1192" s="14">
        <v>1.6164008E7</v>
      </c>
      <c r="D1192" s="2" t="s">
        <v>3075</v>
      </c>
      <c r="E1192" s="1" t="s">
        <v>107</v>
      </c>
      <c r="F1192" s="14">
        <v>0.7351</v>
      </c>
      <c r="G1192" s="15"/>
      <c r="H1192" s="16"/>
      <c r="I1192" s="14"/>
    </row>
    <row r="1193">
      <c r="A1193" s="14">
        <v>578.0</v>
      </c>
      <c r="B1193" s="14">
        <v>5796980.0</v>
      </c>
      <c r="C1193" s="14">
        <v>2.4905926E7</v>
      </c>
      <c r="D1193" s="2" t="s">
        <v>3078</v>
      </c>
      <c r="E1193" s="1" t="s">
        <v>107</v>
      </c>
      <c r="F1193" s="14">
        <v>0.7351</v>
      </c>
      <c r="G1193" s="15"/>
      <c r="H1193" s="16"/>
      <c r="I1193" s="14"/>
    </row>
    <row r="1194">
      <c r="A1194" s="14">
        <v>571.0</v>
      </c>
      <c r="B1194" s="14">
        <v>6440685.0</v>
      </c>
      <c r="C1194" s="14">
        <v>2.7428426E7</v>
      </c>
      <c r="D1194" s="2" t="s">
        <v>3080</v>
      </c>
      <c r="E1194" s="1" t="s">
        <v>107</v>
      </c>
      <c r="F1194" s="14">
        <v>0.7351</v>
      </c>
      <c r="G1194" s="15"/>
      <c r="H1194" s="16"/>
      <c r="I1194" s="14"/>
    </row>
    <row r="1195">
      <c r="A1195" s="14">
        <v>609.0</v>
      </c>
      <c r="B1195" s="14">
        <v>7303598.0</v>
      </c>
      <c r="C1195" s="14">
        <v>3.1052277E7</v>
      </c>
      <c r="D1195" s="2" t="s">
        <v>3081</v>
      </c>
      <c r="E1195" s="1" t="s">
        <v>107</v>
      </c>
      <c r="F1195" s="14">
        <v>0.7351</v>
      </c>
      <c r="G1195" s="15"/>
      <c r="H1195" s="16"/>
      <c r="I1195" s="14"/>
    </row>
    <row r="1196">
      <c r="A1196" s="14">
        <v>392.0</v>
      </c>
      <c r="B1196" s="14">
        <v>7940982.0</v>
      </c>
      <c r="C1196" s="14">
        <v>3.4069663E7</v>
      </c>
      <c r="D1196" s="2" t="s">
        <v>3082</v>
      </c>
      <c r="E1196" s="1" t="s">
        <v>107</v>
      </c>
      <c r="F1196" s="14">
        <v>0.7351</v>
      </c>
      <c r="G1196" s="15"/>
      <c r="H1196" s="16"/>
      <c r="I1196" s="14"/>
    </row>
    <row r="1197">
      <c r="A1197" s="14">
        <v>116.0</v>
      </c>
      <c r="B1197" s="14">
        <v>8483843.0</v>
      </c>
      <c r="C1197" s="14">
        <v>3.5965266E7</v>
      </c>
      <c r="D1197" s="2" t="s">
        <v>3085</v>
      </c>
      <c r="E1197" s="1" t="s">
        <v>107</v>
      </c>
      <c r="F1197" s="14">
        <v>0.7351</v>
      </c>
      <c r="G1197" s="15"/>
      <c r="H1197" s="16"/>
      <c r="I1197" s="14"/>
    </row>
    <row r="1198">
      <c r="A1198" s="14">
        <v>414.0</v>
      </c>
      <c r="B1198" s="14">
        <v>9723804.0</v>
      </c>
      <c r="C1198" s="14">
        <v>4.1435856E7</v>
      </c>
      <c r="D1198" s="2" t="s">
        <v>3086</v>
      </c>
      <c r="E1198" s="1" t="s">
        <v>107</v>
      </c>
      <c r="F1198" s="14">
        <v>0.7351</v>
      </c>
      <c r="G1198" s="15"/>
      <c r="H1198" s="16"/>
      <c r="I1198" s="14"/>
    </row>
    <row r="1199">
      <c r="A1199" s="14">
        <v>244.0</v>
      </c>
      <c r="B1199" s="14">
        <v>1.0311042E7</v>
      </c>
      <c r="C1199" s="14">
        <v>4.3773286E7</v>
      </c>
      <c r="D1199" s="2" t="s">
        <v>3088</v>
      </c>
      <c r="E1199" s="1" t="s">
        <v>107</v>
      </c>
      <c r="F1199" s="14">
        <v>0.7351</v>
      </c>
      <c r="G1199" s="15"/>
      <c r="H1199" s="16"/>
      <c r="I1199" s="14"/>
    </row>
    <row r="1200">
      <c r="A1200" s="14">
        <v>694.0</v>
      </c>
      <c r="B1200" s="14">
        <v>1.1910388E7</v>
      </c>
      <c r="C1200" s="14">
        <v>5.061081E7</v>
      </c>
      <c r="D1200" s="2" t="s">
        <v>3091</v>
      </c>
      <c r="E1200" s="1" t="s">
        <v>107</v>
      </c>
      <c r="F1200" s="14">
        <v>0.7351</v>
      </c>
      <c r="G1200" s="15"/>
      <c r="H1200" s="16"/>
      <c r="I1200" s="14"/>
    </row>
    <row r="1201">
      <c r="A1201" s="14">
        <v>609.0</v>
      </c>
      <c r="B1201" s="14">
        <v>1.662157E7</v>
      </c>
      <c r="C1201" s="14">
        <v>7.0399912E7</v>
      </c>
      <c r="D1201" s="2" t="s">
        <v>3093</v>
      </c>
      <c r="E1201" s="1" t="s">
        <v>107</v>
      </c>
      <c r="F1201" s="14">
        <v>0.7351</v>
      </c>
      <c r="G1201" s="15"/>
      <c r="H1201" s="16"/>
      <c r="I1201" s="14"/>
    </row>
    <row r="1202">
      <c r="A1202" s="14">
        <v>644.0</v>
      </c>
      <c r="B1202" s="14">
        <v>1.6982265E7</v>
      </c>
      <c r="C1202" s="14">
        <v>7.1923176E7</v>
      </c>
      <c r="D1202" s="2" t="s">
        <v>3096</v>
      </c>
      <c r="E1202" s="1" t="s">
        <v>107</v>
      </c>
      <c r="F1202" s="14">
        <v>0.7351</v>
      </c>
      <c r="G1202" s="15"/>
      <c r="H1202" s="16"/>
      <c r="I1202" s="14"/>
    </row>
    <row r="1203">
      <c r="A1203" s="14">
        <v>419.0</v>
      </c>
      <c r="B1203" s="14">
        <v>1.7406531E7</v>
      </c>
      <c r="C1203" s="14">
        <v>2.45176122E8</v>
      </c>
      <c r="D1203" s="2" t="s">
        <v>3098</v>
      </c>
      <c r="E1203" s="1" t="s">
        <v>107</v>
      </c>
      <c r="F1203" s="14">
        <v>0.7351</v>
      </c>
      <c r="G1203" s="15"/>
      <c r="H1203" s="16"/>
      <c r="I1203" s="14"/>
    </row>
    <row r="1204">
      <c r="A1204" s="14">
        <v>194.0</v>
      </c>
      <c r="B1204" s="14">
        <v>2.3356197E7</v>
      </c>
      <c r="C1204" s="14">
        <v>9.6212746E7</v>
      </c>
      <c r="D1204" s="2" t="s">
        <v>3100</v>
      </c>
      <c r="E1204" s="1" t="s">
        <v>107</v>
      </c>
      <c r="F1204" s="14">
        <v>0.7351</v>
      </c>
      <c r="G1204" s="15"/>
      <c r="H1204" s="16"/>
      <c r="I1204" s="14"/>
    </row>
    <row r="1205">
      <c r="A1205" s="14">
        <v>410.0</v>
      </c>
      <c r="B1205" s="14">
        <v>2.8953586E7</v>
      </c>
      <c r="C1205" s="14">
        <v>1.97246789E8</v>
      </c>
      <c r="D1205" s="2" t="s">
        <v>3102</v>
      </c>
      <c r="E1205" s="1" t="s">
        <v>107</v>
      </c>
      <c r="F1205" s="14">
        <v>0.7351</v>
      </c>
      <c r="G1205" s="15"/>
      <c r="H1205" s="16"/>
      <c r="I1205" s="14"/>
    </row>
    <row r="1206">
      <c r="A1206" s="14">
        <v>210.0</v>
      </c>
      <c r="B1206" s="14">
        <v>4.2205891E7</v>
      </c>
      <c r="C1206" s="14">
        <v>1.67021907E8</v>
      </c>
      <c r="D1206" s="2" t="s">
        <v>3105</v>
      </c>
      <c r="E1206" s="1" t="s">
        <v>107</v>
      </c>
      <c r="F1206" s="14">
        <v>0.7351</v>
      </c>
      <c r="G1206" s="15"/>
      <c r="H1206" s="16"/>
      <c r="I1206" s="14"/>
    </row>
    <row r="1207">
      <c r="A1207" s="14">
        <v>578.0</v>
      </c>
      <c r="B1207" s="14">
        <v>4.7616238E7</v>
      </c>
      <c r="C1207" s="14">
        <v>1.88078509E8</v>
      </c>
      <c r="D1207" s="2" t="s">
        <v>3107</v>
      </c>
      <c r="E1207" s="1" t="s">
        <v>107</v>
      </c>
      <c r="F1207" s="14">
        <v>0.7351</v>
      </c>
      <c r="G1207" s="15"/>
      <c r="H1207" s="16"/>
      <c r="I1207" s="14"/>
    </row>
    <row r="1208">
      <c r="A1208" s="14">
        <v>604.0</v>
      </c>
      <c r="B1208" s="14">
        <v>5.9648322E7</v>
      </c>
      <c r="C1208" s="14">
        <v>2.38828333E8</v>
      </c>
      <c r="D1208" s="2" t="s">
        <v>2707</v>
      </c>
      <c r="E1208" s="1" t="s">
        <v>107</v>
      </c>
      <c r="F1208" s="14">
        <v>0.7351</v>
      </c>
      <c r="G1208" s="15"/>
      <c r="H1208" s="16"/>
      <c r="I1208" s="14"/>
    </row>
    <row r="1209">
      <c r="A1209" s="14">
        <v>679.0</v>
      </c>
      <c r="B1209" s="14">
        <v>6.0282708E7</v>
      </c>
      <c r="C1209" s="14">
        <v>2.41810053E8</v>
      </c>
      <c r="D1209" s="2" t="s">
        <v>2677</v>
      </c>
      <c r="E1209" s="1" t="s">
        <v>107</v>
      </c>
      <c r="F1209" s="14">
        <v>0.7351</v>
      </c>
      <c r="G1209" s="15"/>
      <c r="H1209" s="16"/>
      <c r="I1209" s="14"/>
    </row>
    <row r="1210">
      <c r="A1210" s="14">
        <v>661.0</v>
      </c>
      <c r="B1210" s="14">
        <v>6.2122309E7</v>
      </c>
      <c r="C1210" s="14">
        <v>2.50850987E8</v>
      </c>
      <c r="D1210" s="2" t="s">
        <v>2608</v>
      </c>
      <c r="E1210" s="1" t="s">
        <v>107</v>
      </c>
      <c r="F1210" s="14">
        <v>0.7351</v>
      </c>
      <c r="G1210" s="15"/>
      <c r="H1210" s="16"/>
      <c r="I1210" s="14"/>
    </row>
    <row r="1211">
      <c r="A1211" s="14">
        <v>571.0</v>
      </c>
      <c r="B1211" s="14">
        <v>6.473099E7</v>
      </c>
      <c r="C1211" s="14">
        <v>2.63427661E8</v>
      </c>
      <c r="D1211" s="2" t="s">
        <v>2499</v>
      </c>
      <c r="E1211" s="1" t="s">
        <v>107</v>
      </c>
      <c r="F1211" s="14">
        <v>0.7351</v>
      </c>
      <c r="G1211" s="15"/>
      <c r="H1211" s="16"/>
      <c r="I1211" s="14"/>
    </row>
    <row r="1212">
      <c r="A1212" s="14">
        <v>173.0</v>
      </c>
      <c r="B1212" s="14">
        <v>7.1539371E7</v>
      </c>
      <c r="C1212" s="14">
        <v>2.95417689E8</v>
      </c>
      <c r="D1212" s="2" t="s">
        <v>2152</v>
      </c>
      <c r="E1212" s="1" t="s">
        <v>107</v>
      </c>
      <c r="F1212" s="14">
        <v>0.7351</v>
      </c>
      <c r="G1212" s="15"/>
      <c r="H1212" s="16"/>
      <c r="I1212" s="14"/>
    </row>
    <row r="1213">
      <c r="A1213" s="14">
        <v>587.0</v>
      </c>
      <c r="B1213" s="14">
        <v>8.3004338E7</v>
      </c>
      <c r="C1213" s="14">
        <v>3.48775833E8</v>
      </c>
      <c r="D1213" s="2" t="s">
        <v>1566</v>
      </c>
      <c r="E1213" s="1" t="s">
        <v>107</v>
      </c>
      <c r="F1213" s="14">
        <v>0.7351</v>
      </c>
      <c r="G1213" s="15"/>
      <c r="H1213" s="16"/>
      <c r="I1213" s="14"/>
    </row>
    <row r="1214">
      <c r="A1214" s="14">
        <v>455.0</v>
      </c>
      <c r="B1214" s="14">
        <v>8.3756046E7</v>
      </c>
      <c r="C1214" s="14">
        <v>3.52036768E8</v>
      </c>
      <c r="D1214" s="2" t="s">
        <v>1528</v>
      </c>
      <c r="E1214" s="1" t="s">
        <v>107</v>
      </c>
      <c r="F1214" s="14">
        <v>0.7351</v>
      </c>
      <c r="G1214" s="15"/>
      <c r="H1214" s="16"/>
      <c r="I1214" s="14"/>
    </row>
    <row r="1215">
      <c r="A1215" s="14">
        <v>571.0</v>
      </c>
      <c r="B1215" s="14">
        <v>8.7429159E7</v>
      </c>
      <c r="C1215" s="14">
        <v>3.70223777E8</v>
      </c>
      <c r="D1215" s="2" t="s">
        <v>1275</v>
      </c>
      <c r="E1215" s="1" t="s">
        <v>107</v>
      </c>
      <c r="F1215" s="14">
        <v>0.7351</v>
      </c>
      <c r="G1215" s="15"/>
      <c r="H1215" s="16"/>
      <c r="I1215" s="14"/>
    </row>
    <row r="1216">
      <c r="A1216" s="14">
        <v>578.0</v>
      </c>
      <c r="B1216" s="14">
        <v>8.981629E7</v>
      </c>
      <c r="C1216" s="14">
        <v>3.80598604E8</v>
      </c>
      <c r="D1216" s="2" t="s">
        <v>1149</v>
      </c>
      <c r="E1216" s="1" t="s">
        <v>107</v>
      </c>
      <c r="F1216" s="14">
        <v>0.7351</v>
      </c>
      <c r="G1216" s="15"/>
      <c r="H1216" s="16"/>
      <c r="I1216" s="14"/>
    </row>
    <row r="1217">
      <c r="A1217" s="14">
        <v>129.0</v>
      </c>
      <c r="B1217" s="14">
        <v>9.4180402E7</v>
      </c>
      <c r="C1217" s="14">
        <v>4.00467938E8</v>
      </c>
      <c r="D1217" s="2" t="s">
        <v>924</v>
      </c>
      <c r="E1217" s="1" t="s">
        <v>107</v>
      </c>
      <c r="F1217" s="14">
        <v>0.7351</v>
      </c>
      <c r="G1217" s="15"/>
      <c r="H1217" s="16"/>
      <c r="I1217" s="14"/>
    </row>
    <row r="1218">
      <c r="A1218" s="14">
        <v>353.0</v>
      </c>
      <c r="B1218" s="14">
        <v>1.00351381E8</v>
      </c>
      <c r="C1218" s="14">
        <v>4.30010391E8</v>
      </c>
      <c r="D1218" s="2" t="s">
        <v>571</v>
      </c>
      <c r="E1218" s="1" t="s">
        <v>107</v>
      </c>
      <c r="F1218" s="14">
        <v>0.7351</v>
      </c>
      <c r="G1218" s="15"/>
      <c r="H1218" s="16"/>
      <c r="I1218" s="14"/>
    </row>
    <row r="1219">
      <c r="A1219" s="14">
        <v>587.0</v>
      </c>
      <c r="B1219" s="14">
        <v>1.05991465E8</v>
      </c>
      <c r="C1219" s="14">
        <v>4.57191183E8</v>
      </c>
      <c r="D1219" s="2" t="s">
        <v>310</v>
      </c>
      <c r="E1219" s="1" t="s">
        <v>107</v>
      </c>
      <c r="F1219" s="14">
        <v>0.7351</v>
      </c>
      <c r="G1219" s="15"/>
      <c r="H1219" s="16"/>
      <c r="I1219" s="14"/>
    </row>
    <row r="1220">
      <c r="A1220" s="14">
        <v>609.0</v>
      </c>
      <c r="B1220" s="14">
        <v>1.5507308E7</v>
      </c>
      <c r="C1220" s="14">
        <v>6.6058694E7</v>
      </c>
      <c r="D1220" s="2" t="s">
        <v>3126</v>
      </c>
      <c r="E1220" s="1" t="s">
        <v>699</v>
      </c>
      <c r="F1220" s="14">
        <v>0.7351</v>
      </c>
      <c r="G1220" s="15"/>
      <c r="H1220" s="16"/>
      <c r="I1220" s="14"/>
    </row>
    <row r="1221">
      <c r="A1221" s="14">
        <v>216.0</v>
      </c>
      <c r="B1221" s="14">
        <v>508835.0</v>
      </c>
      <c r="C1221" s="14">
        <v>2432937.0</v>
      </c>
      <c r="D1221" s="2" t="s">
        <v>3128</v>
      </c>
      <c r="E1221" s="1" t="s">
        <v>121</v>
      </c>
      <c r="F1221" s="14">
        <v>0.7351</v>
      </c>
      <c r="G1221" s="15"/>
      <c r="H1221" s="16"/>
      <c r="I1221" s="14"/>
    </row>
    <row r="1222">
      <c r="A1222" s="14">
        <v>380.0</v>
      </c>
      <c r="B1222" s="14">
        <v>5390344.0</v>
      </c>
      <c r="C1222" s="14">
        <v>2.3060099E7</v>
      </c>
      <c r="D1222" s="2" t="s">
        <v>3129</v>
      </c>
      <c r="E1222" s="1" t="s">
        <v>121</v>
      </c>
      <c r="F1222" s="14">
        <v>0.7351</v>
      </c>
      <c r="G1222" s="15"/>
      <c r="H1222" s="16"/>
      <c r="I1222" s="14"/>
    </row>
    <row r="1223">
      <c r="A1223" s="14">
        <v>601.0</v>
      </c>
      <c r="B1223" s="14">
        <v>6659864.0</v>
      </c>
      <c r="C1223" s="14">
        <v>2.88190896E8</v>
      </c>
      <c r="D1223" s="2" t="s">
        <v>3131</v>
      </c>
      <c r="E1223" s="1" t="s">
        <v>121</v>
      </c>
      <c r="F1223" s="14">
        <v>0.7351</v>
      </c>
      <c r="G1223" s="15"/>
      <c r="H1223" s="16"/>
      <c r="I1223" s="14"/>
    </row>
    <row r="1224">
      <c r="A1224" s="14">
        <v>721.0</v>
      </c>
      <c r="B1224" s="14">
        <v>8227795.0</v>
      </c>
      <c r="C1224" s="14">
        <v>3.4873984E7</v>
      </c>
      <c r="D1224" s="2" t="s">
        <v>3133</v>
      </c>
      <c r="E1224" s="1" t="s">
        <v>121</v>
      </c>
      <c r="F1224" s="14">
        <v>0.7351</v>
      </c>
      <c r="G1224" s="15"/>
      <c r="H1224" s="16"/>
      <c r="I1224" s="14"/>
    </row>
    <row r="1225">
      <c r="A1225" s="14">
        <v>394.0</v>
      </c>
      <c r="B1225" s="14">
        <v>2.3647064E7</v>
      </c>
      <c r="C1225" s="14">
        <v>9.7214654E7</v>
      </c>
      <c r="D1225" s="2" t="s">
        <v>3136</v>
      </c>
      <c r="E1225" s="1" t="s">
        <v>121</v>
      </c>
      <c r="F1225" s="14">
        <v>0.7351</v>
      </c>
      <c r="G1225" s="15"/>
      <c r="H1225" s="16"/>
      <c r="I1225" s="14"/>
    </row>
    <row r="1226">
      <c r="A1226" s="14">
        <v>712.0</v>
      </c>
      <c r="B1226" s="14">
        <v>3.4651535E7</v>
      </c>
      <c r="C1226" s="14">
        <v>1.38473156E8</v>
      </c>
      <c r="D1226" s="2" t="s">
        <v>3138</v>
      </c>
      <c r="E1226" s="1" t="s">
        <v>121</v>
      </c>
      <c r="F1226" s="14">
        <v>0.7351</v>
      </c>
      <c r="G1226" s="15"/>
      <c r="H1226" s="16"/>
      <c r="I1226" s="14"/>
    </row>
    <row r="1227">
      <c r="A1227" s="14">
        <v>604.0</v>
      </c>
      <c r="B1227" s="14">
        <v>4.5966465E7</v>
      </c>
      <c r="C1227" s="14">
        <v>1.81498911E8</v>
      </c>
      <c r="D1227" s="2" t="s">
        <v>3141</v>
      </c>
      <c r="E1227" s="1" t="s">
        <v>121</v>
      </c>
      <c r="F1227" s="14">
        <v>0.7351</v>
      </c>
      <c r="G1227" s="15"/>
      <c r="H1227" s="16"/>
      <c r="I1227" s="14"/>
    </row>
    <row r="1228">
      <c r="A1228" s="14">
        <v>671.0</v>
      </c>
      <c r="B1228" s="14">
        <v>4.6544636E7</v>
      </c>
      <c r="C1228" s="14">
        <v>1.83817207E8</v>
      </c>
      <c r="D1228" s="2" t="s">
        <v>3143</v>
      </c>
      <c r="E1228" s="1" t="s">
        <v>121</v>
      </c>
      <c r="F1228" s="14">
        <v>0.7351</v>
      </c>
      <c r="G1228" s="15"/>
      <c r="H1228" s="16"/>
      <c r="I1228" s="14"/>
    </row>
    <row r="1229">
      <c r="A1229" s="14">
        <v>207.0</v>
      </c>
      <c r="B1229" s="14">
        <v>5.0101949E7</v>
      </c>
      <c r="C1229" s="14">
        <v>1.98224539E8</v>
      </c>
      <c r="D1229" s="2" t="s">
        <v>3020</v>
      </c>
      <c r="E1229" s="1" t="s">
        <v>121</v>
      </c>
      <c r="F1229" s="14">
        <v>0.7351</v>
      </c>
      <c r="G1229" s="15"/>
      <c r="H1229" s="16"/>
      <c r="I1229" s="14"/>
    </row>
    <row r="1230">
      <c r="A1230" s="14">
        <v>410.0</v>
      </c>
      <c r="B1230" s="14">
        <v>4.9287853E7</v>
      </c>
      <c r="C1230" s="14">
        <v>1.95056702E8</v>
      </c>
      <c r="D1230" s="2" t="s">
        <v>3047</v>
      </c>
      <c r="E1230" s="1" t="s">
        <v>107</v>
      </c>
      <c r="F1230" s="14">
        <v>0.7346</v>
      </c>
      <c r="G1230" s="15"/>
      <c r="H1230" s="16"/>
      <c r="I1230" s="14"/>
    </row>
    <row r="1231">
      <c r="A1231" s="14">
        <v>319.0</v>
      </c>
      <c r="B1231" s="14">
        <v>6.0347346E7</v>
      </c>
      <c r="C1231" s="14">
        <v>2.42392213E8</v>
      </c>
      <c r="D1231" s="2" t="s">
        <v>2675</v>
      </c>
      <c r="E1231" s="1" t="s">
        <v>121</v>
      </c>
      <c r="F1231" s="14">
        <v>0.7346</v>
      </c>
      <c r="G1231" s="15"/>
      <c r="H1231" s="16"/>
      <c r="I1231" s="14"/>
    </row>
    <row r="1232">
      <c r="A1232" s="14">
        <v>403.0</v>
      </c>
      <c r="B1232" s="14">
        <v>2999286.0</v>
      </c>
      <c r="C1232" s="14">
        <v>3.57032629E8</v>
      </c>
      <c r="D1232" s="2" t="s">
        <v>3150</v>
      </c>
      <c r="E1232" s="1" t="s">
        <v>107</v>
      </c>
      <c r="F1232" s="14">
        <v>0.7345</v>
      </c>
      <c r="G1232" s="15"/>
      <c r="H1232" s="16"/>
      <c r="I1232" s="14"/>
    </row>
    <row r="1233">
      <c r="A1233" s="14">
        <v>578.0</v>
      </c>
      <c r="B1233" s="14">
        <v>3362953.0</v>
      </c>
      <c r="C1233" s="14">
        <v>1.4247804E7</v>
      </c>
      <c r="D1233" s="2" t="s">
        <v>3152</v>
      </c>
      <c r="E1233" s="1" t="s">
        <v>107</v>
      </c>
      <c r="F1233" s="14">
        <v>0.7328</v>
      </c>
      <c r="G1233" s="15"/>
      <c r="H1233" s="16"/>
      <c r="I1233" s="14"/>
    </row>
    <row r="1234">
      <c r="A1234" s="14">
        <v>578.0</v>
      </c>
      <c r="B1234" s="14">
        <v>7.7425467E7</v>
      </c>
      <c r="C1234" s="14">
        <v>3.21972023E8</v>
      </c>
      <c r="D1234" s="2" t="s">
        <v>1901</v>
      </c>
      <c r="E1234" s="1" t="s">
        <v>107</v>
      </c>
      <c r="F1234" s="14">
        <v>0.7322</v>
      </c>
      <c r="G1234" s="15"/>
      <c r="H1234" s="16"/>
      <c r="I1234" s="14"/>
    </row>
    <row r="1235">
      <c r="A1235" s="14">
        <v>587.0</v>
      </c>
      <c r="B1235" s="14">
        <v>9.0570463E7</v>
      </c>
      <c r="C1235" s="14">
        <v>3.8398687E8</v>
      </c>
      <c r="D1235" s="2" t="s">
        <v>1104</v>
      </c>
      <c r="E1235" s="1" t="s">
        <v>107</v>
      </c>
      <c r="F1235" s="14">
        <v>0.7322</v>
      </c>
      <c r="G1235" s="15"/>
      <c r="H1235" s="16"/>
      <c r="I1235" s="14"/>
    </row>
    <row r="1236">
      <c r="A1236" s="14">
        <v>392.0</v>
      </c>
      <c r="B1236" s="14">
        <v>1.2290943E7</v>
      </c>
      <c r="C1236" s="14">
        <v>5.2230936E7</v>
      </c>
      <c r="D1236" s="2" t="s">
        <v>3157</v>
      </c>
      <c r="E1236" s="1" t="s">
        <v>107</v>
      </c>
      <c r="F1236" s="14">
        <v>0.7316</v>
      </c>
      <c r="G1236" s="15"/>
      <c r="H1236" s="16"/>
      <c r="I1236" s="14"/>
    </row>
    <row r="1237">
      <c r="A1237" s="14">
        <v>671.0</v>
      </c>
      <c r="B1237" s="14">
        <v>8.972633E7</v>
      </c>
      <c r="C1237" s="14">
        <v>3.80113249E8</v>
      </c>
      <c r="D1237" s="2" t="s">
        <v>1157</v>
      </c>
      <c r="E1237" s="1" t="s">
        <v>121</v>
      </c>
      <c r="F1237" s="14">
        <v>0.7316</v>
      </c>
      <c r="G1237" s="15"/>
      <c r="H1237" s="16"/>
      <c r="I1237" s="14"/>
    </row>
    <row r="1238">
      <c r="A1238" s="14">
        <v>696.0</v>
      </c>
      <c r="B1238" s="14">
        <v>4861123.0</v>
      </c>
      <c r="C1238" s="14">
        <v>2.0679631E7</v>
      </c>
      <c r="D1238" s="2" t="s">
        <v>3160</v>
      </c>
      <c r="E1238" s="1" t="s">
        <v>121</v>
      </c>
      <c r="F1238" s="14">
        <v>0.7301</v>
      </c>
      <c r="G1238" s="15"/>
      <c r="H1238" s="16"/>
      <c r="I1238" s="14"/>
    </row>
    <row r="1239">
      <c r="A1239" s="14">
        <v>353.0</v>
      </c>
      <c r="B1239" s="14">
        <v>2.7254276E7</v>
      </c>
      <c r="C1239" s="14">
        <v>1.1007417E8</v>
      </c>
      <c r="D1239" s="2" t="s">
        <v>3162</v>
      </c>
      <c r="E1239" s="1" t="s">
        <v>121</v>
      </c>
      <c r="F1239" s="14">
        <v>0.7275</v>
      </c>
      <c r="G1239" s="15"/>
      <c r="H1239" s="16"/>
      <c r="I1239" s="14"/>
    </row>
    <row r="1240">
      <c r="A1240" s="14">
        <v>601.0</v>
      </c>
      <c r="B1240" s="14">
        <v>3781235.0</v>
      </c>
      <c r="C1240" s="14">
        <v>1.6039148E7</v>
      </c>
      <c r="D1240" s="2" t="s">
        <v>3165</v>
      </c>
      <c r="E1240" s="1" t="s">
        <v>107</v>
      </c>
      <c r="F1240" s="14">
        <v>0.7269</v>
      </c>
      <c r="G1240" s="15"/>
      <c r="H1240" s="16"/>
      <c r="I1240" s="14"/>
    </row>
    <row r="1241">
      <c r="A1241" s="14">
        <v>503.0</v>
      </c>
      <c r="B1241" s="14">
        <v>4702807.0</v>
      </c>
      <c r="C1241" s="14">
        <v>1.9987761E7</v>
      </c>
      <c r="D1241" s="2" t="s">
        <v>3168</v>
      </c>
      <c r="E1241" s="1" t="s">
        <v>107</v>
      </c>
      <c r="F1241" s="14">
        <v>0.7269</v>
      </c>
      <c r="G1241" s="15"/>
      <c r="H1241" s="16"/>
      <c r="I1241" s="14"/>
    </row>
    <row r="1242">
      <c r="A1242" s="14">
        <v>601.0</v>
      </c>
      <c r="B1242" s="14">
        <v>5793830.0</v>
      </c>
      <c r="C1242" s="14">
        <v>9.4722302E7</v>
      </c>
      <c r="D1242" s="2" t="s">
        <v>3169</v>
      </c>
      <c r="E1242" s="1" t="s">
        <v>107</v>
      </c>
      <c r="F1242" s="14">
        <v>0.7269</v>
      </c>
      <c r="G1242" s="15"/>
      <c r="H1242" s="16"/>
      <c r="I1242" s="14"/>
    </row>
    <row r="1243">
      <c r="A1243" s="14">
        <v>410.0</v>
      </c>
      <c r="B1243" s="14">
        <v>6788221.0</v>
      </c>
      <c r="C1243" s="14">
        <v>2.8906434E7</v>
      </c>
      <c r="D1243" s="2" t="s">
        <v>3172</v>
      </c>
      <c r="E1243" s="1" t="s">
        <v>107</v>
      </c>
      <c r="F1243" s="14">
        <v>0.7269</v>
      </c>
      <c r="G1243" s="15"/>
      <c r="H1243" s="16"/>
      <c r="I1243" s="14"/>
    </row>
    <row r="1244">
      <c r="A1244" s="14">
        <v>403.0</v>
      </c>
      <c r="B1244" s="14">
        <v>7294446.0</v>
      </c>
      <c r="C1244" s="14">
        <v>3.39350055E8</v>
      </c>
      <c r="D1244" s="2" t="s">
        <v>3173</v>
      </c>
      <c r="E1244" s="1" t="s">
        <v>107</v>
      </c>
      <c r="F1244" s="14">
        <v>0.7269</v>
      </c>
      <c r="G1244" s="15"/>
      <c r="H1244" s="16"/>
      <c r="I1244" s="14"/>
    </row>
    <row r="1245">
      <c r="A1245" s="14">
        <v>504.0</v>
      </c>
      <c r="B1245" s="14">
        <v>7.1726775E7</v>
      </c>
      <c r="C1245" s="14">
        <v>2.96839365E8</v>
      </c>
      <c r="D1245" s="2" t="s">
        <v>2141</v>
      </c>
      <c r="E1245" s="1" t="s">
        <v>107</v>
      </c>
      <c r="F1245" s="14">
        <v>0.7269</v>
      </c>
      <c r="G1245" s="15"/>
      <c r="H1245" s="16"/>
      <c r="I1245" s="14"/>
    </row>
    <row r="1246">
      <c r="A1246" s="14">
        <v>571.0</v>
      </c>
      <c r="B1246" s="14">
        <v>1.2854609E7</v>
      </c>
      <c r="C1246" s="14">
        <v>5.4629458E7</v>
      </c>
      <c r="D1246" s="2" t="s">
        <v>3177</v>
      </c>
      <c r="E1246" s="1" t="s">
        <v>699</v>
      </c>
      <c r="F1246" s="14">
        <v>0.7269</v>
      </c>
      <c r="G1246" s="15"/>
      <c r="H1246" s="16"/>
      <c r="I1246" s="14"/>
    </row>
    <row r="1247">
      <c r="A1247" s="14">
        <v>571.0</v>
      </c>
      <c r="B1247" s="14">
        <v>2.1490349E7</v>
      </c>
      <c r="C1247" s="14">
        <v>2.38703347E8</v>
      </c>
      <c r="D1247" s="2" t="s">
        <v>3180</v>
      </c>
      <c r="E1247" s="1" t="s">
        <v>121</v>
      </c>
      <c r="F1247" s="14">
        <v>0.7269</v>
      </c>
      <c r="G1247" s="15"/>
      <c r="H1247" s="16"/>
      <c r="I1247" s="14"/>
    </row>
    <row r="1248">
      <c r="A1248" s="14">
        <v>421.0</v>
      </c>
      <c r="B1248" s="14">
        <v>7.2617741E7</v>
      </c>
      <c r="C1248" s="14">
        <v>3.00330996E8</v>
      </c>
      <c r="D1248" s="2" t="s">
        <v>2101</v>
      </c>
      <c r="E1248" s="1" t="s">
        <v>121</v>
      </c>
      <c r="F1248" s="14">
        <v>0.7269</v>
      </c>
      <c r="G1248" s="15"/>
      <c r="H1248" s="16"/>
      <c r="I1248" s="14"/>
    </row>
    <row r="1249">
      <c r="A1249" s="14">
        <v>587.0</v>
      </c>
      <c r="B1249" s="14">
        <v>7.8756214E7</v>
      </c>
      <c r="C1249" s="14">
        <v>3.28249837E8</v>
      </c>
      <c r="D1249" s="2" t="s">
        <v>1818</v>
      </c>
      <c r="E1249" s="1" t="s">
        <v>121</v>
      </c>
      <c r="F1249" s="14">
        <v>0.7269</v>
      </c>
      <c r="G1249" s="15"/>
      <c r="H1249" s="16"/>
      <c r="I1249" s="14"/>
    </row>
    <row r="1250">
      <c r="A1250" s="14">
        <v>402.0</v>
      </c>
      <c r="B1250" s="14">
        <v>3714282.0</v>
      </c>
      <c r="C1250" s="14">
        <v>1.5769067E7</v>
      </c>
      <c r="D1250" s="2" t="s">
        <v>3186</v>
      </c>
      <c r="E1250" s="1" t="s">
        <v>107</v>
      </c>
      <c r="F1250" s="14">
        <v>0.7264</v>
      </c>
      <c r="G1250" s="15"/>
      <c r="H1250" s="16"/>
      <c r="I1250" s="14"/>
    </row>
    <row r="1251">
      <c r="A1251" s="14">
        <v>492.0</v>
      </c>
      <c r="B1251" s="14">
        <v>5378915.0</v>
      </c>
      <c r="C1251" s="14">
        <v>2.2994871E7</v>
      </c>
      <c r="D1251" s="2" t="s">
        <v>3189</v>
      </c>
      <c r="E1251" s="1" t="s">
        <v>107</v>
      </c>
      <c r="F1251" s="14">
        <v>0.7264</v>
      </c>
      <c r="G1251" s="15"/>
      <c r="H1251" s="16"/>
      <c r="I1251" s="14"/>
    </row>
    <row r="1252">
      <c r="A1252" s="14">
        <v>215.0</v>
      </c>
      <c r="B1252" s="14">
        <v>3183131.0</v>
      </c>
      <c r="C1252" s="14">
        <v>1.3556884E7</v>
      </c>
      <c r="D1252" s="2" t="s">
        <v>3191</v>
      </c>
      <c r="E1252" s="1" t="s">
        <v>107</v>
      </c>
      <c r="F1252" s="14">
        <v>0.7263</v>
      </c>
      <c r="G1252" s="15"/>
      <c r="H1252" s="16"/>
      <c r="I1252" s="14"/>
    </row>
    <row r="1253">
      <c r="A1253" s="14">
        <v>455.0</v>
      </c>
      <c r="B1253" s="14">
        <v>8033148.0</v>
      </c>
      <c r="C1253" s="14">
        <v>3.4069873E7</v>
      </c>
      <c r="D1253" s="2" t="s">
        <v>3194</v>
      </c>
      <c r="E1253" s="1" t="s">
        <v>107</v>
      </c>
      <c r="F1253" s="14">
        <v>0.7263</v>
      </c>
      <c r="G1253" s="15"/>
      <c r="H1253" s="16"/>
      <c r="I1253" s="14"/>
    </row>
    <row r="1254">
      <c r="A1254" s="14">
        <v>504.0</v>
      </c>
      <c r="B1254" s="14">
        <v>7.8881937E7</v>
      </c>
      <c r="C1254" s="14">
        <v>3.28855201E8</v>
      </c>
      <c r="D1254" s="2" t="s">
        <v>1810</v>
      </c>
      <c r="E1254" s="1" t="s">
        <v>107</v>
      </c>
      <c r="F1254" s="14">
        <v>0.7263</v>
      </c>
      <c r="G1254" s="15"/>
      <c r="H1254" s="16"/>
      <c r="I1254" s="14"/>
    </row>
    <row r="1255">
      <c r="A1255" s="14">
        <v>173.0</v>
      </c>
      <c r="B1255" s="14">
        <v>9.7050296E7</v>
      </c>
      <c r="C1255" s="14">
        <v>4.14377056E8</v>
      </c>
      <c r="D1255" s="2" t="s">
        <v>765</v>
      </c>
      <c r="E1255" s="1" t="s">
        <v>107</v>
      </c>
      <c r="F1255" s="14">
        <v>0.7263</v>
      </c>
      <c r="G1255" s="15"/>
      <c r="H1255" s="16"/>
      <c r="I1255" s="14"/>
    </row>
    <row r="1256">
      <c r="A1256" s="14">
        <v>676.0</v>
      </c>
      <c r="B1256" s="14">
        <v>9.9697937E7</v>
      </c>
      <c r="C1256" s="14">
        <v>4.26979135E8</v>
      </c>
      <c r="D1256" s="2" t="s">
        <v>608</v>
      </c>
      <c r="E1256" s="1" t="s">
        <v>107</v>
      </c>
      <c r="F1256" s="14">
        <v>0.726</v>
      </c>
      <c r="G1256" s="15"/>
      <c r="H1256" s="16"/>
      <c r="I1256" s="14"/>
    </row>
    <row r="1257">
      <c r="A1257" s="14">
        <v>656.0</v>
      </c>
      <c r="B1257" s="14">
        <v>1.3334725E7</v>
      </c>
      <c r="C1257" s="14">
        <v>5.6555668E7</v>
      </c>
      <c r="D1257" s="2" t="s">
        <v>3198</v>
      </c>
      <c r="E1257" s="1" t="s">
        <v>699</v>
      </c>
      <c r="F1257" s="14">
        <v>0.7256</v>
      </c>
      <c r="G1257" s="15"/>
      <c r="H1257" s="16"/>
      <c r="I1257" s="14"/>
    </row>
    <row r="1258">
      <c r="A1258" s="14">
        <v>410.0</v>
      </c>
      <c r="B1258" s="14">
        <v>2.8203278E7</v>
      </c>
      <c r="C1258" s="14">
        <v>1.13886657E8</v>
      </c>
      <c r="D1258" s="2" t="s">
        <v>3200</v>
      </c>
      <c r="E1258" s="1" t="s">
        <v>107</v>
      </c>
      <c r="F1258" s="14">
        <v>0.7249</v>
      </c>
      <c r="G1258" s="15"/>
      <c r="H1258" s="16"/>
      <c r="I1258" s="14"/>
    </row>
    <row r="1259">
      <c r="A1259" s="14">
        <v>392.0</v>
      </c>
      <c r="B1259" s="14">
        <v>5.2731192E7</v>
      </c>
      <c r="C1259" s="14">
        <v>2.09228703E8</v>
      </c>
      <c r="D1259" s="2" t="s">
        <v>2920</v>
      </c>
      <c r="E1259" s="1" t="s">
        <v>107</v>
      </c>
      <c r="F1259" s="14">
        <v>0.7243</v>
      </c>
      <c r="G1259" s="15"/>
      <c r="H1259" s="16"/>
      <c r="I1259" s="14"/>
    </row>
    <row r="1260">
      <c r="A1260" s="14">
        <v>597.0</v>
      </c>
      <c r="B1260" s="14">
        <v>8.4806592E7</v>
      </c>
      <c r="C1260" s="14">
        <v>3.57787002E8</v>
      </c>
      <c r="D1260" s="2" t="s">
        <v>1440</v>
      </c>
      <c r="E1260" s="1" t="s">
        <v>699</v>
      </c>
      <c r="F1260" s="14">
        <v>0.7238</v>
      </c>
      <c r="G1260" s="15"/>
      <c r="H1260" s="16"/>
      <c r="I1260" s="14"/>
    </row>
    <row r="1261">
      <c r="A1261" s="14">
        <v>587.0</v>
      </c>
      <c r="B1261" s="14">
        <v>8448852.0</v>
      </c>
      <c r="C1261" s="14">
        <v>1.52522717E8</v>
      </c>
      <c r="D1261" s="2" t="s">
        <v>3206</v>
      </c>
      <c r="E1261" s="1" t="s">
        <v>121</v>
      </c>
      <c r="F1261" s="14">
        <v>0.7227</v>
      </c>
      <c r="G1261" s="15"/>
      <c r="H1261" s="16"/>
      <c r="I1261" s="14"/>
    </row>
    <row r="1262">
      <c r="A1262" s="14">
        <v>665.0</v>
      </c>
      <c r="B1262" s="14">
        <v>9154464.0</v>
      </c>
      <c r="C1262" s="14">
        <v>3.880836E7</v>
      </c>
      <c r="D1262" s="2" t="s">
        <v>3208</v>
      </c>
      <c r="E1262" s="1" t="s">
        <v>121</v>
      </c>
      <c r="F1262" s="14">
        <v>0.7227</v>
      </c>
      <c r="G1262" s="15"/>
      <c r="H1262" s="16"/>
      <c r="I1262" s="14"/>
    </row>
    <row r="1263">
      <c r="A1263" s="14">
        <v>610.0</v>
      </c>
      <c r="B1263" s="14">
        <v>1.10261558E8</v>
      </c>
      <c r="C1263" s="14">
        <v>4.7761698E8</v>
      </c>
      <c r="D1263" s="2" t="s">
        <v>75</v>
      </c>
      <c r="E1263" s="1" t="s">
        <v>699</v>
      </c>
      <c r="F1263" s="14">
        <v>0.7226</v>
      </c>
      <c r="G1263" s="15"/>
      <c r="H1263" s="16"/>
      <c r="I1263" s="14"/>
    </row>
    <row r="1264">
      <c r="A1264" s="14">
        <v>609.0</v>
      </c>
      <c r="B1264" s="14">
        <v>1.1774144E7</v>
      </c>
      <c r="C1264" s="14">
        <v>5.0047265E7</v>
      </c>
      <c r="D1264" s="2" t="s">
        <v>3213</v>
      </c>
      <c r="E1264" s="1" t="s">
        <v>121</v>
      </c>
      <c r="F1264" s="14">
        <v>0.7224</v>
      </c>
      <c r="G1264" s="15"/>
      <c r="H1264" s="16"/>
      <c r="I1264" s="14"/>
    </row>
    <row r="1265">
      <c r="A1265" s="14">
        <v>120.0</v>
      </c>
      <c r="B1265" s="14">
        <v>6533368.0</v>
      </c>
      <c r="C1265" s="14">
        <v>2.7819878E7</v>
      </c>
      <c r="D1265" s="2" t="s">
        <v>3216</v>
      </c>
      <c r="E1265" s="1" t="s">
        <v>121</v>
      </c>
      <c r="F1265" s="14">
        <v>0.722</v>
      </c>
      <c r="G1265" s="15"/>
      <c r="H1265" s="16"/>
      <c r="I1265" s="14"/>
    </row>
    <row r="1266">
      <c r="A1266" s="14">
        <v>353.0</v>
      </c>
      <c r="B1266" s="14">
        <v>8.7298391E7</v>
      </c>
      <c r="C1266" s="14">
        <v>3.69071421E8</v>
      </c>
      <c r="D1266" s="2" t="s">
        <v>1282</v>
      </c>
      <c r="E1266" s="1" t="s">
        <v>107</v>
      </c>
      <c r="F1266" s="14">
        <v>0.7216</v>
      </c>
      <c r="G1266" s="15"/>
      <c r="H1266" s="16"/>
      <c r="I1266" s="14"/>
    </row>
    <row r="1267">
      <c r="A1267" s="14">
        <v>120.0</v>
      </c>
      <c r="B1267" s="14">
        <v>893355.0</v>
      </c>
      <c r="C1267" s="14">
        <v>4179254.0</v>
      </c>
      <c r="D1267" s="2" t="s">
        <v>3220</v>
      </c>
      <c r="E1267" s="1" t="s">
        <v>121</v>
      </c>
      <c r="F1267" s="14">
        <v>0.7214</v>
      </c>
      <c r="G1267" s="15"/>
      <c r="H1267" s="16"/>
      <c r="I1267" s="14"/>
    </row>
    <row r="1268">
      <c r="A1268" s="14">
        <v>173.0</v>
      </c>
      <c r="B1268" s="14">
        <v>1.07272143E8</v>
      </c>
      <c r="C1268" s="14">
        <v>4.74390731E8</v>
      </c>
      <c r="D1268" s="2" t="s">
        <v>259</v>
      </c>
      <c r="E1268" s="1" t="s">
        <v>107</v>
      </c>
      <c r="F1268" s="14">
        <v>0.7202</v>
      </c>
      <c r="G1268" s="15"/>
      <c r="H1268" s="16"/>
      <c r="I1268" s="14"/>
    </row>
    <row r="1269">
      <c r="A1269" s="14">
        <v>120.0</v>
      </c>
      <c r="B1269" s="14">
        <v>284310.0</v>
      </c>
      <c r="C1269" s="14">
        <v>1221691.0</v>
      </c>
      <c r="D1269" s="2" t="s">
        <v>3223</v>
      </c>
      <c r="E1269" s="1" t="s">
        <v>107</v>
      </c>
      <c r="F1269" s="14">
        <v>0.7184</v>
      </c>
      <c r="G1269" s="15"/>
      <c r="H1269" s="16"/>
      <c r="I1269" s="14"/>
    </row>
    <row r="1270">
      <c r="A1270" s="14">
        <v>120.0</v>
      </c>
      <c r="B1270" s="14">
        <v>408998.0</v>
      </c>
      <c r="C1270" s="14">
        <v>1842973.0</v>
      </c>
      <c r="D1270" s="2" t="s">
        <v>3224</v>
      </c>
      <c r="E1270" s="1" t="s">
        <v>107</v>
      </c>
      <c r="F1270" s="14">
        <v>0.7184</v>
      </c>
      <c r="G1270" s="15"/>
      <c r="H1270" s="16"/>
      <c r="I1270" s="14"/>
    </row>
    <row r="1271">
      <c r="A1271" s="14">
        <v>531.0</v>
      </c>
      <c r="B1271" s="14">
        <v>2.3642415E7</v>
      </c>
      <c r="C1271" s="14">
        <v>9.7236798E7</v>
      </c>
      <c r="D1271" s="2" t="s">
        <v>3225</v>
      </c>
      <c r="E1271" s="1" t="s">
        <v>699</v>
      </c>
      <c r="F1271" s="14">
        <v>0.7184</v>
      </c>
      <c r="G1271" s="15"/>
      <c r="H1271" s="16"/>
      <c r="I1271" s="14"/>
    </row>
    <row r="1272">
      <c r="A1272" s="14">
        <v>578.0</v>
      </c>
      <c r="B1272" s="14">
        <v>1.0943839E8</v>
      </c>
      <c r="C1272" s="14">
        <v>4.73614684E8</v>
      </c>
      <c r="D1272" s="2" t="s">
        <v>112</v>
      </c>
      <c r="E1272" s="1" t="s">
        <v>699</v>
      </c>
      <c r="F1272" s="14">
        <v>0.7184</v>
      </c>
      <c r="G1272" s="15"/>
      <c r="H1272" s="16"/>
      <c r="I1272" s="14"/>
    </row>
    <row r="1273">
      <c r="A1273" s="14">
        <v>602.0</v>
      </c>
      <c r="B1273" s="14">
        <v>1696976.0</v>
      </c>
      <c r="C1273" s="14">
        <v>1.2044519E7</v>
      </c>
      <c r="D1273" s="2" t="s">
        <v>3226</v>
      </c>
      <c r="E1273" s="1" t="s">
        <v>121</v>
      </c>
      <c r="F1273" s="14">
        <v>0.7184</v>
      </c>
      <c r="G1273" s="15"/>
      <c r="H1273" s="16"/>
      <c r="I1273" s="14"/>
    </row>
    <row r="1274">
      <c r="A1274" s="14">
        <v>409.0</v>
      </c>
      <c r="B1274" s="14">
        <v>3376374.0</v>
      </c>
      <c r="C1274" s="14">
        <v>5.184105E7</v>
      </c>
      <c r="D1274" s="2" t="s">
        <v>3227</v>
      </c>
      <c r="E1274" s="1" t="s">
        <v>121</v>
      </c>
      <c r="F1274" s="14">
        <v>0.7184</v>
      </c>
      <c r="G1274" s="15"/>
      <c r="H1274" s="16"/>
      <c r="I1274" s="14"/>
    </row>
    <row r="1275">
      <c r="A1275" s="14">
        <v>504.0</v>
      </c>
      <c r="B1275" s="14">
        <v>2.2422819E7</v>
      </c>
      <c r="C1275" s="14">
        <v>9.2526538E7</v>
      </c>
      <c r="D1275" s="2" t="s">
        <v>3228</v>
      </c>
      <c r="E1275" s="1" t="s">
        <v>121</v>
      </c>
      <c r="F1275" s="14">
        <v>0.7184</v>
      </c>
      <c r="G1275" s="15"/>
      <c r="H1275" s="16"/>
      <c r="I1275" s="14"/>
    </row>
    <row r="1276">
      <c r="A1276" s="14">
        <v>671.0</v>
      </c>
      <c r="B1276" s="14">
        <v>3.6079961E7</v>
      </c>
      <c r="C1276" s="14">
        <v>1.43876788E8</v>
      </c>
      <c r="D1276" s="2" t="s">
        <v>3230</v>
      </c>
      <c r="E1276" s="1" t="s">
        <v>121</v>
      </c>
      <c r="F1276" s="14">
        <v>0.7184</v>
      </c>
      <c r="G1276" s="15"/>
      <c r="H1276" s="16"/>
      <c r="I1276" s="14"/>
    </row>
    <row r="1277">
      <c r="A1277" s="14">
        <v>394.0</v>
      </c>
      <c r="B1277" s="14">
        <v>5.6903952E7</v>
      </c>
      <c r="C1277" s="14">
        <v>2.26313787E8</v>
      </c>
      <c r="D1277" s="2" t="s">
        <v>2789</v>
      </c>
      <c r="E1277" s="1" t="s">
        <v>121</v>
      </c>
      <c r="F1277" s="14">
        <v>0.7184</v>
      </c>
      <c r="G1277" s="15"/>
      <c r="H1277" s="16"/>
      <c r="I1277" s="14"/>
    </row>
    <row r="1278">
      <c r="A1278" s="14">
        <v>353.0</v>
      </c>
      <c r="B1278" s="14">
        <v>8.1996602E7</v>
      </c>
      <c r="C1278" s="14">
        <v>3.57331755E8</v>
      </c>
      <c r="D1278" s="2" t="s">
        <v>1634</v>
      </c>
      <c r="E1278" s="1" t="s">
        <v>121</v>
      </c>
      <c r="F1278" s="14">
        <v>0.7184</v>
      </c>
      <c r="G1278" s="15"/>
      <c r="H1278" s="16"/>
      <c r="I1278" s="14"/>
    </row>
    <row r="1279">
      <c r="A1279" s="14">
        <v>564.0</v>
      </c>
      <c r="B1279" s="14">
        <v>8.6454034E7</v>
      </c>
      <c r="C1279" s="14">
        <v>3.65302158E8</v>
      </c>
      <c r="D1279" s="2" t="s">
        <v>1328</v>
      </c>
      <c r="E1279" s="1" t="s">
        <v>121</v>
      </c>
      <c r="F1279" s="14">
        <v>0.7184</v>
      </c>
      <c r="G1279" s="15"/>
      <c r="H1279" s="16"/>
      <c r="I1279" s="14"/>
    </row>
    <row r="1280">
      <c r="A1280" s="14">
        <v>394.0</v>
      </c>
      <c r="B1280" s="14">
        <v>8.7203161E7</v>
      </c>
      <c r="C1280" s="14">
        <v>3.68395691E8</v>
      </c>
      <c r="D1280" s="2" t="s">
        <v>1286</v>
      </c>
      <c r="E1280" s="1" t="s">
        <v>121</v>
      </c>
      <c r="F1280" s="14">
        <v>0.7184</v>
      </c>
      <c r="G1280" s="15"/>
      <c r="H1280" s="16"/>
      <c r="I1280" s="14"/>
    </row>
    <row r="1281">
      <c r="A1281" s="14">
        <v>173.0</v>
      </c>
      <c r="B1281" s="14">
        <v>1.123795E8</v>
      </c>
      <c r="C1281" s="14">
        <v>4.87937509E8</v>
      </c>
      <c r="D1281" s="2" t="s">
        <v>28</v>
      </c>
      <c r="E1281" s="1" t="s">
        <v>121</v>
      </c>
      <c r="F1281" s="14">
        <v>0.7184</v>
      </c>
      <c r="G1281" s="15"/>
      <c r="H1281" s="16"/>
      <c r="I1281" s="14"/>
    </row>
    <row r="1282">
      <c r="A1282" s="14">
        <v>571.0</v>
      </c>
      <c r="B1282" s="14">
        <v>1.3896683E7</v>
      </c>
      <c r="C1282" s="14">
        <v>5.9013943E7</v>
      </c>
      <c r="D1282" s="2" t="s">
        <v>3236</v>
      </c>
      <c r="E1282" s="1" t="s">
        <v>121</v>
      </c>
      <c r="F1282" s="14">
        <v>0.7182</v>
      </c>
      <c r="G1282" s="15"/>
      <c r="H1282" s="16"/>
      <c r="I1282" s="14"/>
    </row>
    <row r="1283">
      <c r="A1283" s="14">
        <v>571.0</v>
      </c>
      <c r="B1283" s="14">
        <v>6.4230792E7</v>
      </c>
      <c r="C1283" s="14">
        <v>2.60960227E8</v>
      </c>
      <c r="D1283" s="2" t="s">
        <v>2525</v>
      </c>
      <c r="E1283" s="1" t="s">
        <v>107</v>
      </c>
      <c r="F1283" s="14">
        <v>0.7178</v>
      </c>
      <c r="G1283" s="15"/>
      <c r="H1283" s="16"/>
      <c r="I1283" s="14"/>
    </row>
    <row r="1284">
      <c r="A1284" s="14">
        <v>401.0</v>
      </c>
      <c r="B1284" s="14">
        <v>6076116.0</v>
      </c>
      <c r="C1284" s="14">
        <v>3.9790067E7</v>
      </c>
      <c r="D1284" s="2" t="s">
        <v>3239</v>
      </c>
      <c r="E1284" s="1" t="s">
        <v>121</v>
      </c>
      <c r="F1284" s="14">
        <v>0.7178</v>
      </c>
      <c r="G1284" s="15"/>
      <c r="H1284" s="16"/>
      <c r="I1284" s="14"/>
    </row>
    <row r="1285">
      <c r="A1285" s="14">
        <v>531.0</v>
      </c>
      <c r="B1285" s="14">
        <v>7.8344774E7</v>
      </c>
      <c r="C1285" s="14">
        <v>3.26253642E8</v>
      </c>
      <c r="D1285" s="2" t="s">
        <v>1831</v>
      </c>
      <c r="E1285" s="1" t="s">
        <v>107</v>
      </c>
      <c r="F1285" s="14">
        <v>0.7177</v>
      </c>
      <c r="G1285" s="15"/>
      <c r="H1285" s="16"/>
      <c r="I1285" s="14"/>
    </row>
    <row r="1286">
      <c r="A1286" s="14">
        <v>546.0</v>
      </c>
      <c r="B1286" s="14">
        <v>1.07753035E8</v>
      </c>
      <c r="C1286" s="14">
        <v>4.65195203E8</v>
      </c>
      <c r="D1286" s="2" t="s">
        <v>221</v>
      </c>
      <c r="E1286" s="1" t="s">
        <v>107</v>
      </c>
      <c r="F1286" s="14">
        <v>0.7177</v>
      </c>
      <c r="G1286" s="15"/>
      <c r="H1286" s="16"/>
      <c r="I1286" s="14"/>
    </row>
    <row r="1287">
      <c r="A1287" s="14">
        <v>173.0</v>
      </c>
      <c r="B1287" s="14">
        <v>6.3543893E7</v>
      </c>
      <c r="C1287" s="14">
        <v>2.57704906E8</v>
      </c>
      <c r="D1287" s="2" t="s">
        <v>2549</v>
      </c>
      <c r="E1287" s="1" t="s">
        <v>107</v>
      </c>
      <c r="F1287" s="14">
        <v>0.717</v>
      </c>
      <c r="G1287" s="15"/>
      <c r="H1287" s="16"/>
      <c r="I1287" s="14"/>
    </row>
    <row r="1288">
      <c r="A1288" s="14">
        <v>550.0</v>
      </c>
      <c r="B1288" s="14">
        <v>7.2595906E7</v>
      </c>
      <c r="C1288" s="14">
        <v>2.99962177E8</v>
      </c>
      <c r="D1288" s="2" t="s">
        <v>2103</v>
      </c>
      <c r="E1288" s="1" t="s">
        <v>107</v>
      </c>
      <c r="F1288" s="14">
        <v>0.717</v>
      </c>
      <c r="G1288" s="15"/>
      <c r="H1288" s="16"/>
      <c r="I1288" s="14"/>
    </row>
    <row r="1289">
      <c r="A1289" s="14">
        <v>173.0</v>
      </c>
      <c r="B1289" s="14">
        <v>1.03102102E8</v>
      </c>
      <c r="C1289" s="14">
        <v>4.43477808E8</v>
      </c>
      <c r="D1289" s="2" t="s">
        <v>417</v>
      </c>
      <c r="E1289" s="1" t="s">
        <v>107</v>
      </c>
      <c r="F1289" s="14">
        <v>0.717</v>
      </c>
      <c r="G1289" s="15"/>
      <c r="H1289" s="16"/>
      <c r="I1289" s="14"/>
    </row>
    <row r="1290">
      <c r="A1290" s="14">
        <v>384.0</v>
      </c>
      <c r="B1290" s="14">
        <v>3715087.0</v>
      </c>
      <c r="C1290" s="14">
        <v>1.5769198E7</v>
      </c>
      <c r="D1290" s="2" t="s">
        <v>3250</v>
      </c>
      <c r="E1290" s="1" t="s">
        <v>121</v>
      </c>
      <c r="F1290" s="14">
        <v>0.717</v>
      </c>
      <c r="G1290" s="15"/>
      <c r="H1290" s="16"/>
      <c r="I1290" s="14"/>
    </row>
    <row r="1291">
      <c r="A1291" s="14">
        <v>571.0</v>
      </c>
      <c r="B1291" s="14">
        <v>6784698.0</v>
      </c>
      <c r="C1291" s="14">
        <v>2.8898045E7</v>
      </c>
      <c r="D1291" s="2" t="s">
        <v>3253</v>
      </c>
      <c r="E1291" s="1" t="s">
        <v>107</v>
      </c>
      <c r="F1291" s="14">
        <v>0.7163</v>
      </c>
      <c r="G1291" s="15"/>
      <c r="H1291" s="16"/>
      <c r="I1291" s="14"/>
    </row>
    <row r="1292">
      <c r="A1292" s="14">
        <v>215.0</v>
      </c>
      <c r="B1292" s="14">
        <v>2384123.0</v>
      </c>
      <c r="C1292" s="14">
        <v>1.0152285E7</v>
      </c>
      <c r="D1292" s="2" t="s">
        <v>3256</v>
      </c>
      <c r="E1292" s="1" t="s">
        <v>121</v>
      </c>
      <c r="F1292" s="14">
        <v>0.7162</v>
      </c>
      <c r="G1292" s="15"/>
      <c r="H1292" s="16"/>
      <c r="I1292" s="14"/>
    </row>
    <row r="1293">
      <c r="A1293" s="14">
        <v>654.0</v>
      </c>
      <c r="B1293" s="14">
        <v>4.0418496E7</v>
      </c>
      <c r="C1293" s="14">
        <v>1.60235505E8</v>
      </c>
      <c r="D1293" s="2" t="s">
        <v>1182</v>
      </c>
      <c r="E1293" s="1" t="s">
        <v>107</v>
      </c>
      <c r="F1293" s="14">
        <v>0.7159</v>
      </c>
      <c r="G1293" s="15"/>
      <c r="H1293" s="16"/>
      <c r="I1293" s="14"/>
    </row>
    <row r="1294">
      <c r="A1294" s="14">
        <v>256.0</v>
      </c>
      <c r="B1294" s="14">
        <v>4.7483456E7</v>
      </c>
      <c r="C1294" s="14">
        <v>1.87574089E8</v>
      </c>
      <c r="D1294" s="2" t="s">
        <v>3135</v>
      </c>
      <c r="E1294" s="1" t="s">
        <v>107</v>
      </c>
      <c r="F1294" s="14">
        <v>0.7159</v>
      </c>
      <c r="G1294" s="15"/>
      <c r="H1294" s="16"/>
      <c r="I1294" s="14"/>
    </row>
    <row r="1295">
      <c r="A1295" s="14">
        <v>394.0</v>
      </c>
      <c r="B1295" s="14">
        <v>5.4949001E7</v>
      </c>
      <c r="C1295" s="14">
        <v>2.1799978E8</v>
      </c>
      <c r="D1295" s="2" t="s">
        <v>2841</v>
      </c>
      <c r="E1295" s="1" t="s">
        <v>107</v>
      </c>
      <c r="F1295" s="14">
        <v>0.7159</v>
      </c>
      <c r="G1295" s="15"/>
      <c r="H1295" s="16"/>
      <c r="I1295" s="14"/>
    </row>
    <row r="1296">
      <c r="A1296" s="14">
        <v>378.0</v>
      </c>
      <c r="B1296" s="14">
        <v>6.884127E7</v>
      </c>
      <c r="C1296" s="14">
        <v>2.83162466E8</v>
      </c>
      <c r="D1296" s="2" t="s">
        <v>2291</v>
      </c>
      <c r="E1296" s="1" t="s">
        <v>107</v>
      </c>
      <c r="F1296" s="14">
        <v>0.7159</v>
      </c>
      <c r="G1296" s="15"/>
      <c r="H1296" s="16"/>
      <c r="I1296" s="14"/>
    </row>
    <row r="1297">
      <c r="A1297" s="14">
        <v>630.0</v>
      </c>
      <c r="B1297" s="14">
        <v>7.9320721E7</v>
      </c>
      <c r="C1297" s="14">
        <v>3.31763751E8</v>
      </c>
      <c r="D1297" s="2" t="s">
        <v>1784</v>
      </c>
      <c r="E1297" s="1" t="s">
        <v>107</v>
      </c>
      <c r="F1297" s="14">
        <v>0.7159</v>
      </c>
      <c r="G1297" s="15"/>
      <c r="H1297" s="16"/>
      <c r="I1297" s="14"/>
    </row>
    <row r="1298">
      <c r="A1298" s="14">
        <v>394.0</v>
      </c>
      <c r="B1298" s="14">
        <v>8.0794821E7</v>
      </c>
      <c r="C1298" s="14">
        <v>3.37897889E8</v>
      </c>
      <c r="D1298" s="2" t="s">
        <v>1704</v>
      </c>
      <c r="E1298" s="1" t="s">
        <v>107</v>
      </c>
      <c r="F1298" s="14">
        <v>0.7159</v>
      </c>
      <c r="G1298" s="15"/>
      <c r="H1298" s="16"/>
      <c r="I1298" s="14"/>
    </row>
    <row r="1299">
      <c r="A1299" s="14">
        <v>414.0</v>
      </c>
      <c r="B1299" s="14">
        <v>8.7668281E7</v>
      </c>
      <c r="C1299" s="14">
        <v>3.70591913E8</v>
      </c>
      <c r="D1299" s="2" t="s">
        <v>1255</v>
      </c>
      <c r="E1299" s="1" t="s">
        <v>107</v>
      </c>
      <c r="F1299" s="14">
        <v>0.7159</v>
      </c>
      <c r="G1299" s="15"/>
      <c r="H1299" s="16"/>
      <c r="I1299" s="14"/>
    </row>
    <row r="1300">
      <c r="A1300" s="14">
        <v>353.0</v>
      </c>
      <c r="B1300" s="14">
        <v>8.9086594E7</v>
      </c>
      <c r="C1300" s="14">
        <v>3.77268449E8</v>
      </c>
      <c r="D1300" s="2" t="s">
        <v>1182</v>
      </c>
      <c r="E1300" s="1" t="s">
        <v>107</v>
      </c>
      <c r="F1300" s="14">
        <v>0.7159</v>
      </c>
      <c r="G1300" s="15"/>
      <c r="H1300" s="16"/>
      <c r="I1300" s="14"/>
    </row>
    <row r="1301">
      <c r="A1301" s="14">
        <v>210.0</v>
      </c>
      <c r="B1301" s="14">
        <v>9.1971642E7</v>
      </c>
      <c r="C1301" s="14">
        <v>3.90417501E8</v>
      </c>
      <c r="D1301" s="2" t="s">
        <v>1037</v>
      </c>
      <c r="E1301" s="1" t="s">
        <v>107</v>
      </c>
      <c r="F1301" s="14">
        <v>0.7159</v>
      </c>
      <c r="G1301" s="15"/>
      <c r="H1301" s="16"/>
      <c r="I1301" s="14"/>
    </row>
    <row r="1302">
      <c r="A1302" s="14">
        <v>488.0</v>
      </c>
      <c r="B1302" s="14">
        <v>1.01813113E8</v>
      </c>
      <c r="C1302" s="14">
        <v>4.37225229E8</v>
      </c>
      <c r="D1302" s="2" t="s">
        <v>480</v>
      </c>
      <c r="E1302" s="1" t="s">
        <v>107</v>
      </c>
      <c r="F1302" s="14">
        <v>0.7157</v>
      </c>
      <c r="G1302" s="15"/>
      <c r="H1302" s="16"/>
      <c r="I1302" s="14"/>
    </row>
    <row r="1303">
      <c r="A1303" s="14">
        <v>641.0</v>
      </c>
      <c r="B1303" s="14">
        <v>4285869.0</v>
      </c>
      <c r="C1303" s="14">
        <v>1.8196018E7</v>
      </c>
      <c r="D1303" s="2" t="s">
        <v>3282</v>
      </c>
      <c r="E1303" s="1" t="s">
        <v>107</v>
      </c>
      <c r="F1303" s="14">
        <v>0.7146</v>
      </c>
      <c r="G1303" s="15"/>
      <c r="H1303" s="16"/>
      <c r="I1303" s="14"/>
    </row>
    <row r="1304">
      <c r="A1304" s="14">
        <v>210.0</v>
      </c>
      <c r="B1304" s="14">
        <v>4.7133348E7</v>
      </c>
      <c r="C1304" s="14">
        <v>1.86266177E8</v>
      </c>
      <c r="D1304" s="2" t="s">
        <v>3148</v>
      </c>
      <c r="E1304" s="1" t="s">
        <v>107</v>
      </c>
      <c r="F1304" s="14">
        <v>0.7146</v>
      </c>
      <c r="G1304" s="15"/>
      <c r="H1304" s="16"/>
      <c r="I1304" s="14"/>
    </row>
    <row r="1305">
      <c r="A1305" s="14">
        <v>455.0</v>
      </c>
      <c r="B1305" s="14">
        <v>6.2835549E7</v>
      </c>
      <c r="C1305" s="14">
        <v>2.59154343E8</v>
      </c>
      <c r="D1305" s="2" t="s">
        <v>2579</v>
      </c>
      <c r="E1305" s="1" t="s">
        <v>107</v>
      </c>
      <c r="F1305" s="14">
        <v>0.7146</v>
      </c>
      <c r="G1305" s="15"/>
      <c r="H1305" s="16"/>
      <c r="I1305" s="14"/>
    </row>
    <row r="1306">
      <c r="A1306" s="14">
        <v>394.0</v>
      </c>
      <c r="B1306" s="14">
        <v>8.1427791E7</v>
      </c>
      <c r="C1306" s="14">
        <v>3.40854583E8</v>
      </c>
      <c r="D1306" s="2" t="s">
        <v>1675</v>
      </c>
      <c r="E1306" s="1" t="s">
        <v>107</v>
      </c>
      <c r="F1306" s="14">
        <v>0.7146</v>
      </c>
      <c r="G1306" s="15"/>
      <c r="H1306" s="16"/>
      <c r="I1306" s="14"/>
    </row>
    <row r="1307">
      <c r="A1307" s="14">
        <v>715.0</v>
      </c>
      <c r="B1307" s="14">
        <v>8.5350381E7</v>
      </c>
      <c r="C1307" s="14">
        <v>3.59497811E8</v>
      </c>
      <c r="D1307" s="2" t="s">
        <v>1404</v>
      </c>
      <c r="E1307" s="1" t="s">
        <v>107</v>
      </c>
      <c r="F1307" s="14">
        <v>0.7138</v>
      </c>
      <c r="G1307" s="15"/>
      <c r="H1307" s="16"/>
      <c r="I1307" s="14"/>
    </row>
    <row r="1308">
      <c r="A1308" s="14">
        <v>216.0</v>
      </c>
      <c r="B1308" s="14">
        <v>493999.0</v>
      </c>
      <c r="C1308" s="14">
        <v>2338336.0</v>
      </c>
      <c r="D1308" s="2" t="s">
        <v>3291</v>
      </c>
      <c r="E1308" s="1" t="s">
        <v>107</v>
      </c>
      <c r="F1308" s="14">
        <v>0.7125</v>
      </c>
      <c r="G1308" s="15"/>
      <c r="H1308" s="16"/>
      <c r="I1308" s="14"/>
    </row>
    <row r="1309">
      <c r="A1309" s="14">
        <v>677.0</v>
      </c>
      <c r="B1309" s="14">
        <v>1.2730708E7</v>
      </c>
      <c r="C1309" s="14">
        <v>2.12944285E8</v>
      </c>
      <c r="D1309" s="2" t="s">
        <v>3293</v>
      </c>
      <c r="E1309" s="1" t="s">
        <v>107</v>
      </c>
      <c r="F1309" s="14">
        <v>0.7125</v>
      </c>
      <c r="G1309" s="15"/>
      <c r="H1309" s="16"/>
      <c r="I1309" s="14"/>
    </row>
    <row r="1310">
      <c r="A1310" s="14">
        <v>414.0</v>
      </c>
      <c r="B1310" s="14">
        <v>4.7081694E7</v>
      </c>
      <c r="C1310" s="14">
        <v>1.86287102E8</v>
      </c>
      <c r="D1310" s="2" t="s">
        <v>3153</v>
      </c>
      <c r="E1310" s="1" t="s">
        <v>107</v>
      </c>
      <c r="F1310" s="14">
        <v>0.7113</v>
      </c>
      <c r="G1310" s="15"/>
      <c r="H1310" s="16"/>
      <c r="I1310" s="14"/>
    </row>
    <row r="1311">
      <c r="A1311" s="14">
        <v>570.0</v>
      </c>
      <c r="B1311" s="14">
        <v>1.5706058E7</v>
      </c>
      <c r="C1311" s="14">
        <v>6.6713931E7</v>
      </c>
      <c r="D1311" s="2" t="s">
        <v>3297</v>
      </c>
      <c r="E1311" s="1" t="s">
        <v>107</v>
      </c>
      <c r="F1311" s="14">
        <v>0.7102</v>
      </c>
      <c r="G1311" s="15"/>
      <c r="H1311" s="16"/>
      <c r="I1311" s="14"/>
    </row>
    <row r="1312">
      <c r="A1312" s="14">
        <v>247.0</v>
      </c>
      <c r="B1312" s="14">
        <v>212948.0</v>
      </c>
      <c r="C1312" s="14">
        <v>1716893.0</v>
      </c>
      <c r="D1312" s="2" t="s">
        <v>3300</v>
      </c>
      <c r="E1312" s="1" t="s">
        <v>107</v>
      </c>
      <c r="F1312" s="14">
        <v>0.7096</v>
      </c>
      <c r="G1312" s="15"/>
      <c r="H1312" s="16"/>
      <c r="I1312" s="14"/>
    </row>
    <row r="1313">
      <c r="A1313" s="14">
        <v>319.0</v>
      </c>
      <c r="B1313" s="14">
        <v>2716027.0</v>
      </c>
      <c r="C1313" s="14">
        <v>1.142402E7</v>
      </c>
      <c r="D1313" s="2" t="s">
        <v>3302</v>
      </c>
      <c r="E1313" s="1" t="s">
        <v>107</v>
      </c>
      <c r="F1313" s="14">
        <v>0.7096</v>
      </c>
      <c r="G1313" s="15"/>
      <c r="H1313" s="16"/>
      <c r="I1313" s="14"/>
    </row>
    <row r="1314">
      <c r="A1314" s="14">
        <v>609.0</v>
      </c>
      <c r="B1314" s="14">
        <v>3.3064568E7</v>
      </c>
      <c r="C1314" s="14">
        <v>1.32285686E8</v>
      </c>
      <c r="D1314" s="2" t="s">
        <v>3305</v>
      </c>
      <c r="E1314" s="1" t="s">
        <v>107</v>
      </c>
      <c r="F1314" s="14">
        <v>0.7096</v>
      </c>
      <c r="G1314" s="15"/>
      <c r="H1314" s="16"/>
      <c r="I1314" s="14"/>
    </row>
    <row r="1315">
      <c r="A1315" s="14">
        <v>578.0</v>
      </c>
      <c r="B1315" s="14">
        <v>4.1605653E7</v>
      </c>
      <c r="C1315" s="14">
        <v>4.18155063E8</v>
      </c>
      <c r="D1315" s="2" t="s">
        <v>3309</v>
      </c>
      <c r="E1315" s="1" t="s">
        <v>107</v>
      </c>
      <c r="F1315" s="14">
        <v>0.7096</v>
      </c>
      <c r="G1315" s="15"/>
      <c r="H1315" s="16"/>
      <c r="I1315" s="14"/>
    </row>
    <row r="1316">
      <c r="A1316" s="14">
        <v>173.0</v>
      </c>
      <c r="B1316" s="14">
        <v>6.4415194E7</v>
      </c>
      <c r="C1316" s="14">
        <v>2.61747164E8</v>
      </c>
      <c r="D1316" s="2" t="s">
        <v>2518</v>
      </c>
      <c r="E1316" s="1" t="s">
        <v>107</v>
      </c>
      <c r="F1316" s="14">
        <v>0.7096</v>
      </c>
      <c r="G1316" s="15"/>
      <c r="H1316" s="16"/>
      <c r="I1316" s="14"/>
    </row>
    <row r="1317">
      <c r="A1317" s="14">
        <v>661.0</v>
      </c>
      <c r="B1317" s="14">
        <v>1.06715425E8</v>
      </c>
      <c r="C1317" s="14">
        <v>4.60395099E8</v>
      </c>
      <c r="D1317" s="2" t="s">
        <v>273</v>
      </c>
      <c r="E1317" s="1" t="s">
        <v>107</v>
      </c>
      <c r="F1317" s="14">
        <v>0.7096</v>
      </c>
      <c r="G1317" s="15"/>
      <c r="H1317" s="16"/>
      <c r="I1317" s="14"/>
    </row>
    <row r="1318">
      <c r="A1318" s="14">
        <v>341.0</v>
      </c>
      <c r="B1318" s="14">
        <v>1777298.0</v>
      </c>
      <c r="C1318" s="14">
        <v>7763803.0</v>
      </c>
      <c r="D1318" s="2" t="s">
        <v>3313</v>
      </c>
      <c r="E1318" s="1" t="s">
        <v>121</v>
      </c>
      <c r="F1318" s="14">
        <v>0.7096</v>
      </c>
      <c r="G1318" s="15"/>
      <c r="H1318" s="16"/>
      <c r="I1318" s="14"/>
    </row>
    <row r="1319">
      <c r="A1319" s="14">
        <v>120.0</v>
      </c>
      <c r="B1319" s="14">
        <v>2322319.0</v>
      </c>
      <c r="C1319" s="14">
        <v>2.2426289E7</v>
      </c>
      <c r="D1319" s="2" t="s">
        <v>3314</v>
      </c>
      <c r="E1319" s="1" t="s">
        <v>121</v>
      </c>
      <c r="F1319" s="14">
        <v>0.7096</v>
      </c>
      <c r="G1319" s="15"/>
      <c r="H1319" s="16"/>
      <c r="I1319" s="14"/>
    </row>
    <row r="1320">
      <c r="A1320" s="14">
        <v>565.0</v>
      </c>
      <c r="B1320" s="14">
        <v>7135514.0</v>
      </c>
      <c r="C1320" s="14">
        <v>3.0346529E7</v>
      </c>
      <c r="D1320" s="2" t="s">
        <v>3317</v>
      </c>
      <c r="E1320" s="1" t="s">
        <v>121</v>
      </c>
      <c r="F1320" s="14">
        <v>0.7096</v>
      </c>
      <c r="G1320" s="15"/>
      <c r="H1320" s="16"/>
      <c r="I1320" s="14"/>
    </row>
    <row r="1321">
      <c r="A1321" s="14">
        <v>564.0</v>
      </c>
      <c r="B1321" s="14">
        <v>1.0619833E7</v>
      </c>
      <c r="C1321" s="14">
        <v>4.5150632E7</v>
      </c>
      <c r="D1321" s="2" t="s">
        <v>3320</v>
      </c>
      <c r="E1321" s="1" t="s">
        <v>121</v>
      </c>
      <c r="F1321" s="14">
        <v>0.7092</v>
      </c>
      <c r="G1321" s="15"/>
      <c r="H1321" s="16"/>
      <c r="I1321" s="14"/>
    </row>
    <row r="1322">
      <c r="A1322" s="14">
        <v>340.0</v>
      </c>
      <c r="B1322" s="14">
        <v>684643.0</v>
      </c>
      <c r="C1322" s="14">
        <v>3324681.0</v>
      </c>
      <c r="D1322" s="2" t="s">
        <v>3323</v>
      </c>
      <c r="E1322" s="1" t="s">
        <v>107</v>
      </c>
      <c r="F1322" s="14">
        <v>0.7089</v>
      </c>
      <c r="G1322" s="15"/>
      <c r="H1322" s="16"/>
      <c r="I1322" s="14"/>
    </row>
    <row r="1323">
      <c r="A1323" s="14">
        <v>609.0</v>
      </c>
      <c r="B1323" s="14">
        <v>3391049.0</v>
      </c>
      <c r="C1323" s="14">
        <v>1.4355891E7</v>
      </c>
      <c r="D1323" s="2" t="s">
        <v>3325</v>
      </c>
      <c r="E1323" s="1" t="s">
        <v>107</v>
      </c>
      <c r="F1323" s="14">
        <v>0.7089</v>
      </c>
      <c r="G1323" s="15"/>
      <c r="H1323" s="16"/>
      <c r="I1323" s="14"/>
    </row>
    <row r="1324">
      <c r="A1324" s="14">
        <v>610.0</v>
      </c>
      <c r="B1324" s="14">
        <v>5.5525424E7</v>
      </c>
      <c r="C1324" s="14">
        <v>2.20612248E8</v>
      </c>
      <c r="D1324" s="2" t="s">
        <v>2825</v>
      </c>
      <c r="E1324" s="1" t="s">
        <v>121</v>
      </c>
      <c r="F1324" s="14">
        <v>0.7089</v>
      </c>
      <c r="G1324" s="15"/>
      <c r="H1324" s="16"/>
      <c r="I1324" s="14"/>
    </row>
    <row r="1325">
      <c r="A1325" s="14">
        <v>628.0</v>
      </c>
      <c r="B1325" s="14">
        <v>2028607.0</v>
      </c>
      <c r="C1325" s="14">
        <v>1.0691958E7</v>
      </c>
      <c r="D1325" s="2" t="s">
        <v>3328</v>
      </c>
      <c r="E1325" s="1" t="s">
        <v>699</v>
      </c>
      <c r="F1325" s="14">
        <v>0.7088</v>
      </c>
      <c r="G1325" s="15"/>
      <c r="H1325" s="16"/>
      <c r="I1325" s="14"/>
    </row>
    <row r="1326">
      <c r="A1326" s="14">
        <v>531.0</v>
      </c>
      <c r="B1326" s="14">
        <v>1.4006057E7</v>
      </c>
      <c r="C1326" s="14">
        <v>8.9468953E7</v>
      </c>
      <c r="D1326" s="2" t="s">
        <v>3330</v>
      </c>
      <c r="E1326" s="1" t="s">
        <v>699</v>
      </c>
      <c r="F1326" s="14">
        <v>0.7088</v>
      </c>
      <c r="G1326" s="15"/>
      <c r="H1326" s="16"/>
      <c r="I1326" s="14"/>
    </row>
    <row r="1327">
      <c r="A1327" s="14">
        <v>120.0</v>
      </c>
      <c r="B1327" s="14">
        <v>4.5472027E7</v>
      </c>
      <c r="C1327" s="14">
        <v>1.79575806E8</v>
      </c>
      <c r="D1327" s="2" t="s">
        <v>3235</v>
      </c>
      <c r="E1327" s="1" t="s">
        <v>699</v>
      </c>
      <c r="F1327" s="14">
        <v>0.7088</v>
      </c>
      <c r="G1327" s="15"/>
      <c r="H1327" s="16"/>
      <c r="I1327" s="14"/>
    </row>
    <row r="1328">
      <c r="A1328" s="14">
        <v>672.0</v>
      </c>
      <c r="B1328" s="14">
        <v>1.09179402E8</v>
      </c>
      <c r="C1328" s="14">
        <v>4.72414921E8</v>
      </c>
      <c r="D1328" s="2" t="s">
        <v>128</v>
      </c>
      <c r="E1328" s="1" t="s">
        <v>699</v>
      </c>
      <c r="F1328" s="14">
        <v>0.7088</v>
      </c>
      <c r="G1328" s="15"/>
      <c r="H1328" s="16"/>
      <c r="I1328" s="14"/>
    </row>
    <row r="1329">
      <c r="A1329" s="14">
        <v>602.0</v>
      </c>
      <c r="B1329" s="14">
        <v>7214206.0</v>
      </c>
      <c r="C1329" s="14">
        <v>3.0694579E7</v>
      </c>
      <c r="D1329" s="2" t="s">
        <v>3335</v>
      </c>
      <c r="E1329" s="1" t="s">
        <v>121</v>
      </c>
      <c r="F1329" s="14">
        <v>0.7088</v>
      </c>
      <c r="G1329" s="15"/>
      <c r="H1329" s="16"/>
      <c r="I1329" s="14"/>
    </row>
    <row r="1330">
      <c r="A1330" s="14">
        <v>353.0</v>
      </c>
      <c r="B1330" s="14">
        <v>1.12894917E8</v>
      </c>
      <c r="C1330" s="14">
        <v>4.90925521E8</v>
      </c>
      <c r="D1330" s="2" t="s">
        <v>15</v>
      </c>
      <c r="E1330" s="1" t="s">
        <v>121</v>
      </c>
      <c r="F1330" s="14">
        <v>0.7088</v>
      </c>
      <c r="G1330" s="15"/>
      <c r="H1330" s="16"/>
      <c r="I1330" s="14"/>
    </row>
    <row r="1331">
      <c r="A1331" s="14">
        <v>492.0</v>
      </c>
      <c r="B1331" s="14">
        <v>2.8196582E7</v>
      </c>
      <c r="C1331" s="14">
        <v>1.13708691E8</v>
      </c>
      <c r="D1331" s="2" t="s">
        <v>3338</v>
      </c>
      <c r="E1331" s="1" t="s">
        <v>121</v>
      </c>
      <c r="F1331" s="14">
        <v>0.7083</v>
      </c>
      <c r="G1331" s="15"/>
      <c r="H1331" s="16"/>
      <c r="I1331" s="14"/>
    </row>
    <row r="1332">
      <c r="A1332" s="14">
        <v>414.0</v>
      </c>
      <c r="B1332" s="14">
        <v>8476060.0</v>
      </c>
      <c r="C1332" s="14">
        <v>3.6007637E7</v>
      </c>
      <c r="D1332" s="2" t="s">
        <v>3341</v>
      </c>
      <c r="E1332" s="1" t="s">
        <v>121</v>
      </c>
      <c r="F1332" s="14">
        <v>0.7074</v>
      </c>
      <c r="G1332" s="15"/>
      <c r="H1332" s="16"/>
      <c r="I1332" s="14"/>
    </row>
    <row r="1333">
      <c r="A1333" s="14">
        <v>173.0</v>
      </c>
      <c r="B1333" s="14">
        <v>2194831.0</v>
      </c>
      <c r="C1333" s="14">
        <v>9.0071653E7</v>
      </c>
      <c r="D1333" s="2" t="s">
        <v>3343</v>
      </c>
      <c r="E1333" s="1" t="s">
        <v>107</v>
      </c>
      <c r="F1333" s="14">
        <v>0.707</v>
      </c>
      <c r="G1333" s="15"/>
      <c r="H1333" s="16"/>
      <c r="I1333" s="14"/>
    </row>
    <row r="1334">
      <c r="A1334" s="14">
        <v>717.0</v>
      </c>
      <c r="B1334" s="14">
        <v>6.5181022E7</v>
      </c>
      <c r="C1334" s="14">
        <v>2.65503287E8</v>
      </c>
      <c r="D1334" s="2" t="s">
        <v>2483</v>
      </c>
      <c r="E1334" s="1" t="s">
        <v>107</v>
      </c>
      <c r="F1334" s="14">
        <v>0.707</v>
      </c>
      <c r="G1334" s="15"/>
      <c r="H1334" s="16"/>
      <c r="I1334" s="14"/>
    </row>
    <row r="1335">
      <c r="A1335" s="14">
        <v>380.0</v>
      </c>
      <c r="B1335" s="14">
        <v>8.1519368E7</v>
      </c>
      <c r="C1335" s="14">
        <v>3.41587062E8</v>
      </c>
      <c r="D1335" s="2" t="s">
        <v>1668</v>
      </c>
      <c r="E1335" s="1" t="s">
        <v>107</v>
      </c>
      <c r="F1335" s="14">
        <v>0.707</v>
      </c>
      <c r="G1335" s="15"/>
      <c r="H1335" s="16"/>
      <c r="I1335" s="14"/>
    </row>
    <row r="1336">
      <c r="A1336" s="14">
        <v>719.0</v>
      </c>
      <c r="B1336" s="14">
        <v>9.2162766E7</v>
      </c>
      <c r="C1336" s="14">
        <v>3.91301732E8</v>
      </c>
      <c r="D1336" s="2" t="s">
        <v>1022</v>
      </c>
      <c r="E1336" s="1" t="s">
        <v>107</v>
      </c>
      <c r="F1336" s="14">
        <v>0.707</v>
      </c>
      <c r="G1336" s="15"/>
      <c r="H1336" s="16"/>
      <c r="I1336" s="14"/>
    </row>
    <row r="1337">
      <c r="A1337" s="14">
        <v>719.0</v>
      </c>
      <c r="B1337" s="14">
        <v>9.232E7</v>
      </c>
      <c r="C1337" s="14">
        <v>3.9203113E8</v>
      </c>
      <c r="D1337" s="2" t="s">
        <v>1013</v>
      </c>
      <c r="E1337" s="1" t="s">
        <v>107</v>
      </c>
      <c r="F1337" s="14">
        <v>0.707</v>
      </c>
      <c r="G1337" s="15"/>
      <c r="H1337" s="16"/>
      <c r="I1337" s="14"/>
    </row>
    <row r="1338">
      <c r="A1338" s="14">
        <v>355.0</v>
      </c>
      <c r="B1338" s="14">
        <v>5.4707103E7</v>
      </c>
      <c r="C1338" s="14">
        <v>2.17214643E8</v>
      </c>
      <c r="D1338" s="2" t="s">
        <v>2851</v>
      </c>
      <c r="E1338" s="1" t="s">
        <v>107</v>
      </c>
      <c r="F1338" s="14">
        <v>0.7067</v>
      </c>
      <c r="G1338" s="15"/>
      <c r="H1338" s="16"/>
      <c r="I1338" s="14"/>
    </row>
    <row r="1339">
      <c r="A1339" s="14">
        <v>550.0</v>
      </c>
      <c r="B1339" s="14">
        <v>5.9701445E7</v>
      </c>
      <c r="C1339" s="14">
        <v>2.39027726E8</v>
      </c>
      <c r="D1339" s="2" t="s">
        <v>2704</v>
      </c>
      <c r="E1339" s="1" t="s">
        <v>107</v>
      </c>
      <c r="F1339" s="14">
        <v>0.7067</v>
      </c>
      <c r="G1339" s="15"/>
      <c r="H1339" s="16"/>
      <c r="I1339" s="14"/>
    </row>
    <row r="1340">
      <c r="A1340" s="14">
        <v>394.0</v>
      </c>
      <c r="B1340" s="14">
        <v>4.8442144E7</v>
      </c>
      <c r="C1340" s="14">
        <v>1.91415753E8</v>
      </c>
      <c r="D1340" s="2" t="s">
        <v>3083</v>
      </c>
      <c r="E1340" s="1" t="s">
        <v>107</v>
      </c>
      <c r="F1340" s="14">
        <v>0.7062</v>
      </c>
      <c r="G1340" s="15"/>
      <c r="H1340" s="16"/>
      <c r="I1340" s="14"/>
    </row>
    <row r="1341">
      <c r="A1341" s="14">
        <v>610.0</v>
      </c>
      <c r="B1341" s="14">
        <v>2.6982051E7</v>
      </c>
      <c r="C1341" s="14">
        <v>1.09255845E8</v>
      </c>
      <c r="D1341" s="2" t="s">
        <v>3358</v>
      </c>
      <c r="E1341" s="1" t="s">
        <v>699</v>
      </c>
      <c r="F1341" s="14">
        <v>0.7059</v>
      </c>
      <c r="G1341" s="15"/>
      <c r="H1341" s="16"/>
      <c r="I1341" s="14"/>
    </row>
    <row r="1342">
      <c r="A1342" s="14">
        <v>569.0</v>
      </c>
      <c r="B1342" s="14">
        <v>1.1324504E7</v>
      </c>
      <c r="C1342" s="14">
        <v>4.8144966E7</v>
      </c>
      <c r="D1342" s="2" t="s">
        <v>3360</v>
      </c>
      <c r="E1342" s="1" t="s">
        <v>121</v>
      </c>
      <c r="F1342" s="14">
        <v>0.7056</v>
      </c>
      <c r="G1342" s="15"/>
      <c r="H1342" s="16"/>
      <c r="I1342" s="14"/>
    </row>
    <row r="1343">
      <c r="A1343" s="14">
        <v>673.0</v>
      </c>
      <c r="B1343" s="14">
        <v>1.1109058E8</v>
      </c>
      <c r="C1343" s="14">
        <v>4.81936124E8</v>
      </c>
      <c r="D1343" s="2" t="s">
        <v>51</v>
      </c>
      <c r="E1343" s="1" t="s">
        <v>121</v>
      </c>
      <c r="F1343" s="14">
        <v>0.705</v>
      </c>
      <c r="G1343" s="15"/>
      <c r="H1343" s="16"/>
      <c r="I1343" s="14"/>
    </row>
    <row r="1344">
      <c r="A1344" s="14">
        <v>531.0</v>
      </c>
      <c r="B1344" s="14">
        <v>9352022.0</v>
      </c>
      <c r="C1344" s="14">
        <v>3.9654302E7</v>
      </c>
      <c r="D1344" s="2" t="s">
        <v>3363</v>
      </c>
      <c r="E1344" s="1" t="s">
        <v>121</v>
      </c>
      <c r="F1344" s="14">
        <v>0.704</v>
      </c>
      <c r="G1344" s="15"/>
      <c r="H1344" s="16"/>
      <c r="I1344" s="14"/>
    </row>
    <row r="1345">
      <c r="A1345" s="14">
        <v>471.0</v>
      </c>
      <c r="B1345" s="14">
        <v>5.24639E7</v>
      </c>
      <c r="C1345" s="14">
        <v>2.08283642E8</v>
      </c>
      <c r="D1345" s="2" t="s">
        <v>2927</v>
      </c>
      <c r="E1345" s="1" t="s">
        <v>107</v>
      </c>
      <c r="F1345" s="14">
        <v>0.7034</v>
      </c>
      <c r="G1345" s="15"/>
      <c r="H1345" s="16"/>
      <c r="I1345" s="14"/>
    </row>
    <row r="1346">
      <c r="A1346" s="14">
        <v>576.0</v>
      </c>
      <c r="B1346" s="14">
        <v>1.1742901E7</v>
      </c>
      <c r="C1346" s="14">
        <v>4.9896775E7</v>
      </c>
      <c r="D1346" s="2" t="s">
        <v>3364</v>
      </c>
      <c r="E1346" s="1" t="s">
        <v>121</v>
      </c>
      <c r="F1346" s="14">
        <v>0.7013</v>
      </c>
      <c r="G1346" s="15"/>
      <c r="H1346" s="16"/>
      <c r="I1346" s="14"/>
    </row>
    <row r="1347">
      <c r="A1347" s="14">
        <v>503.0</v>
      </c>
      <c r="B1347" s="14">
        <v>1789782.0</v>
      </c>
      <c r="C1347" s="14">
        <v>1.82915012E8</v>
      </c>
      <c r="D1347" s="2" t="s">
        <v>3366</v>
      </c>
      <c r="E1347" s="1" t="s">
        <v>107</v>
      </c>
      <c r="F1347" s="14">
        <v>0.7003</v>
      </c>
      <c r="G1347" s="15"/>
      <c r="H1347" s="16"/>
      <c r="I1347" s="14"/>
    </row>
    <row r="1348">
      <c r="A1348" s="14">
        <v>671.0</v>
      </c>
      <c r="B1348" s="14">
        <v>3029079.0</v>
      </c>
      <c r="C1348" s="14">
        <v>1.2816378E7</v>
      </c>
      <c r="D1348" s="2" t="s">
        <v>3369</v>
      </c>
      <c r="E1348" s="1" t="s">
        <v>107</v>
      </c>
      <c r="F1348" s="14">
        <v>0.7003</v>
      </c>
      <c r="G1348" s="15"/>
      <c r="H1348" s="16"/>
      <c r="I1348" s="14"/>
    </row>
    <row r="1349">
      <c r="A1349" s="14">
        <v>671.0</v>
      </c>
      <c r="B1349" s="14">
        <v>1.1145618E7</v>
      </c>
      <c r="C1349" s="14">
        <v>4.7334179E7</v>
      </c>
      <c r="D1349" s="2" t="s">
        <v>3372</v>
      </c>
      <c r="E1349" s="1" t="s">
        <v>107</v>
      </c>
      <c r="F1349" s="14">
        <v>0.7003</v>
      </c>
      <c r="G1349" s="15"/>
      <c r="H1349" s="16"/>
      <c r="I1349" s="14"/>
    </row>
    <row r="1350">
      <c r="A1350" s="14">
        <v>671.0</v>
      </c>
      <c r="B1350" s="14">
        <v>1.2158841E7</v>
      </c>
      <c r="C1350" s="14">
        <v>5.1580777E7</v>
      </c>
      <c r="D1350" s="2" t="s">
        <v>3374</v>
      </c>
      <c r="E1350" s="1" t="s">
        <v>107</v>
      </c>
      <c r="F1350" s="14">
        <v>0.7003</v>
      </c>
      <c r="G1350" s="15"/>
      <c r="H1350" s="16"/>
      <c r="I1350" s="14"/>
    </row>
    <row r="1351">
      <c r="A1351" s="14">
        <v>504.0</v>
      </c>
      <c r="B1351" s="14">
        <v>1.2676973E7</v>
      </c>
      <c r="C1351" s="14">
        <v>5.3712512E7</v>
      </c>
      <c r="D1351" s="2" t="s">
        <v>3377</v>
      </c>
      <c r="E1351" s="1" t="s">
        <v>107</v>
      </c>
      <c r="F1351" s="14">
        <v>0.7003</v>
      </c>
      <c r="G1351" s="15"/>
      <c r="H1351" s="16"/>
      <c r="I1351" s="14"/>
    </row>
    <row r="1352">
      <c r="A1352" s="14">
        <v>716.0</v>
      </c>
      <c r="B1352" s="14">
        <v>2.0520019E7</v>
      </c>
      <c r="C1352" s="14">
        <v>1.59973652E8</v>
      </c>
      <c r="D1352" s="2" t="s">
        <v>3379</v>
      </c>
      <c r="E1352" s="1" t="s">
        <v>107</v>
      </c>
      <c r="F1352" s="14">
        <v>0.7003</v>
      </c>
      <c r="G1352" s="15"/>
      <c r="H1352" s="16"/>
      <c r="I1352" s="14"/>
    </row>
    <row r="1353">
      <c r="A1353" s="14">
        <v>427.0</v>
      </c>
      <c r="B1353" s="14">
        <v>4.8862739E7</v>
      </c>
      <c r="C1353" s="14">
        <v>1.93114248E8</v>
      </c>
      <c r="D1353" s="2" t="s">
        <v>3057</v>
      </c>
      <c r="E1353" s="1" t="s">
        <v>107</v>
      </c>
      <c r="F1353" s="14">
        <v>0.7003</v>
      </c>
      <c r="G1353" s="15"/>
      <c r="H1353" s="16"/>
      <c r="I1353" s="14"/>
    </row>
    <row r="1354">
      <c r="A1354" s="14">
        <v>610.0</v>
      </c>
      <c r="B1354" s="14">
        <v>5.539006E7</v>
      </c>
      <c r="C1354" s="14">
        <v>2.19932865E8</v>
      </c>
      <c r="D1354" s="2" t="s">
        <v>2832</v>
      </c>
      <c r="E1354" s="1" t="s">
        <v>107</v>
      </c>
      <c r="F1354" s="14">
        <v>0.7003</v>
      </c>
      <c r="G1354" s="15"/>
      <c r="H1354" s="16"/>
      <c r="I1354" s="14"/>
    </row>
    <row r="1355">
      <c r="A1355" s="14">
        <v>671.0</v>
      </c>
      <c r="B1355" s="14">
        <v>7.0574399E7</v>
      </c>
      <c r="C1355" s="14">
        <v>2.91017137E8</v>
      </c>
      <c r="D1355" s="2" t="s">
        <v>2183</v>
      </c>
      <c r="E1355" s="1" t="s">
        <v>107</v>
      </c>
      <c r="F1355" s="14">
        <v>0.7003</v>
      </c>
      <c r="G1355" s="15"/>
      <c r="H1355" s="16"/>
      <c r="I1355" s="14"/>
    </row>
    <row r="1356">
      <c r="A1356" s="14">
        <v>471.0</v>
      </c>
      <c r="B1356" s="14">
        <v>9.7726875E7</v>
      </c>
      <c r="C1356" s="14">
        <v>4.17510085E8</v>
      </c>
      <c r="D1356" s="2" t="s">
        <v>726</v>
      </c>
      <c r="E1356" s="1" t="s">
        <v>107</v>
      </c>
      <c r="F1356" s="14">
        <v>0.7003</v>
      </c>
      <c r="G1356" s="15"/>
      <c r="H1356" s="16"/>
      <c r="I1356" s="14"/>
    </row>
    <row r="1357">
      <c r="A1357" s="14">
        <v>713.0</v>
      </c>
      <c r="B1357" s="14">
        <v>3.7789731E7</v>
      </c>
      <c r="C1357" s="14">
        <v>1.50131087E8</v>
      </c>
      <c r="D1357" s="2" t="s">
        <v>3381</v>
      </c>
      <c r="E1357" s="1" t="s">
        <v>699</v>
      </c>
      <c r="F1357" s="14">
        <v>0.7003</v>
      </c>
      <c r="G1357" s="15"/>
      <c r="H1357" s="16"/>
      <c r="I1357" s="14"/>
    </row>
    <row r="1358">
      <c r="A1358" s="14">
        <v>663.0</v>
      </c>
      <c r="B1358" s="14">
        <v>5.0556658E7</v>
      </c>
      <c r="C1358" s="14">
        <v>2.00180251E8</v>
      </c>
      <c r="D1358" s="2" t="s">
        <v>3001</v>
      </c>
      <c r="E1358" s="1" t="s">
        <v>699</v>
      </c>
      <c r="F1358" s="14">
        <v>0.7003</v>
      </c>
      <c r="G1358" s="15"/>
      <c r="H1358" s="16"/>
      <c r="I1358" s="14"/>
    </row>
    <row r="1359">
      <c r="A1359" s="14">
        <v>355.0</v>
      </c>
      <c r="B1359" s="14">
        <v>5.3060461E7</v>
      </c>
      <c r="C1359" s="14">
        <v>2.10370289E8</v>
      </c>
      <c r="D1359" s="2" t="s">
        <v>2911</v>
      </c>
      <c r="E1359" s="1" t="s">
        <v>699</v>
      </c>
      <c r="F1359" s="14">
        <v>0.7003</v>
      </c>
      <c r="G1359" s="15"/>
      <c r="H1359" s="16"/>
      <c r="I1359" s="14"/>
    </row>
    <row r="1360">
      <c r="A1360" s="14">
        <v>288.0</v>
      </c>
      <c r="B1360" s="14">
        <v>6.8186647E7</v>
      </c>
      <c r="C1360" s="14">
        <v>2.80339662E8</v>
      </c>
      <c r="D1360" s="2" t="s">
        <v>2329</v>
      </c>
      <c r="E1360" s="1" t="s">
        <v>699</v>
      </c>
      <c r="F1360" s="14">
        <v>0.7003</v>
      </c>
      <c r="G1360" s="15"/>
      <c r="H1360" s="16"/>
      <c r="I1360" s="14"/>
    </row>
    <row r="1361">
      <c r="A1361" s="14">
        <v>210.0</v>
      </c>
      <c r="B1361" s="14">
        <v>165022.0</v>
      </c>
      <c r="C1361" s="14">
        <v>8.3954371E7</v>
      </c>
      <c r="D1361" s="2" t="s">
        <v>3386</v>
      </c>
      <c r="E1361" s="1" t="s">
        <v>121</v>
      </c>
      <c r="F1361" s="14">
        <v>0.7003</v>
      </c>
      <c r="G1361" s="15"/>
      <c r="H1361" s="16"/>
      <c r="I1361" s="14"/>
    </row>
    <row r="1362">
      <c r="A1362" s="14">
        <v>609.0</v>
      </c>
      <c r="B1362" s="14">
        <v>5585266.0</v>
      </c>
      <c r="C1362" s="14">
        <v>2.3897944E7</v>
      </c>
      <c r="D1362" s="2" t="s">
        <v>3387</v>
      </c>
      <c r="E1362" s="1" t="s">
        <v>121</v>
      </c>
      <c r="F1362" s="14">
        <v>0.7003</v>
      </c>
      <c r="G1362" s="15"/>
      <c r="H1362" s="16"/>
      <c r="I1362" s="14"/>
    </row>
    <row r="1363">
      <c r="A1363" s="14">
        <v>142.0</v>
      </c>
      <c r="B1363" s="14">
        <v>1.5152719E7</v>
      </c>
      <c r="C1363" s="14">
        <v>6.4635989E7</v>
      </c>
      <c r="D1363" s="2" t="s">
        <v>3390</v>
      </c>
      <c r="E1363" s="1" t="s">
        <v>121</v>
      </c>
      <c r="F1363" s="14">
        <v>0.7003</v>
      </c>
      <c r="G1363" s="15"/>
      <c r="H1363" s="16"/>
      <c r="I1363" s="14"/>
    </row>
    <row r="1364">
      <c r="A1364" s="14">
        <v>379.0</v>
      </c>
      <c r="B1364" s="14">
        <v>2.0479758E7</v>
      </c>
      <c r="C1364" s="14">
        <v>1.8780335E8</v>
      </c>
      <c r="D1364" s="2" t="s">
        <v>3391</v>
      </c>
      <c r="E1364" s="1" t="s">
        <v>121</v>
      </c>
      <c r="F1364" s="14">
        <v>0.7003</v>
      </c>
      <c r="G1364" s="15"/>
      <c r="H1364" s="16"/>
      <c r="I1364" s="14"/>
    </row>
    <row r="1365">
      <c r="A1365" s="14">
        <v>604.0</v>
      </c>
      <c r="B1365" s="14">
        <v>2.0607374E7</v>
      </c>
      <c r="C1365" s="14">
        <v>8.5650956E7</v>
      </c>
      <c r="D1365" s="2" t="s">
        <v>3394</v>
      </c>
      <c r="E1365" s="1" t="s">
        <v>121</v>
      </c>
      <c r="F1365" s="14">
        <v>0.7003</v>
      </c>
      <c r="G1365" s="15"/>
      <c r="H1365" s="16"/>
      <c r="I1365" s="14"/>
    </row>
    <row r="1366">
      <c r="A1366" s="14">
        <v>410.0</v>
      </c>
      <c r="B1366" s="14">
        <v>2.8654031E7</v>
      </c>
      <c r="C1366" s="14">
        <v>1.15371572E8</v>
      </c>
      <c r="D1366" s="2" t="s">
        <v>3395</v>
      </c>
      <c r="E1366" s="1" t="s">
        <v>121</v>
      </c>
      <c r="F1366" s="14">
        <v>0.7003</v>
      </c>
      <c r="G1366" s="15"/>
      <c r="H1366" s="16"/>
      <c r="I1366" s="14"/>
    </row>
    <row r="1367">
      <c r="A1367" s="14">
        <v>665.0</v>
      </c>
      <c r="B1367" s="14">
        <v>4.3111931E7</v>
      </c>
      <c r="C1367" s="14">
        <v>1.7048791E8</v>
      </c>
      <c r="D1367" s="2" t="s">
        <v>3290</v>
      </c>
      <c r="E1367" s="1" t="s">
        <v>121</v>
      </c>
      <c r="F1367" s="14">
        <v>0.7003</v>
      </c>
      <c r="G1367" s="15"/>
      <c r="H1367" s="16"/>
      <c r="I1367" s="14"/>
    </row>
    <row r="1368">
      <c r="A1368" s="14">
        <v>586.0</v>
      </c>
      <c r="B1368" s="14">
        <v>9.0738922E7</v>
      </c>
      <c r="C1368" s="14">
        <v>3.84920313E8</v>
      </c>
      <c r="D1368" s="2" t="s">
        <v>1094</v>
      </c>
      <c r="E1368" s="1" t="s">
        <v>121</v>
      </c>
      <c r="F1368" s="14">
        <v>0.7003</v>
      </c>
      <c r="G1368" s="15"/>
      <c r="H1368" s="16"/>
      <c r="I1368" s="14"/>
    </row>
    <row r="1369">
      <c r="A1369" s="14">
        <v>157.0</v>
      </c>
      <c r="B1369" s="14">
        <v>717848.0</v>
      </c>
      <c r="C1369" s="14">
        <v>3518129.0</v>
      </c>
      <c r="D1369" s="2" t="s">
        <v>3399</v>
      </c>
      <c r="E1369" s="1" t="s">
        <v>107</v>
      </c>
      <c r="F1369" s="14">
        <v>0.6996</v>
      </c>
      <c r="G1369" s="15"/>
      <c r="H1369" s="16"/>
      <c r="I1369" s="14"/>
    </row>
    <row r="1370">
      <c r="A1370" s="14">
        <v>285.0</v>
      </c>
      <c r="B1370" s="14">
        <v>5360376.0</v>
      </c>
      <c r="C1370" s="14">
        <v>2.2916291E7</v>
      </c>
      <c r="D1370" s="2" t="s">
        <v>3400</v>
      </c>
      <c r="E1370" s="1" t="s">
        <v>107</v>
      </c>
      <c r="F1370" s="14">
        <v>0.6996</v>
      </c>
      <c r="G1370" s="15"/>
      <c r="H1370" s="16"/>
      <c r="I1370" s="14"/>
    </row>
    <row r="1371">
      <c r="A1371" s="14">
        <v>409.0</v>
      </c>
      <c r="B1371" s="14">
        <v>3414335.0</v>
      </c>
      <c r="C1371" s="14">
        <v>1.445353E7</v>
      </c>
      <c r="D1371" s="2" t="s">
        <v>3401</v>
      </c>
      <c r="E1371" s="1" t="s">
        <v>699</v>
      </c>
      <c r="F1371" s="14">
        <v>0.6996</v>
      </c>
      <c r="G1371" s="15"/>
      <c r="H1371" s="16"/>
      <c r="I1371" s="14"/>
    </row>
    <row r="1372">
      <c r="A1372" s="14">
        <v>419.0</v>
      </c>
      <c r="B1372" s="14">
        <v>2.1800561E7</v>
      </c>
      <c r="C1372" s="14">
        <v>1.92065739E8</v>
      </c>
      <c r="D1372" s="2" t="s">
        <v>3402</v>
      </c>
      <c r="E1372" s="1" t="s">
        <v>699</v>
      </c>
      <c r="F1372" s="14">
        <v>0.6992</v>
      </c>
      <c r="G1372" s="15"/>
      <c r="H1372" s="16"/>
      <c r="I1372" s="14"/>
    </row>
    <row r="1373">
      <c r="A1373" s="14">
        <v>225.0</v>
      </c>
      <c r="B1373" s="14">
        <v>2819082.0</v>
      </c>
      <c r="C1373" s="14">
        <v>1.2008109E7</v>
      </c>
      <c r="D1373" s="2" t="s">
        <v>3403</v>
      </c>
      <c r="E1373" s="1" t="s">
        <v>107</v>
      </c>
      <c r="F1373" s="14">
        <v>0.6988</v>
      </c>
      <c r="G1373" s="15"/>
      <c r="H1373" s="16"/>
      <c r="I1373" s="14"/>
    </row>
    <row r="1374">
      <c r="A1374" s="14">
        <v>129.0</v>
      </c>
      <c r="B1374" s="14">
        <v>8.4464758E7</v>
      </c>
      <c r="C1374" s="14">
        <v>3.55183068E8</v>
      </c>
      <c r="D1374" s="2" t="s">
        <v>1467</v>
      </c>
      <c r="E1374" s="1" t="s">
        <v>107</v>
      </c>
      <c r="F1374" s="14">
        <v>0.6988</v>
      </c>
      <c r="G1374" s="15"/>
      <c r="H1374" s="16"/>
      <c r="I1374" s="14"/>
    </row>
    <row r="1375">
      <c r="A1375" s="14">
        <v>194.0</v>
      </c>
      <c r="B1375" s="14">
        <v>8.5507636E7</v>
      </c>
      <c r="C1375" s="14">
        <v>3.60374511E8</v>
      </c>
      <c r="D1375" s="2" t="s">
        <v>1392</v>
      </c>
      <c r="E1375" s="1" t="s">
        <v>107</v>
      </c>
      <c r="F1375" s="14">
        <v>0.6988</v>
      </c>
      <c r="G1375" s="15"/>
      <c r="H1375" s="16"/>
      <c r="I1375" s="14"/>
    </row>
    <row r="1376">
      <c r="A1376" s="14">
        <v>129.0</v>
      </c>
      <c r="B1376" s="14">
        <v>2.8959857E7</v>
      </c>
      <c r="C1376" s="14">
        <v>1.16436415E8</v>
      </c>
      <c r="D1376" s="2" t="s">
        <v>3404</v>
      </c>
      <c r="E1376" s="1" t="s">
        <v>699</v>
      </c>
      <c r="F1376" s="14">
        <v>0.6988</v>
      </c>
      <c r="G1376" s="15"/>
      <c r="H1376" s="16"/>
      <c r="I1376" s="14"/>
    </row>
    <row r="1377">
      <c r="A1377" s="14">
        <v>504.0</v>
      </c>
      <c r="B1377" s="14">
        <v>9.7275294E7</v>
      </c>
      <c r="C1377" s="14">
        <v>4.15859091E8</v>
      </c>
      <c r="D1377" s="2" t="s">
        <v>755</v>
      </c>
      <c r="E1377" s="1" t="s">
        <v>699</v>
      </c>
      <c r="F1377" s="14">
        <v>0.6988</v>
      </c>
      <c r="G1377" s="15"/>
      <c r="H1377" s="16"/>
      <c r="I1377" s="14"/>
    </row>
    <row r="1378">
      <c r="A1378" s="14">
        <v>630.0</v>
      </c>
      <c r="B1378" s="14">
        <v>4868448.0</v>
      </c>
      <c r="C1378" s="14">
        <v>2.0768713E7</v>
      </c>
      <c r="D1378" s="2" t="s">
        <v>3405</v>
      </c>
      <c r="E1378" s="1" t="s">
        <v>121</v>
      </c>
      <c r="F1378" s="14">
        <v>0.6988</v>
      </c>
      <c r="G1378" s="15"/>
      <c r="H1378" s="16"/>
      <c r="I1378" s="14"/>
    </row>
    <row r="1379">
      <c r="A1379" s="14">
        <v>194.0</v>
      </c>
      <c r="B1379" s="14">
        <v>6.5727691E7</v>
      </c>
      <c r="C1379" s="14">
        <v>2.68346748E8</v>
      </c>
      <c r="D1379" s="2" t="s">
        <v>2456</v>
      </c>
      <c r="E1379" s="1" t="s">
        <v>107</v>
      </c>
      <c r="F1379" s="14">
        <v>0.6981</v>
      </c>
      <c r="G1379" s="15"/>
      <c r="H1379" s="16"/>
      <c r="I1379" s="14"/>
    </row>
    <row r="1380">
      <c r="A1380" s="14">
        <v>601.0</v>
      </c>
      <c r="B1380" s="14">
        <v>4456217.0</v>
      </c>
      <c r="C1380" s="14">
        <v>1.8905837E7</v>
      </c>
      <c r="D1380" s="2" t="s">
        <v>3406</v>
      </c>
      <c r="E1380" s="1" t="s">
        <v>121</v>
      </c>
      <c r="F1380" s="14">
        <v>0.6969</v>
      </c>
      <c r="G1380" s="15"/>
      <c r="H1380" s="16"/>
      <c r="I1380" s="14"/>
    </row>
    <row r="1381">
      <c r="A1381" s="14">
        <v>578.0</v>
      </c>
      <c r="B1381" s="14">
        <v>3384800.0</v>
      </c>
      <c r="C1381" s="14">
        <v>1.440251E7</v>
      </c>
      <c r="D1381" s="2" t="s">
        <v>3407</v>
      </c>
      <c r="E1381" s="1" t="s">
        <v>121</v>
      </c>
      <c r="F1381" s="14">
        <v>0.6956</v>
      </c>
      <c r="G1381" s="15"/>
      <c r="H1381" s="16"/>
      <c r="I1381" s="14"/>
    </row>
    <row r="1382">
      <c r="A1382" s="14">
        <v>578.0</v>
      </c>
      <c r="B1382" s="14">
        <v>1.01951392E8</v>
      </c>
      <c r="C1382" s="14">
        <v>4.38528306E8</v>
      </c>
      <c r="D1382" s="2" t="s">
        <v>470</v>
      </c>
      <c r="E1382" s="1" t="s">
        <v>107</v>
      </c>
      <c r="F1382" s="14">
        <v>0.6948</v>
      </c>
      <c r="G1382" s="15"/>
      <c r="H1382" s="16"/>
      <c r="I1382" s="14"/>
    </row>
    <row r="1383">
      <c r="A1383" s="14">
        <v>194.0</v>
      </c>
      <c r="B1383" s="14">
        <v>1.3049007E7</v>
      </c>
      <c r="C1383" s="14">
        <v>1.16612262E8</v>
      </c>
      <c r="D1383" s="2" t="s">
        <v>3408</v>
      </c>
      <c r="E1383" s="1" t="s">
        <v>107</v>
      </c>
      <c r="F1383" s="14">
        <v>0.694</v>
      </c>
      <c r="G1383" s="15"/>
      <c r="H1383" s="16"/>
      <c r="I1383" s="14"/>
    </row>
    <row r="1384">
      <c r="A1384" s="14">
        <v>578.0</v>
      </c>
      <c r="B1384" s="14">
        <v>1.0515411E7</v>
      </c>
      <c r="C1384" s="14">
        <v>4.4598557E7</v>
      </c>
      <c r="D1384" s="2" t="s">
        <v>3409</v>
      </c>
      <c r="E1384" s="1" t="s">
        <v>107</v>
      </c>
      <c r="F1384" s="14">
        <v>0.6935</v>
      </c>
      <c r="G1384" s="15"/>
      <c r="H1384" s="16"/>
      <c r="I1384" s="14"/>
    </row>
    <row r="1385">
      <c r="A1385" s="14">
        <v>571.0</v>
      </c>
      <c r="B1385" s="14">
        <v>1848865.0</v>
      </c>
      <c r="C1385" s="14">
        <v>8083922.0</v>
      </c>
      <c r="D1385" s="2" t="s">
        <v>3412</v>
      </c>
      <c r="E1385" s="1" t="s">
        <v>121</v>
      </c>
      <c r="F1385" s="14">
        <v>0.6915</v>
      </c>
      <c r="G1385" s="15"/>
      <c r="H1385" s="16"/>
      <c r="I1385" s="14"/>
    </row>
    <row r="1386">
      <c r="A1386" s="14">
        <v>257.0</v>
      </c>
      <c r="B1386" s="14">
        <v>300839.0</v>
      </c>
      <c r="C1386" s="14">
        <v>1277862.0</v>
      </c>
      <c r="D1386" s="2" t="s">
        <v>3414</v>
      </c>
      <c r="E1386" s="1" t="s">
        <v>107</v>
      </c>
      <c r="F1386" s="14">
        <v>0.6908</v>
      </c>
      <c r="G1386" s="15"/>
      <c r="H1386" s="16"/>
      <c r="I1386" s="14"/>
    </row>
    <row r="1387">
      <c r="A1387" s="14">
        <v>419.0</v>
      </c>
      <c r="B1387" s="14">
        <v>1.0572596E7</v>
      </c>
      <c r="C1387" s="14">
        <v>4.500208E7</v>
      </c>
      <c r="D1387" s="2" t="s">
        <v>3416</v>
      </c>
      <c r="E1387" s="1" t="s">
        <v>107</v>
      </c>
      <c r="F1387" s="14">
        <v>0.6908</v>
      </c>
      <c r="G1387" s="15"/>
      <c r="H1387" s="16"/>
      <c r="I1387" s="14"/>
    </row>
    <row r="1388">
      <c r="A1388" s="14">
        <v>488.0</v>
      </c>
      <c r="B1388" s="14">
        <v>3000890.0</v>
      </c>
      <c r="C1388" s="14">
        <v>1.2707758E7</v>
      </c>
      <c r="D1388" s="2" t="s">
        <v>3418</v>
      </c>
      <c r="E1388" s="1" t="s">
        <v>121</v>
      </c>
      <c r="F1388" s="14">
        <v>0.6908</v>
      </c>
      <c r="G1388" s="15"/>
      <c r="H1388" s="16"/>
      <c r="I1388" s="14"/>
    </row>
    <row r="1389">
      <c r="A1389" s="14">
        <v>470.0</v>
      </c>
      <c r="B1389" s="14">
        <v>8896691.0</v>
      </c>
      <c r="C1389" s="14">
        <v>3.7748402E7</v>
      </c>
      <c r="D1389" s="2" t="s">
        <v>3421</v>
      </c>
      <c r="E1389" s="1" t="s">
        <v>121</v>
      </c>
      <c r="F1389" s="14">
        <v>0.6908</v>
      </c>
      <c r="G1389" s="15"/>
      <c r="H1389" s="16"/>
      <c r="I1389" s="14"/>
    </row>
    <row r="1390">
      <c r="A1390" s="14">
        <v>671.0</v>
      </c>
      <c r="B1390" s="14">
        <v>2.7260917E7</v>
      </c>
      <c r="C1390" s="14">
        <v>1.90273621E8</v>
      </c>
      <c r="D1390" s="2" t="s">
        <v>3424</v>
      </c>
      <c r="E1390" s="1" t="s">
        <v>121</v>
      </c>
      <c r="F1390" s="14">
        <v>0.6908</v>
      </c>
      <c r="G1390" s="15"/>
      <c r="H1390" s="16"/>
      <c r="I1390" s="14"/>
    </row>
    <row r="1391">
      <c r="A1391" s="14">
        <v>571.0</v>
      </c>
      <c r="B1391" s="14">
        <v>3.7461456E7</v>
      </c>
      <c r="C1391" s="14">
        <v>1.49066707E8</v>
      </c>
      <c r="D1391" s="2" t="s">
        <v>3427</v>
      </c>
      <c r="E1391" s="1" t="s">
        <v>121</v>
      </c>
      <c r="F1391" s="14">
        <v>0.6908</v>
      </c>
      <c r="G1391" s="15"/>
      <c r="H1391" s="16"/>
      <c r="I1391" s="14"/>
    </row>
    <row r="1392">
      <c r="A1392" s="14">
        <v>716.0</v>
      </c>
      <c r="B1392" s="14">
        <v>6.9429951E7</v>
      </c>
      <c r="C1392" s="14">
        <v>2.85775837E8</v>
      </c>
      <c r="D1392" s="2" t="s">
        <v>2261</v>
      </c>
      <c r="E1392" s="1" t="s">
        <v>121</v>
      </c>
      <c r="F1392" s="14">
        <v>0.6908</v>
      </c>
      <c r="G1392" s="15"/>
      <c r="H1392" s="16"/>
      <c r="I1392" s="14"/>
    </row>
    <row r="1393">
      <c r="A1393" s="14">
        <v>571.0</v>
      </c>
      <c r="B1393" s="14">
        <v>6832500.0</v>
      </c>
      <c r="C1393" s="14">
        <v>2.52621463E8</v>
      </c>
      <c r="D1393" s="2" t="s">
        <v>3429</v>
      </c>
      <c r="E1393" s="1" t="s">
        <v>121</v>
      </c>
      <c r="F1393" s="14">
        <v>0.6903</v>
      </c>
      <c r="G1393" s="15"/>
      <c r="H1393" s="16"/>
      <c r="I1393" s="14"/>
    </row>
    <row r="1394">
      <c r="A1394" s="14">
        <v>224.0</v>
      </c>
      <c r="B1394" s="14">
        <v>3.5069624E7</v>
      </c>
      <c r="C1394" s="14">
        <v>1.90741748E8</v>
      </c>
      <c r="D1394" s="2" t="s">
        <v>3430</v>
      </c>
      <c r="E1394" s="1" t="s">
        <v>107</v>
      </c>
      <c r="F1394" s="14">
        <v>0.6901</v>
      </c>
      <c r="G1394" s="15"/>
      <c r="H1394" s="16"/>
      <c r="I1394" s="14"/>
    </row>
    <row r="1395">
      <c r="A1395" s="14">
        <v>401.0</v>
      </c>
      <c r="B1395" s="14">
        <v>3.8881592E7</v>
      </c>
      <c r="C1395" s="14">
        <v>1.54599862E8</v>
      </c>
      <c r="D1395" s="2" t="s">
        <v>3411</v>
      </c>
      <c r="E1395" s="1" t="s">
        <v>107</v>
      </c>
      <c r="F1395" s="14">
        <v>0.69</v>
      </c>
      <c r="G1395" s="15"/>
      <c r="H1395" s="16"/>
      <c r="I1395" s="14"/>
    </row>
    <row r="1396">
      <c r="A1396" s="14">
        <v>409.0</v>
      </c>
      <c r="B1396" s="14">
        <v>5.1618522E7</v>
      </c>
      <c r="C1396" s="14">
        <v>2.04516494E8</v>
      </c>
      <c r="D1396" s="2" t="s">
        <v>2962</v>
      </c>
      <c r="E1396" s="1" t="s">
        <v>107</v>
      </c>
      <c r="F1396" s="14">
        <v>0.69</v>
      </c>
      <c r="G1396" s="15"/>
      <c r="H1396" s="16"/>
      <c r="I1396" s="14"/>
    </row>
    <row r="1397">
      <c r="A1397" s="14">
        <v>504.0</v>
      </c>
      <c r="B1397" s="14">
        <v>6.0847552E7</v>
      </c>
      <c r="C1397" s="14">
        <v>2.44561836E8</v>
      </c>
      <c r="D1397" s="2" t="s">
        <v>2660</v>
      </c>
      <c r="E1397" s="1" t="s">
        <v>107</v>
      </c>
      <c r="F1397" s="14">
        <v>0.69</v>
      </c>
      <c r="G1397" s="15"/>
      <c r="H1397" s="16"/>
      <c r="I1397" s="14"/>
    </row>
    <row r="1398">
      <c r="A1398" s="14">
        <v>406.0</v>
      </c>
      <c r="B1398" s="14">
        <v>9.8075422E7</v>
      </c>
      <c r="C1398" s="14">
        <v>4.23763236E8</v>
      </c>
      <c r="D1398" s="2" t="s">
        <v>697</v>
      </c>
      <c r="E1398" s="1" t="s">
        <v>107</v>
      </c>
      <c r="F1398" s="14">
        <v>0.69</v>
      </c>
      <c r="G1398" s="15"/>
      <c r="H1398" s="16"/>
      <c r="I1398" s="14"/>
    </row>
    <row r="1399">
      <c r="A1399" s="14">
        <v>173.0</v>
      </c>
      <c r="B1399" s="14">
        <v>1.02203998E8</v>
      </c>
      <c r="C1399" s="14">
        <v>4.39061824E8</v>
      </c>
      <c r="D1399" s="2" t="s">
        <v>450</v>
      </c>
      <c r="E1399" s="1" t="s">
        <v>107</v>
      </c>
      <c r="F1399" s="14">
        <v>0.69</v>
      </c>
      <c r="G1399" s="15"/>
      <c r="H1399" s="16"/>
      <c r="I1399" s="14"/>
    </row>
    <row r="1400">
      <c r="A1400" s="14">
        <v>410.0</v>
      </c>
      <c r="B1400" s="14">
        <v>4.5514048E7</v>
      </c>
      <c r="C1400" s="14">
        <v>1.79623597E8</v>
      </c>
      <c r="D1400" s="2" t="s">
        <v>3234</v>
      </c>
      <c r="E1400" s="1" t="s">
        <v>699</v>
      </c>
      <c r="F1400" s="14">
        <v>0.69</v>
      </c>
      <c r="G1400" s="15"/>
      <c r="H1400" s="16"/>
      <c r="I1400" s="14"/>
    </row>
    <row r="1401">
      <c r="A1401" s="14">
        <v>565.0</v>
      </c>
      <c r="B1401" s="14">
        <v>8.1048026E7</v>
      </c>
      <c r="C1401" s="14">
        <v>3.39037055E8</v>
      </c>
      <c r="D1401" s="2" t="s">
        <v>1691</v>
      </c>
      <c r="E1401" s="1" t="s">
        <v>699</v>
      </c>
      <c r="F1401" s="14">
        <v>0.69</v>
      </c>
      <c r="G1401" s="15"/>
      <c r="H1401" s="16"/>
      <c r="I1401" s="14"/>
    </row>
    <row r="1402">
      <c r="A1402" s="14">
        <v>488.0</v>
      </c>
      <c r="B1402" s="14">
        <v>5087068.0</v>
      </c>
      <c r="C1402" s="14">
        <v>2.1664493E7</v>
      </c>
      <c r="D1402" s="2" t="s">
        <v>3441</v>
      </c>
      <c r="E1402" s="1" t="s">
        <v>121</v>
      </c>
      <c r="F1402" s="14">
        <v>0.69</v>
      </c>
      <c r="G1402" s="15"/>
      <c r="H1402" s="16"/>
      <c r="I1402" s="14"/>
    </row>
    <row r="1403">
      <c r="A1403" s="14">
        <v>671.0</v>
      </c>
      <c r="B1403" s="14">
        <v>5.9323678E7</v>
      </c>
      <c r="C1403" s="14">
        <v>2.37169145E8</v>
      </c>
      <c r="D1403" s="2" t="s">
        <v>2716</v>
      </c>
      <c r="E1403" s="1" t="s">
        <v>107</v>
      </c>
      <c r="F1403" s="14">
        <v>0.6899</v>
      </c>
      <c r="G1403" s="15"/>
      <c r="H1403" s="16"/>
      <c r="I1403" s="14"/>
    </row>
    <row r="1404">
      <c r="A1404" s="14">
        <v>355.0</v>
      </c>
      <c r="B1404" s="14">
        <v>6.1221308E7</v>
      </c>
      <c r="C1404" s="14">
        <v>2.97154672E8</v>
      </c>
      <c r="D1404" s="2" t="s">
        <v>2644</v>
      </c>
      <c r="E1404" s="1" t="s">
        <v>107</v>
      </c>
      <c r="F1404" s="14">
        <v>0.6898</v>
      </c>
      <c r="G1404" s="15"/>
      <c r="H1404" s="16"/>
      <c r="I1404" s="14"/>
    </row>
    <row r="1405">
      <c r="A1405" s="14">
        <v>500.0</v>
      </c>
      <c r="B1405" s="14">
        <v>2.5860988E7</v>
      </c>
      <c r="C1405" s="14">
        <v>1.04858904E8</v>
      </c>
      <c r="D1405" s="2" t="s">
        <v>3446</v>
      </c>
      <c r="E1405" s="1" t="s">
        <v>107</v>
      </c>
      <c r="F1405" s="14">
        <v>0.6892</v>
      </c>
      <c r="G1405" s="15"/>
      <c r="H1405" s="16"/>
      <c r="I1405" s="14"/>
    </row>
    <row r="1406">
      <c r="A1406" s="14">
        <v>172.0</v>
      </c>
      <c r="B1406" s="14">
        <v>4.9209544E7</v>
      </c>
      <c r="C1406" s="14">
        <v>1.94683411E8</v>
      </c>
      <c r="D1406" s="2" t="s">
        <v>3051</v>
      </c>
      <c r="E1406" s="1" t="s">
        <v>107</v>
      </c>
      <c r="F1406" s="14">
        <v>0.6892</v>
      </c>
      <c r="G1406" s="15"/>
      <c r="H1406" s="16"/>
      <c r="I1406" s="14"/>
    </row>
    <row r="1407">
      <c r="A1407" s="14">
        <v>564.0</v>
      </c>
      <c r="B1407" s="14">
        <v>6.1928978E7</v>
      </c>
      <c r="C1407" s="14">
        <v>2.49829666E8</v>
      </c>
      <c r="D1407" s="2" t="s">
        <v>2615</v>
      </c>
      <c r="E1407" s="1" t="s">
        <v>107</v>
      </c>
      <c r="F1407" s="14">
        <v>0.6892</v>
      </c>
      <c r="G1407" s="15"/>
      <c r="H1407" s="16"/>
      <c r="I1407" s="14"/>
    </row>
    <row r="1408">
      <c r="A1408" s="14">
        <v>578.0</v>
      </c>
      <c r="B1408" s="14">
        <v>6.7997608E7</v>
      </c>
      <c r="C1408" s="14">
        <v>2.79681108E8</v>
      </c>
      <c r="D1408" s="2" t="s">
        <v>2338</v>
      </c>
      <c r="E1408" s="1" t="s">
        <v>107</v>
      </c>
      <c r="F1408" s="14">
        <v>0.6892</v>
      </c>
      <c r="G1408" s="15"/>
      <c r="H1408" s="16"/>
      <c r="I1408" s="14"/>
    </row>
    <row r="1409">
      <c r="A1409" s="14">
        <v>644.0</v>
      </c>
      <c r="B1409" s="14">
        <v>7.9020209E7</v>
      </c>
      <c r="C1409" s="14">
        <v>3.29603397E8</v>
      </c>
      <c r="D1409" s="2" t="s">
        <v>1798</v>
      </c>
      <c r="E1409" s="1" t="s">
        <v>107</v>
      </c>
      <c r="F1409" s="14">
        <v>0.6892</v>
      </c>
      <c r="G1409" s="15"/>
      <c r="H1409" s="16"/>
      <c r="I1409" s="14"/>
    </row>
    <row r="1410">
      <c r="A1410" s="14">
        <v>410.0</v>
      </c>
      <c r="B1410" s="14">
        <v>1.10861658E8</v>
      </c>
      <c r="C1410" s="14">
        <v>4.80664402E8</v>
      </c>
      <c r="D1410" s="2" t="s">
        <v>59</v>
      </c>
      <c r="E1410" s="1" t="s">
        <v>107</v>
      </c>
      <c r="F1410" s="14">
        <v>0.6892</v>
      </c>
      <c r="G1410" s="15"/>
      <c r="H1410" s="16"/>
      <c r="I1410" s="14"/>
    </row>
    <row r="1411">
      <c r="A1411" s="14">
        <v>120.0</v>
      </c>
      <c r="B1411" s="14">
        <v>1411897.0</v>
      </c>
      <c r="C1411" s="14">
        <v>6245460.0</v>
      </c>
      <c r="D1411" s="2" t="s">
        <v>3461</v>
      </c>
      <c r="E1411" s="1" t="s">
        <v>699</v>
      </c>
      <c r="F1411" s="14">
        <v>0.6884</v>
      </c>
      <c r="G1411" s="15"/>
      <c r="H1411" s="16"/>
      <c r="I1411" s="14"/>
    </row>
    <row r="1412">
      <c r="A1412" s="14">
        <v>12.0</v>
      </c>
      <c r="B1412" s="14">
        <v>41417.0</v>
      </c>
      <c r="C1412" s="14">
        <v>965083.0</v>
      </c>
      <c r="D1412" s="2" t="s">
        <v>3465</v>
      </c>
      <c r="E1412" s="1" t="s">
        <v>107</v>
      </c>
      <c r="F1412" s="14">
        <v>0.6872</v>
      </c>
      <c r="G1412" s="15"/>
      <c r="H1412" s="16"/>
      <c r="I1412" s="14"/>
    </row>
    <row r="1413">
      <c r="A1413" s="14">
        <v>601.0</v>
      </c>
      <c r="B1413" s="14">
        <v>1732452.0</v>
      </c>
      <c r="C1413" s="14">
        <v>2.8531409E7</v>
      </c>
      <c r="D1413" s="2" t="s">
        <v>3466</v>
      </c>
      <c r="E1413" s="1" t="s">
        <v>121</v>
      </c>
      <c r="F1413" s="14">
        <v>0.687</v>
      </c>
      <c r="G1413" s="15"/>
      <c r="H1413" s="16"/>
      <c r="I1413" s="14"/>
    </row>
    <row r="1414">
      <c r="A1414" s="14">
        <v>244.0</v>
      </c>
      <c r="B1414" s="14">
        <v>2.8447314E7</v>
      </c>
      <c r="C1414" s="14">
        <v>1.14789277E8</v>
      </c>
      <c r="D1414" s="2" t="s">
        <v>3468</v>
      </c>
      <c r="E1414" s="1" t="s">
        <v>699</v>
      </c>
      <c r="F1414" s="14">
        <v>0.6868</v>
      </c>
      <c r="G1414" s="15"/>
      <c r="H1414" s="16"/>
      <c r="I1414" s="14"/>
    </row>
    <row r="1415">
      <c r="A1415" s="14">
        <v>587.0</v>
      </c>
      <c r="B1415" s="14">
        <v>1.5321607E7</v>
      </c>
      <c r="C1415" s="14">
        <v>1.97637103E8</v>
      </c>
      <c r="D1415" s="2" t="s">
        <v>3471</v>
      </c>
      <c r="E1415" s="1" t="s">
        <v>107</v>
      </c>
      <c r="F1415" s="14">
        <v>0.6863</v>
      </c>
      <c r="G1415" s="15"/>
      <c r="H1415" s="16"/>
      <c r="I1415" s="14"/>
    </row>
    <row r="1416">
      <c r="A1416" s="14">
        <v>696.0</v>
      </c>
      <c r="B1416" s="14">
        <v>7.7608409E7</v>
      </c>
      <c r="C1416" s="14">
        <v>3.22756949E8</v>
      </c>
      <c r="D1416" s="2" t="s">
        <v>1891</v>
      </c>
      <c r="E1416" s="1" t="s">
        <v>107</v>
      </c>
      <c r="F1416" s="14">
        <v>0.6858</v>
      </c>
      <c r="G1416" s="15"/>
      <c r="H1416" s="16"/>
      <c r="I1416" s="14"/>
    </row>
    <row r="1417">
      <c r="A1417" s="14">
        <v>504.0</v>
      </c>
      <c r="B1417" s="14">
        <v>3395777.0</v>
      </c>
      <c r="C1417" s="14">
        <v>3.4528866E7</v>
      </c>
      <c r="D1417" s="2" t="s">
        <v>3474</v>
      </c>
      <c r="E1417" s="1" t="s">
        <v>121</v>
      </c>
      <c r="F1417" s="14">
        <v>0.6848</v>
      </c>
      <c r="G1417" s="15"/>
      <c r="H1417" s="16"/>
      <c r="I1417" s="14"/>
    </row>
    <row r="1418">
      <c r="A1418" s="14">
        <v>395.0</v>
      </c>
      <c r="B1418" s="14">
        <v>3372116.0</v>
      </c>
      <c r="C1418" s="14">
        <v>1.4310188E7</v>
      </c>
      <c r="D1418" s="2" t="s">
        <v>3476</v>
      </c>
      <c r="E1418" s="1" t="s">
        <v>121</v>
      </c>
      <c r="F1418" s="14">
        <v>0.6841</v>
      </c>
      <c r="G1418" s="15"/>
      <c r="H1418" s="16"/>
      <c r="I1418" s="14"/>
    </row>
    <row r="1419">
      <c r="A1419" s="14">
        <v>223.0</v>
      </c>
      <c r="B1419" s="14">
        <v>983380.0</v>
      </c>
      <c r="C1419" s="14">
        <v>4528844.0</v>
      </c>
      <c r="D1419" s="2" t="s">
        <v>3478</v>
      </c>
      <c r="E1419" s="1" t="s">
        <v>121</v>
      </c>
      <c r="F1419" s="14">
        <v>0.6833</v>
      </c>
      <c r="G1419" s="15"/>
      <c r="H1419" s="16"/>
      <c r="I1419" s="14"/>
    </row>
    <row r="1420">
      <c r="A1420" s="14">
        <v>380.0</v>
      </c>
      <c r="B1420" s="14">
        <v>5881974.0</v>
      </c>
      <c r="C1420" s="14">
        <v>2.5093142E7</v>
      </c>
      <c r="D1420" s="2" t="s">
        <v>3481</v>
      </c>
      <c r="E1420" s="1" t="s">
        <v>121</v>
      </c>
      <c r="F1420" s="14">
        <v>0.6832</v>
      </c>
      <c r="G1420" s="15"/>
      <c r="H1420" s="16"/>
      <c r="I1420" s="14"/>
    </row>
    <row r="1421">
      <c r="A1421" s="14">
        <v>578.0</v>
      </c>
      <c r="B1421" s="14">
        <v>1.00467543E8</v>
      </c>
      <c r="C1421" s="14">
        <v>4.30560728E8</v>
      </c>
      <c r="D1421" s="2" t="s">
        <v>564</v>
      </c>
      <c r="E1421" s="1" t="s">
        <v>107</v>
      </c>
      <c r="F1421" s="14">
        <v>0.6808</v>
      </c>
      <c r="G1421" s="15"/>
      <c r="H1421" s="16"/>
      <c r="I1421" s="14"/>
    </row>
    <row r="1422">
      <c r="A1422" s="14">
        <v>607.0</v>
      </c>
      <c r="B1422" s="14">
        <v>4661856.0</v>
      </c>
      <c r="C1422" s="14">
        <v>1.9792436E7</v>
      </c>
      <c r="D1422" s="2" t="s">
        <v>3484</v>
      </c>
      <c r="E1422" s="1" t="s">
        <v>699</v>
      </c>
      <c r="F1422" s="14">
        <v>0.6808</v>
      </c>
      <c r="G1422" s="15"/>
      <c r="H1422" s="16"/>
      <c r="I1422" s="14"/>
    </row>
    <row r="1423">
      <c r="A1423" s="14">
        <v>671.0</v>
      </c>
      <c r="B1423" s="14">
        <v>5.1063179E7</v>
      </c>
      <c r="C1423" s="14">
        <v>2.02451146E8</v>
      </c>
      <c r="D1423" s="2" t="s">
        <v>2984</v>
      </c>
      <c r="E1423" s="1" t="s">
        <v>699</v>
      </c>
      <c r="F1423" s="14">
        <v>0.6808</v>
      </c>
      <c r="G1423" s="15"/>
      <c r="H1423" s="16"/>
      <c r="I1423" s="14"/>
    </row>
    <row r="1424">
      <c r="A1424" s="14">
        <v>663.0</v>
      </c>
      <c r="B1424" s="14">
        <v>2069114.0</v>
      </c>
      <c r="C1424" s="14">
        <v>8925933.0</v>
      </c>
      <c r="D1424" s="2" t="s">
        <v>3489</v>
      </c>
      <c r="E1424" s="1" t="s">
        <v>121</v>
      </c>
      <c r="F1424" s="14">
        <v>0.6808</v>
      </c>
      <c r="G1424" s="15"/>
      <c r="H1424" s="16"/>
      <c r="I1424" s="14"/>
    </row>
    <row r="1425">
      <c r="A1425" s="14">
        <v>409.0</v>
      </c>
      <c r="B1425" s="14">
        <v>3572013.0</v>
      </c>
      <c r="C1425" s="14">
        <v>1.5137187E7</v>
      </c>
      <c r="D1425" s="2" t="s">
        <v>3490</v>
      </c>
      <c r="E1425" s="1" t="s">
        <v>121</v>
      </c>
      <c r="F1425" s="14">
        <v>0.6808</v>
      </c>
      <c r="G1425" s="15"/>
      <c r="H1425" s="16"/>
      <c r="I1425" s="14"/>
    </row>
    <row r="1426">
      <c r="A1426" s="14">
        <v>671.0</v>
      </c>
      <c r="B1426" s="14">
        <v>4132260.0</v>
      </c>
      <c r="C1426" s="14">
        <v>1.7519891E7</v>
      </c>
      <c r="D1426" s="2" t="s">
        <v>3493</v>
      </c>
      <c r="E1426" s="1" t="s">
        <v>121</v>
      </c>
      <c r="F1426" s="14">
        <v>0.6808</v>
      </c>
      <c r="G1426" s="15"/>
      <c r="H1426" s="16"/>
      <c r="I1426" s="14"/>
    </row>
    <row r="1427">
      <c r="A1427" s="14">
        <v>571.0</v>
      </c>
      <c r="B1427" s="14">
        <v>8369765.0</v>
      </c>
      <c r="C1427" s="14">
        <v>3.5504437E7</v>
      </c>
      <c r="D1427" s="2" t="s">
        <v>3495</v>
      </c>
      <c r="E1427" s="1" t="s">
        <v>121</v>
      </c>
      <c r="F1427" s="14">
        <v>0.6808</v>
      </c>
      <c r="G1427" s="15"/>
      <c r="H1427" s="16"/>
      <c r="I1427" s="14"/>
    </row>
    <row r="1428">
      <c r="A1428" s="14">
        <v>601.0</v>
      </c>
      <c r="B1428" s="14">
        <v>8993394.0</v>
      </c>
      <c r="C1428" s="14">
        <v>3.8150275E7</v>
      </c>
      <c r="D1428" s="2" t="s">
        <v>3497</v>
      </c>
      <c r="E1428" s="1" t="s">
        <v>121</v>
      </c>
      <c r="F1428" s="14">
        <v>0.6808</v>
      </c>
      <c r="G1428" s="15"/>
      <c r="H1428" s="16"/>
      <c r="I1428" s="14"/>
    </row>
    <row r="1429">
      <c r="A1429" s="14">
        <v>319.0</v>
      </c>
      <c r="B1429" s="14">
        <v>1.5167438E7</v>
      </c>
      <c r="C1429" s="14">
        <v>3.66056515E8</v>
      </c>
      <c r="D1429" s="2" t="s">
        <v>3500</v>
      </c>
      <c r="E1429" s="1" t="s">
        <v>121</v>
      </c>
      <c r="F1429" s="14">
        <v>0.6808</v>
      </c>
      <c r="G1429" s="15"/>
      <c r="H1429" s="16"/>
      <c r="I1429" s="14"/>
    </row>
    <row r="1430">
      <c r="A1430" s="14">
        <v>578.0</v>
      </c>
      <c r="B1430" s="14">
        <v>2.3265986E7</v>
      </c>
      <c r="C1430" s="14">
        <v>9.5820624E7</v>
      </c>
      <c r="D1430" s="2" t="s">
        <v>3502</v>
      </c>
      <c r="E1430" s="1" t="s">
        <v>121</v>
      </c>
      <c r="F1430" s="14">
        <v>0.6808</v>
      </c>
      <c r="G1430" s="15"/>
      <c r="H1430" s="16"/>
      <c r="I1430" s="14"/>
    </row>
    <row r="1431">
      <c r="A1431" s="14">
        <v>586.0</v>
      </c>
      <c r="B1431" s="14">
        <v>5.8300396E7</v>
      </c>
      <c r="C1431" s="14">
        <v>2.32558132E8</v>
      </c>
      <c r="D1431" s="2" t="s">
        <v>2748</v>
      </c>
      <c r="E1431" s="1" t="s">
        <v>121</v>
      </c>
      <c r="F1431" s="14">
        <v>0.6808</v>
      </c>
      <c r="G1431" s="15"/>
      <c r="H1431" s="16"/>
      <c r="I1431" s="14"/>
    </row>
    <row r="1432">
      <c r="A1432" s="14">
        <v>673.0</v>
      </c>
      <c r="B1432" s="14">
        <v>1.4261646E7</v>
      </c>
      <c r="C1432" s="14">
        <v>6.068092E7</v>
      </c>
      <c r="D1432" s="2" t="s">
        <v>3505</v>
      </c>
      <c r="E1432" s="1" t="s">
        <v>107</v>
      </c>
      <c r="F1432" s="14">
        <v>0.6801</v>
      </c>
      <c r="G1432" s="15"/>
      <c r="H1432" s="16"/>
      <c r="I1432" s="14"/>
    </row>
    <row r="1433">
      <c r="A1433" s="14">
        <v>353.0</v>
      </c>
      <c r="B1433" s="14">
        <v>8.2165411E7</v>
      </c>
      <c r="C1433" s="14">
        <v>3.44271436E8</v>
      </c>
      <c r="D1433" s="2" t="s">
        <v>1620</v>
      </c>
      <c r="E1433" s="1" t="s">
        <v>107</v>
      </c>
      <c r="F1433" s="14">
        <v>0.6801</v>
      </c>
      <c r="G1433" s="15"/>
      <c r="H1433" s="16"/>
      <c r="I1433" s="14"/>
    </row>
    <row r="1434">
      <c r="A1434" s="14">
        <v>126.0</v>
      </c>
      <c r="B1434" s="14">
        <v>1.2508833E7</v>
      </c>
      <c r="C1434" s="14">
        <v>5.3116703E7</v>
      </c>
      <c r="D1434" s="2" t="s">
        <v>3509</v>
      </c>
      <c r="E1434" s="1" t="s">
        <v>121</v>
      </c>
      <c r="F1434" s="14">
        <v>0.6801</v>
      </c>
      <c r="G1434" s="15"/>
      <c r="H1434" s="16"/>
      <c r="I1434" s="14"/>
    </row>
    <row r="1435">
      <c r="A1435" s="14">
        <v>408.0</v>
      </c>
      <c r="B1435" s="14">
        <v>6.0425799E7</v>
      </c>
      <c r="C1435" s="14">
        <v>3.92478192E8</v>
      </c>
      <c r="D1435" s="2" t="s">
        <v>2671</v>
      </c>
      <c r="E1435" s="1" t="s">
        <v>107</v>
      </c>
      <c r="F1435" s="14">
        <v>0.68</v>
      </c>
      <c r="G1435" s="15"/>
      <c r="H1435" s="16"/>
      <c r="I1435" s="14"/>
    </row>
    <row r="1436">
      <c r="A1436" s="14">
        <v>578.0</v>
      </c>
      <c r="B1436" s="14">
        <v>5175381.0</v>
      </c>
      <c r="C1436" s="14">
        <v>2.2033524E7</v>
      </c>
      <c r="D1436" s="2" t="s">
        <v>3512</v>
      </c>
      <c r="E1436" s="1" t="s">
        <v>699</v>
      </c>
      <c r="F1436" s="14">
        <v>0.68</v>
      </c>
      <c r="G1436" s="15"/>
      <c r="H1436" s="16"/>
      <c r="I1436" s="14"/>
    </row>
    <row r="1437">
      <c r="A1437" s="14">
        <v>421.0</v>
      </c>
      <c r="B1437" s="14">
        <v>7.1409093E7</v>
      </c>
      <c r="C1437" s="14">
        <v>2.95155055E8</v>
      </c>
      <c r="D1437" s="2" t="s">
        <v>2157</v>
      </c>
      <c r="E1437" s="1" t="s">
        <v>699</v>
      </c>
      <c r="F1437" s="14">
        <v>0.68</v>
      </c>
      <c r="G1437" s="15"/>
      <c r="H1437" s="16"/>
      <c r="I1437" s="14"/>
    </row>
    <row r="1438">
      <c r="A1438" s="14">
        <v>503.0</v>
      </c>
      <c r="B1438" s="14">
        <v>6379086.0</v>
      </c>
      <c r="C1438" s="14">
        <v>2.7282288E7</v>
      </c>
      <c r="D1438" s="2" t="s">
        <v>3518</v>
      </c>
      <c r="E1438" s="1" t="s">
        <v>121</v>
      </c>
      <c r="F1438" s="14">
        <v>0.68</v>
      </c>
      <c r="G1438" s="15"/>
      <c r="H1438" s="16"/>
      <c r="I1438" s="14"/>
    </row>
    <row r="1439">
      <c r="A1439" s="14">
        <v>213.0</v>
      </c>
      <c r="B1439" s="14">
        <v>1.6813507E7</v>
      </c>
      <c r="C1439" s="14">
        <v>7.1270932E7</v>
      </c>
      <c r="D1439" s="2" t="s">
        <v>3521</v>
      </c>
      <c r="E1439" s="1" t="s">
        <v>121</v>
      </c>
      <c r="F1439" s="14">
        <v>0.6786</v>
      </c>
      <c r="G1439" s="15"/>
      <c r="H1439" s="16"/>
      <c r="I1439" s="14"/>
    </row>
    <row r="1440">
      <c r="A1440" s="14">
        <v>630.0</v>
      </c>
      <c r="B1440" s="14">
        <v>4.6442758E7</v>
      </c>
      <c r="C1440" s="14">
        <v>1.83427325E8</v>
      </c>
      <c r="D1440" s="2" t="s">
        <v>3188</v>
      </c>
      <c r="E1440" s="1" t="s">
        <v>107</v>
      </c>
      <c r="F1440" s="14">
        <v>0.6785</v>
      </c>
      <c r="G1440" s="15"/>
      <c r="H1440" s="16"/>
      <c r="I1440" s="14"/>
    </row>
    <row r="1441">
      <c r="A1441" s="14">
        <v>587.0</v>
      </c>
      <c r="B1441" s="14">
        <v>4.6861239E7</v>
      </c>
      <c r="C1441" s="14">
        <v>1.85018135E8</v>
      </c>
      <c r="D1441" s="2" t="s">
        <v>3161</v>
      </c>
      <c r="E1441" s="1" t="s">
        <v>107</v>
      </c>
      <c r="F1441" s="14">
        <v>0.6784</v>
      </c>
      <c r="G1441" s="15"/>
      <c r="H1441" s="16"/>
      <c r="I1441" s="14"/>
    </row>
    <row r="1442">
      <c r="A1442" s="14">
        <v>671.0</v>
      </c>
      <c r="B1442" s="14">
        <v>6.6052611E7</v>
      </c>
      <c r="C1442" s="14">
        <v>2.69638376E8</v>
      </c>
      <c r="D1442" s="2" t="s">
        <v>2433</v>
      </c>
      <c r="E1442" s="1" t="s">
        <v>107</v>
      </c>
      <c r="F1442" s="14">
        <v>0.6779</v>
      </c>
      <c r="G1442" s="15"/>
      <c r="H1442" s="16"/>
      <c r="I1442" s="14"/>
    </row>
    <row r="1443">
      <c r="A1443" s="14">
        <v>475.0</v>
      </c>
      <c r="B1443" s="14">
        <v>9.7579818E7</v>
      </c>
      <c r="C1443" s="14">
        <v>4.17002204E8</v>
      </c>
      <c r="D1443" s="2" t="s">
        <v>737</v>
      </c>
      <c r="E1443" s="1" t="s">
        <v>107</v>
      </c>
      <c r="F1443" s="14">
        <v>0.6779</v>
      </c>
      <c r="G1443" s="15"/>
      <c r="H1443" s="16"/>
      <c r="I1443" s="14"/>
    </row>
    <row r="1444">
      <c r="A1444" s="14">
        <v>173.0</v>
      </c>
      <c r="B1444" s="14">
        <v>1.8781554E7</v>
      </c>
      <c r="C1444" s="14">
        <v>7.8934071E7</v>
      </c>
      <c r="D1444" s="2" t="s">
        <v>3528</v>
      </c>
      <c r="E1444" s="1" t="s">
        <v>121</v>
      </c>
      <c r="F1444" s="14">
        <v>0.6767</v>
      </c>
      <c r="G1444" s="15"/>
      <c r="H1444" s="16"/>
      <c r="I1444" s="14"/>
    </row>
    <row r="1445">
      <c r="A1445" s="14">
        <v>355.0</v>
      </c>
      <c r="B1445" s="14">
        <v>5.3583797E7</v>
      </c>
      <c r="C1445" s="14">
        <v>2.12515816E8</v>
      </c>
      <c r="D1445" s="2" t="s">
        <v>2890</v>
      </c>
      <c r="E1445" s="1" t="s">
        <v>699</v>
      </c>
      <c r="F1445" s="14">
        <v>0.6755</v>
      </c>
      <c r="G1445" s="15"/>
      <c r="H1445" s="16"/>
      <c r="I1445" s="14"/>
    </row>
    <row r="1446">
      <c r="A1446" s="14">
        <v>609.0</v>
      </c>
      <c r="B1446" s="14">
        <v>4290041.0</v>
      </c>
      <c r="C1446" s="14">
        <v>1.8200939E7</v>
      </c>
      <c r="D1446" s="2" t="s">
        <v>3532</v>
      </c>
      <c r="E1446" s="1" t="s">
        <v>107</v>
      </c>
      <c r="F1446" s="14">
        <v>0.6747</v>
      </c>
      <c r="G1446" s="15"/>
      <c r="H1446" s="16"/>
      <c r="I1446" s="14"/>
    </row>
    <row r="1447">
      <c r="A1447" s="14">
        <v>320.0</v>
      </c>
      <c r="B1447" s="14">
        <v>6.5929957E7</v>
      </c>
      <c r="C1447" s="14">
        <v>2.69362439E8</v>
      </c>
      <c r="D1447" s="2" t="s">
        <v>2441</v>
      </c>
      <c r="E1447" s="1" t="s">
        <v>121</v>
      </c>
      <c r="F1447" s="14">
        <v>0.6743</v>
      </c>
      <c r="G1447" s="15"/>
      <c r="H1447" s="16"/>
      <c r="I1447" s="14"/>
    </row>
    <row r="1448">
      <c r="A1448" s="14">
        <v>610.0</v>
      </c>
      <c r="B1448" s="14">
        <v>2.0808332E7</v>
      </c>
      <c r="C1448" s="14">
        <v>8.6756695E7</v>
      </c>
      <c r="D1448" s="2" t="s">
        <v>3537</v>
      </c>
      <c r="E1448" s="1" t="s">
        <v>107</v>
      </c>
      <c r="F1448" s="14">
        <v>0.6705</v>
      </c>
      <c r="G1448" s="15"/>
      <c r="H1448" s="16"/>
      <c r="I1448" s="14"/>
    </row>
    <row r="1449">
      <c r="A1449" s="14">
        <v>643.0</v>
      </c>
      <c r="B1449" s="14">
        <v>8.4689099E7</v>
      </c>
      <c r="C1449" s="14">
        <v>3.56317419E8</v>
      </c>
      <c r="D1449" s="2" t="s">
        <v>1455</v>
      </c>
      <c r="E1449" s="1" t="s">
        <v>699</v>
      </c>
      <c r="F1449" s="14">
        <v>0.6705</v>
      </c>
      <c r="G1449" s="15"/>
      <c r="H1449" s="16"/>
      <c r="I1449" s="14"/>
    </row>
    <row r="1450">
      <c r="A1450" s="14">
        <v>392.0</v>
      </c>
      <c r="B1450" s="14">
        <v>1.00715483E8</v>
      </c>
      <c r="C1450" s="14">
        <v>4.31753819E8</v>
      </c>
      <c r="D1450" s="2" t="s">
        <v>546</v>
      </c>
      <c r="E1450" s="1" t="s">
        <v>121</v>
      </c>
      <c r="F1450" s="14">
        <v>0.6705</v>
      </c>
      <c r="G1450" s="15"/>
      <c r="H1450" s="16"/>
      <c r="I1450" s="14"/>
    </row>
    <row r="1451">
      <c r="A1451" s="14">
        <v>394.0</v>
      </c>
      <c r="B1451" s="14">
        <v>8.0371263E7</v>
      </c>
      <c r="C1451" s="14">
        <v>3.36266482E8</v>
      </c>
      <c r="D1451" s="2" t="s">
        <v>1729</v>
      </c>
      <c r="E1451" s="1" t="s">
        <v>107</v>
      </c>
      <c r="F1451" s="14">
        <v>0.6697</v>
      </c>
      <c r="G1451" s="15"/>
      <c r="H1451" s="16"/>
      <c r="I1451" s="14"/>
    </row>
    <row r="1452">
      <c r="A1452" s="14">
        <v>473.0</v>
      </c>
      <c r="B1452" s="14">
        <v>1.042662E7</v>
      </c>
      <c r="C1452" s="14">
        <v>4.4268851E7</v>
      </c>
      <c r="D1452" s="2" t="s">
        <v>3544</v>
      </c>
      <c r="E1452" s="1" t="s">
        <v>107</v>
      </c>
      <c r="F1452" s="14">
        <v>0.6696</v>
      </c>
      <c r="G1452" s="15"/>
      <c r="H1452" s="16"/>
      <c r="I1452" s="14"/>
    </row>
    <row r="1453">
      <c r="A1453" s="14">
        <v>670.0</v>
      </c>
      <c r="B1453" s="14">
        <v>4.8068331E7</v>
      </c>
      <c r="C1453" s="14">
        <v>1.89983733E8</v>
      </c>
      <c r="D1453" s="2" t="s">
        <v>3108</v>
      </c>
      <c r="E1453" s="1" t="s">
        <v>107</v>
      </c>
      <c r="F1453" s="14">
        <v>0.6696</v>
      </c>
      <c r="G1453" s="15"/>
      <c r="H1453" s="16"/>
      <c r="I1453" s="14"/>
    </row>
    <row r="1454">
      <c r="A1454" s="14">
        <v>671.0</v>
      </c>
      <c r="B1454" s="14">
        <v>6.5999206E7</v>
      </c>
      <c r="C1454" s="14">
        <v>2.69200491E8</v>
      </c>
      <c r="D1454" s="2" t="s">
        <v>2436</v>
      </c>
      <c r="E1454" s="1" t="s">
        <v>107</v>
      </c>
      <c r="F1454" s="14">
        <v>0.6696</v>
      </c>
      <c r="G1454" s="15"/>
      <c r="H1454" s="16"/>
      <c r="I1454" s="14"/>
    </row>
    <row r="1455">
      <c r="A1455" s="14">
        <v>381.0</v>
      </c>
      <c r="B1455" s="14">
        <v>9.8737558E7</v>
      </c>
      <c r="C1455" s="14">
        <v>4.22326337E8</v>
      </c>
      <c r="D1455" s="2" t="s">
        <v>665</v>
      </c>
      <c r="E1455" s="1" t="s">
        <v>107</v>
      </c>
      <c r="F1455" s="14">
        <v>0.6696</v>
      </c>
      <c r="G1455" s="15"/>
      <c r="H1455" s="16"/>
      <c r="I1455" s="14"/>
    </row>
    <row r="1456">
      <c r="A1456" s="14">
        <v>410.0</v>
      </c>
      <c r="B1456" s="14">
        <v>3.9228508E7</v>
      </c>
      <c r="C1456" s="14">
        <v>1.55800083E8</v>
      </c>
      <c r="D1456" s="2" t="s">
        <v>3396</v>
      </c>
      <c r="E1456" s="1" t="s">
        <v>699</v>
      </c>
      <c r="F1456" s="14">
        <v>0.6696</v>
      </c>
      <c r="G1456" s="15"/>
      <c r="H1456" s="16"/>
      <c r="I1456" s="14"/>
    </row>
    <row r="1457">
      <c r="A1457" s="14">
        <v>672.0</v>
      </c>
      <c r="B1457" s="14">
        <v>6.9303537E7</v>
      </c>
      <c r="C1457" s="14">
        <v>2.85118322E8</v>
      </c>
      <c r="D1457" s="2" t="s">
        <v>2268</v>
      </c>
      <c r="E1457" s="1" t="s">
        <v>699</v>
      </c>
      <c r="F1457" s="14">
        <v>0.6696</v>
      </c>
      <c r="G1457" s="15"/>
      <c r="H1457" s="16"/>
      <c r="I1457" s="14"/>
    </row>
    <row r="1458">
      <c r="A1458" s="14">
        <v>545.0</v>
      </c>
      <c r="B1458" s="14">
        <v>8.0857108E7</v>
      </c>
      <c r="C1458" s="14">
        <v>3.38161424E8</v>
      </c>
      <c r="D1458" s="2" t="s">
        <v>1698</v>
      </c>
      <c r="E1458" s="1" t="s">
        <v>699</v>
      </c>
      <c r="F1458" s="14">
        <v>0.6696</v>
      </c>
      <c r="G1458" s="15"/>
      <c r="H1458" s="16"/>
      <c r="I1458" s="14"/>
    </row>
    <row r="1459">
      <c r="A1459" s="14">
        <v>651.0</v>
      </c>
      <c r="B1459" s="14">
        <v>9.0492859E7</v>
      </c>
      <c r="C1459" s="14">
        <v>3.83713434E8</v>
      </c>
      <c r="D1459" s="2" t="s">
        <v>1109</v>
      </c>
      <c r="E1459" s="1" t="s">
        <v>699</v>
      </c>
      <c r="F1459" s="14">
        <v>0.6696</v>
      </c>
      <c r="G1459" s="15"/>
      <c r="H1459" s="16"/>
      <c r="I1459" s="14"/>
    </row>
    <row r="1460">
      <c r="A1460" s="14">
        <v>531.0</v>
      </c>
      <c r="B1460" s="14">
        <v>9.9250427E7</v>
      </c>
      <c r="C1460" s="14">
        <v>4.2512464E8</v>
      </c>
      <c r="D1460" s="2" t="s">
        <v>628</v>
      </c>
      <c r="E1460" s="1" t="s">
        <v>699</v>
      </c>
      <c r="F1460" s="14">
        <v>0.6696</v>
      </c>
      <c r="G1460" s="15"/>
      <c r="H1460" s="16"/>
      <c r="I1460" s="14"/>
    </row>
    <row r="1461">
      <c r="A1461" s="14">
        <v>644.0</v>
      </c>
      <c r="B1461" s="14">
        <v>8.8131716E7</v>
      </c>
      <c r="C1461" s="14">
        <v>3.72721566E8</v>
      </c>
      <c r="D1461" s="2" t="s">
        <v>1230</v>
      </c>
      <c r="E1461" s="1" t="s">
        <v>107</v>
      </c>
      <c r="F1461" s="14">
        <v>0.6689</v>
      </c>
      <c r="G1461" s="15"/>
      <c r="H1461" s="16"/>
      <c r="I1461" s="14"/>
    </row>
    <row r="1462">
      <c r="A1462" s="14">
        <v>421.0</v>
      </c>
      <c r="B1462" s="14">
        <v>5.4036335E7</v>
      </c>
      <c r="C1462" s="14">
        <v>2.14465824E8</v>
      </c>
      <c r="D1462" s="2" t="s">
        <v>2879</v>
      </c>
      <c r="E1462" s="1" t="s">
        <v>121</v>
      </c>
      <c r="F1462" s="14">
        <v>0.6689</v>
      </c>
      <c r="G1462" s="15"/>
      <c r="H1462" s="16"/>
      <c r="I1462" s="14"/>
    </row>
    <row r="1463">
      <c r="A1463" s="14">
        <v>578.0</v>
      </c>
      <c r="B1463" s="14">
        <v>7639735.0</v>
      </c>
      <c r="C1463" s="14">
        <v>3.2477878E7</v>
      </c>
      <c r="D1463" s="2" t="s">
        <v>3560</v>
      </c>
      <c r="E1463" s="1" t="s">
        <v>121</v>
      </c>
      <c r="F1463" s="14">
        <v>0.6685</v>
      </c>
      <c r="G1463" s="15"/>
      <c r="H1463" s="16"/>
      <c r="I1463" s="14"/>
    </row>
    <row r="1464">
      <c r="A1464" s="14">
        <v>664.0</v>
      </c>
      <c r="B1464" s="14">
        <v>7.9806509E7</v>
      </c>
      <c r="C1464" s="14">
        <v>3.33277944E8</v>
      </c>
      <c r="D1464" s="2" t="s">
        <v>1749</v>
      </c>
      <c r="E1464" s="1" t="s">
        <v>107</v>
      </c>
      <c r="F1464" s="14">
        <v>0.6666</v>
      </c>
      <c r="G1464" s="15"/>
      <c r="H1464" s="16"/>
      <c r="I1464" s="14"/>
    </row>
    <row r="1465">
      <c r="A1465" s="14">
        <v>461.0</v>
      </c>
      <c r="B1465" s="14">
        <v>9.2860493E7</v>
      </c>
      <c r="C1465" s="14">
        <v>3.94289522E8</v>
      </c>
      <c r="D1465" s="2" t="s">
        <v>988</v>
      </c>
      <c r="E1465" s="1" t="s">
        <v>107</v>
      </c>
      <c r="F1465" s="14">
        <v>0.6666</v>
      </c>
      <c r="G1465" s="15"/>
      <c r="H1465" s="16"/>
      <c r="I1465" s="14"/>
    </row>
    <row r="1466">
      <c r="A1466" s="14">
        <v>671.0</v>
      </c>
      <c r="B1466" s="14">
        <v>9.7710669E7</v>
      </c>
      <c r="C1466" s="14">
        <v>4.17297906E8</v>
      </c>
      <c r="D1466" s="2" t="s">
        <v>730</v>
      </c>
      <c r="E1466" s="1" t="s">
        <v>107</v>
      </c>
      <c r="F1466" s="14">
        <v>0.6666</v>
      </c>
      <c r="G1466" s="15"/>
      <c r="H1466" s="16"/>
      <c r="I1466" s="14"/>
    </row>
    <row r="1467">
      <c r="A1467" s="14">
        <v>337.0</v>
      </c>
      <c r="B1467" s="14">
        <v>6.2376071E7</v>
      </c>
      <c r="C1467" s="14">
        <v>3.300801E8</v>
      </c>
      <c r="D1467" s="2" t="s">
        <v>2596</v>
      </c>
      <c r="E1467" s="1" t="s">
        <v>699</v>
      </c>
      <c r="F1467" s="14">
        <v>0.6666</v>
      </c>
      <c r="G1467" s="15"/>
      <c r="H1467" s="16"/>
      <c r="I1467" s="14"/>
    </row>
    <row r="1468">
      <c r="A1468" s="14">
        <v>403.0</v>
      </c>
      <c r="B1468" s="14">
        <v>6.1877468E7</v>
      </c>
      <c r="C1468" s="14">
        <v>2.49504433E8</v>
      </c>
      <c r="D1468" s="2" t="s">
        <v>2617</v>
      </c>
      <c r="E1468" s="1" t="s">
        <v>107</v>
      </c>
      <c r="F1468" s="14">
        <v>0.6662</v>
      </c>
      <c r="G1468" s="15"/>
      <c r="H1468" s="16"/>
      <c r="I1468" s="14"/>
    </row>
    <row r="1469">
      <c r="A1469" s="14">
        <v>173.0</v>
      </c>
      <c r="B1469" s="14">
        <v>7.5268536E7</v>
      </c>
      <c r="C1469" s="14">
        <v>3.11975128E8</v>
      </c>
      <c r="D1469" s="2" t="s">
        <v>2015</v>
      </c>
      <c r="E1469" s="1" t="s">
        <v>107</v>
      </c>
      <c r="F1469" s="14">
        <v>0.6662</v>
      </c>
      <c r="G1469" s="15"/>
      <c r="H1469" s="16"/>
      <c r="I1469" s="14"/>
    </row>
    <row r="1470">
      <c r="A1470" s="14">
        <v>602.0</v>
      </c>
      <c r="B1470" s="14">
        <v>8.0657706E7</v>
      </c>
      <c r="C1470" s="14">
        <v>3.38114695E8</v>
      </c>
      <c r="D1470" s="2" t="s">
        <v>1715</v>
      </c>
      <c r="E1470" s="1" t="s">
        <v>107</v>
      </c>
      <c r="F1470" s="14">
        <v>0.6662</v>
      </c>
      <c r="G1470" s="15"/>
      <c r="H1470" s="16"/>
      <c r="I1470" s="14"/>
    </row>
    <row r="1471">
      <c r="A1471" s="14">
        <v>669.0</v>
      </c>
      <c r="B1471" s="14">
        <v>8722576.0</v>
      </c>
      <c r="C1471" s="14">
        <v>3.6957776E7</v>
      </c>
      <c r="D1471" s="2" t="s">
        <v>3570</v>
      </c>
      <c r="E1471" s="1" t="s">
        <v>121</v>
      </c>
      <c r="F1471" s="14">
        <v>0.6662</v>
      </c>
      <c r="G1471" s="15"/>
      <c r="H1471" s="16"/>
      <c r="I1471" s="14"/>
    </row>
    <row r="1472">
      <c r="A1472" s="14">
        <v>394.0</v>
      </c>
      <c r="B1472" s="14">
        <v>1.1958902E7</v>
      </c>
      <c r="C1472" s="14">
        <v>3.77272064E8</v>
      </c>
      <c r="D1472" s="2" t="s">
        <v>3573</v>
      </c>
      <c r="E1472" s="1" t="s">
        <v>121</v>
      </c>
      <c r="F1472" s="14">
        <v>0.6652</v>
      </c>
      <c r="G1472" s="15"/>
      <c r="H1472" s="16"/>
      <c r="I1472" s="14"/>
    </row>
    <row r="1473">
      <c r="A1473" s="14">
        <v>157.0</v>
      </c>
      <c r="B1473" s="14">
        <v>603783.0</v>
      </c>
      <c r="C1473" s="14">
        <v>2929137.0</v>
      </c>
      <c r="D1473" s="2" t="s">
        <v>3575</v>
      </c>
      <c r="E1473" s="1" t="s">
        <v>121</v>
      </c>
      <c r="F1473" s="14">
        <v>0.6639</v>
      </c>
      <c r="G1473" s="15"/>
      <c r="H1473" s="16"/>
      <c r="I1473" s="14"/>
    </row>
    <row r="1474">
      <c r="A1474" s="14">
        <v>578.0</v>
      </c>
      <c r="B1474" s="14">
        <v>3230220.0</v>
      </c>
      <c r="C1474" s="14">
        <v>1.372737E7</v>
      </c>
      <c r="D1474" s="2" t="s">
        <v>3577</v>
      </c>
      <c r="E1474" s="1" t="s">
        <v>121</v>
      </c>
      <c r="F1474" s="14">
        <v>0.6634</v>
      </c>
      <c r="G1474" s="15"/>
      <c r="H1474" s="16"/>
      <c r="I1474" s="14"/>
    </row>
    <row r="1475">
      <c r="A1475" s="14">
        <v>511.0</v>
      </c>
      <c r="B1475" s="14">
        <v>7.8244224E7</v>
      </c>
      <c r="C1475" s="14">
        <v>3.25666591E8</v>
      </c>
      <c r="D1475" s="2" t="s">
        <v>1837</v>
      </c>
      <c r="E1475" s="1" t="s">
        <v>121</v>
      </c>
      <c r="F1475" s="14">
        <v>0.6634</v>
      </c>
      <c r="G1475" s="15"/>
      <c r="H1475" s="16"/>
      <c r="I1475" s="14"/>
    </row>
    <row r="1476">
      <c r="A1476" s="14">
        <v>243.0</v>
      </c>
      <c r="B1476" s="14">
        <v>1547570.0</v>
      </c>
      <c r="C1476" s="14">
        <v>7510732.0</v>
      </c>
      <c r="D1476" s="2" t="s">
        <v>3580</v>
      </c>
      <c r="E1476" s="1" t="s">
        <v>107</v>
      </c>
      <c r="F1476" s="14">
        <v>0.6633</v>
      </c>
      <c r="G1476" s="15"/>
      <c r="H1476" s="16"/>
      <c r="I1476" s="14"/>
    </row>
    <row r="1477">
      <c r="A1477" s="14">
        <v>654.0</v>
      </c>
      <c r="B1477" s="14">
        <v>5.9854486E7</v>
      </c>
      <c r="C1477" s="14">
        <v>2.39748573E8</v>
      </c>
      <c r="D1477" s="2" t="s">
        <v>2697</v>
      </c>
      <c r="E1477" s="1" t="s">
        <v>121</v>
      </c>
      <c r="F1477" s="14">
        <v>0.6633</v>
      </c>
      <c r="G1477" s="15"/>
      <c r="H1477" s="16"/>
      <c r="I1477" s="14"/>
    </row>
    <row r="1478">
      <c r="A1478" s="14">
        <v>630.0</v>
      </c>
      <c r="B1478" s="14">
        <v>8.149527E7</v>
      </c>
      <c r="C1478" s="14">
        <v>3.81930074E8</v>
      </c>
      <c r="D1478" s="2" t="s">
        <v>1670</v>
      </c>
      <c r="E1478" s="1" t="s">
        <v>107</v>
      </c>
      <c r="F1478" s="14">
        <v>0.6608</v>
      </c>
      <c r="G1478" s="15"/>
      <c r="H1478" s="16"/>
      <c r="I1478" s="14"/>
    </row>
    <row r="1479">
      <c r="A1479" s="14">
        <v>406.0</v>
      </c>
      <c r="B1479" s="14">
        <v>6765682.0</v>
      </c>
      <c r="C1479" s="14">
        <v>2.9003745E7</v>
      </c>
      <c r="D1479" s="2" t="s">
        <v>3586</v>
      </c>
      <c r="E1479" s="1" t="s">
        <v>121</v>
      </c>
      <c r="F1479" s="14">
        <v>0.6604</v>
      </c>
      <c r="G1479" s="15"/>
      <c r="H1479" s="16"/>
      <c r="I1479" s="14"/>
    </row>
    <row r="1480">
      <c r="A1480" s="14">
        <v>244.0</v>
      </c>
      <c r="B1480" s="14">
        <v>6213060.0</v>
      </c>
      <c r="C1480" s="14">
        <v>2.6418792E7</v>
      </c>
      <c r="D1480" s="2" t="s">
        <v>3589</v>
      </c>
      <c r="E1480" s="1" t="s">
        <v>107</v>
      </c>
      <c r="F1480" s="14">
        <v>0.6597</v>
      </c>
      <c r="G1480" s="15"/>
      <c r="H1480" s="16"/>
      <c r="I1480" s="14"/>
    </row>
    <row r="1481">
      <c r="A1481" s="14">
        <v>504.0</v>
      </c>
      <c r="B1481" s="14">
        <v>9709132.0</v>
      </c>
      <c r="C1481" s="14">
        <v>4.1194648E7</v>
      </c>
      <c r="D1481" s="2" t="s">
        <v>3590</v>
      </c>
      <c r="E1481" s="1" t="s">
        <v>107</v>
      </c>
      <c r="F1481" s="14">
        <v>0.6597</v>
      </c>
      <c r="G1481" s="15"/>
      <c r="H1481" s="16"/>
      <c r="I1481" s="14"/>
    </row>
    <row r="1482">
      <c r="A1482" s="14">
        <v>609.0</v>
      </c>
      <c r="B1482" s="14">
        <v>1.0835772E7</v>
      </c>
      <c r="C1482" s="14">
        <v>4.6086414E7</v>
      </c>
      <c r="D1482" s="2" t="s">
        <v>3593</v>
      </c>
      <c r="E1482" s="1" t="s">
        <v>107</v>
      </c>
      <c r="F1482" s="14">
        <v>0.6597</v>
      </c>
      <c r="G1482" s="15"/>
      <c r="H1482" s="16"/>
      <c r="I1482" s="14"/>
    </row>
    <row r="1483">
      <c r="A1483" s="14">
        <v>603.0</v>
      </c>
      <c r="B1483" s="14">
        <v>1.3930986E7</v>
      </c>
      <c r="C1483" s="14">
        <v>5.9219101E7</v>
      </c>
      <c r="D1483" s="2" t="s">
        <v>3596</v>
      </c>
      <c r="E1483" s="1" t="s">
        <v>107</v>
      </c>
      <c r="F1483" s="14">
        <v>0.6597</v>
      </c>
      <c r="G1483" s="15"/>
      <c r="H1483" s="16"/>
      <c r="I1483" s="14"/>
    </row>
    <row r="1484">
      <c r="A1484" s="14">
        <v>203.0</v>
      </c>
      <c r="B1484" s="14">
        <v>2.5541514E7</v>
      </c>
      <c r="C1484" s="14">
        <v>1.72474859E8</v>
      </c>
      <c r="D1484" s="2" t="s">
        <v>3599</v>
      </c>
      <c r="E1484" s="1" t="s">
        <v>107</v>
      </c>
      <c r="F1484" s="14">
        <v>0.6597</v>
      </c>
      <c r="G1484" s="15"/>
      <c r="H1484" s="16"/>
      <c r="I1484" s="14"/>
    </row>
    <row r="1485">
      <c r="A1485" s="14">
        <v>173.0</v>
      </c>
      <c r="B1485" s="14">
        <v>4.0181819E7</v>
      </c>
      <c r="C1485" s="14">
        <v>1.59587471E8</v>
      </c>
      <c r="D1485" s="2" t="s">
        <v>3376</v>
      </c>
      <c r="E1485" s="1" t="s">
        <v>107</v>
      </c>
      <c r="F1485" s="14">
        <v>0.6597</v>
      </c>
      <c r="G1485" s="15"/>
      <c r="H1485" s="16"/>
      <c r="I1485" s="14"/>
    </row>
    <row r="1486">
      <c r="A1486" s="14">
        <v>550.0</v>
      </c>
      <c r="B1486" s="14">
        <v>5.6767038E7</v>
      </c>
      <c r="C1486" s="14">
        <v>2.84763626E8</v>
      </c>
      <c r="D1486" s="2" t="s">
        <v>2797</v>
      </c>
      <c r="E1486" s="1" t="s">
        <v>107</v>
      </c>
      <c r="F1486" s="14">
        <v>0.6597</v>
      </c>
      <c r="G1486" s="15"/>
      <c r="H1486" s="16"/>
      <c r="I1486" s="14"/>
    </row>
    <row r="1487">
      <c r="A1487" s="14">
        <v>215.0</v>
      </c>
      <c r="B1487" s="14">
        <v>6.5816911E7</v>
      </c>
      <c r="C1487" s="14">
        <v>2.68688695E8</v>
      </c>
      <c r="D1487" s="2" t="s">
        <v>2446</v>
      </c>
      <c r="E1487" s="1" t="s">
        <v>107</v>
      </c>
      <c r="F1487" s="14">
        <v>0.6597</v>
      </c>
      <c r="G1487" s="15"/>
      <c r="H1487" s="16"/>
      <c r="I1487" s="14"/>
    </row>
    <row r="1488">
      <c r="A1488" s="14">
        <v>173.0</v>
      </c>
      <c r="B1488" s="14">
        <v>6.8414656E7</v>
      </c>
      <c r="C1488" s="14">
        <v>2.81050418E8</v>
      </c>
      <c r="D1488" s="2" t="s">
        <v>2315</v>
      </c>
      <c r="E1488" s="1" t="s">
        <v>107</v>
      </c>
      <c r="F1488" s="14">
        <v>0.6597</v>
      </c>
      <c r="G1488" s="15"/>
      <c r="H1488" s="16"/>
      <c r="I1488" s="14"/>
    </row>
    <row r="1489">
      <c r="A1489" s="14">
        <v>173.0</v>
      </c>
      <c r="B1489" s="14">
        <v>6.8531441E7</v>
      </c>
      <c r="C1489" s="14">
        <v>2.81689746E8</v>
      </c>
      <c r="D1489" s="2" t="s">
        <v>2308</v>
      </c>
      <c r="E1489" s="1" t="s">
        <v>107</v>
      </c>
      <c r="F1489" s="14">
        <v>0.6597</v>
      </c>
      <c r="G1489" s="15"/>
      <c r="H1489" s="16"/>
      <c r="I1489" s="14"/>
    </row>
    <row r="1490">
      <c r="A1490" s="14">
        <v>398.0</v>
      </c>
      <c r="B1490" s="14">
        <v>7.5358167E7</v>
      </c>
      <c r="C1490" s="14">
        <v>3.12455778E8</v>
      </c>
      <c r="D1490" s="2" t="s">
        <v>2003</v>
      </c>
      <c r="E1490" s="1" t="s">
        <v>107</v>
      </c>
      <c r="F1490" s="14">
        <v>0.6597</v>
      </c>
      <c r="G1490" s="15"/>
      <c r="H1490" s="16"/>
      <c r="I1490" s="14"/>
    </row>
    <row r="1491">
      <c r="A1491" s="14">
        <v>210.0</v>
      </c>
      <c r="B1491" s="14">
        <v>7.8897251E7</v>
      </c>
      <c r="C1491" s="14">
        <v>3.29013576E8</v>
      </c>
      <c r="D1491" s="2" t="s">
        <v>1806</v>
      </c>
      <c r="E1491" s="1" t="s">
        <v>107</v>
      </c>
      <c r="F1491" s="14">
        <v>0.6597</v>
      </c>
      <c r="G1491" s="15"/>
      <c r="H1491" s="16"/>
      <c r="I1491" s="14"/>
    </row>
    <row r="1492">
      <c r="A1492" s="14">
        <v>492.0</v>
      </c>
      <c r="B1492" s="14">
        <v>7.9071178E7</v>
      </c>
      <c r="C1492" s="14">
        <v>4.31814015E8</v>
      </c>
      <c r="D1492" s="2" t="s">
        <v>1795</v>
      </c>
      <c r="E1492" s="1" t="s">
        <v>107</v>
      </c>
      <c r="F1492" s="14">
        <v>0.6597</v>
      </c>
      <c r="G1492" s="15"/>
      <c r="H1492" s="16"/>
      <c r="I1492" s="14"/>
    </row>
    <row r="1493">
      <c r="A1493" s="14">
        <v>173.0</v>
      </c>
      <c r="B1493" s="14">
        <v>8.0051254E7</v>
      </c>
      <c r="C1493" s="14">
        <v>3.34404032E8</v>
      </c>
      <c r="D1493" s="2" t="s">
        <v>1743</v>
      </c>
      <c r="E1493" s="1" t="s">
        <v>107</v>
      </c>
      <c r="F1493" s="14">
        <v>0.6597</v>
      </c>
      <c r="G1493" s="15"/>
      <c r="H1493" s="16"/>
      <c r="I1493" s="14"/>
    </row>
    <row r="1494">
      <c r="A1494" s="14">
        <v>173.0</v>
      </c>
      <c r="B1494" s="14">
        <v>8.3524771E7</v>
      </c>
      <c r="C1494" s="14">
        <v>3.5101989E8</v>
      </c>
      <c r="D1494" s="2" t="s">
        <v>1550</v>
      </c>
      <c r="E1494" s="1" t="s">
        <v>107</v>
      </c>
      <c r="F1494" s="14">
        <v>0.6597</v>
      </c>
      <c r="G1494" s="15"/>
      <c r="H1494" s="16"/>
      <c r="I1494" s="14"/>
    </row>
    <row r="1495">
      <c r="A1495" s="14">
        <v>173.0</v>
      </c>
      <c r="B1495" s="14">
        <v>8.4336163E7</v>
      </c>
      <c r="C1495" s="14">
        <v>3.5458913E8</v>
      </c>
      <c r="D1495" s="2" t="s">
        <v>1477</v>
      </c>
      <c r="E1495" s="1" t="s">
        <v>107</v>
      </c>
      <c r="F1495" s="14">
        <v>0.6597</v>
      </c>
      <c r="G1495" s="15"/>
      <c r="H1495" s="16"/>
      <c r="I1495" s="14"/>
    </row>
    <row r="1496">
      <c r="A1496" s="14">
        <v>380.0</v>
      </c>
      <c r="B1496" s="14">
        <v>9.6817337E7</v>
      </c>
      <c r="C1496" s="14">
        <v>4.13304433E8</v>
      </c>
      <c r="D1496" s="2" t="s">
        <v>771</v>
      </c>
      <c r="E1496" s="1" t="s">
        <v>107</v>
      </c>
      <c r="F1496" s="14">
        <v>0.6597</v>
      </c>
      <c r="G1496" s="15"/>
      <c r="H1496" s="16"/>
      <c r="I1496" s="14"/>
    </row>
    <row r="1497">
      <c r="A1497" s="14">
        <v>173.0</v>
      </c>
      <c r="B1497" s="14">
        <v>9.8078151E7</v>
      </c>
      <c r="C1497" s="14">
        <v>4.19024074E8</v>
      </c>
      <c r="D1497" s="2" t="s">
        <v>696</v>
      </c>
      <c r="E1497" s="1" t="s">
        <v>107</v>
      </c>
      <c r="F1497" s="14">
        <v>0.6597</v>
      </c>
      <c r="G1497" s="15"/>
      <c r="H1497" s="16"/>
      <c r="I1497" s="14"/>
    </row>
    <row r="1498">
      <c r="A1498" s="14">
        <v>353.0</v>
      </c>
      <c r="B1498" s="14">
        <v>1.02365748E8</v>
      </c>
      <c r="C1498" s="14">
        <v>4.39930649E8</v>
      </c>
      <c r="D1498" s="2" t="s">
        <v>448</v>
      </c>
      <c r="E1498" s="1" t="s">
        <v>107</v>
      </c>
      <c r="F1498" s="14">
        <v>0.6597</v>
      </c>
      <c r="G1498" s="15"/>
      <c r="H1498" s="16"/>
      <c r="I1498" s="14"/>
    </row>
    <row r="1499">
      <c r="A1499" s="14">
        <v>173.0</v>
      </c>
      <c r="B1499" s="14">
        <v>1.07424347E8</v>
      </c>
      <c r="C1499" s="14">
        <v>4.63638695E8</v>
      </c>
      <c r="D1499" s="2" t="s">
        <v>236</v>
      </c>
      <c r="E1499" s="1" t="s">
        <v>107</v>
      </c>
      <c r="F1499" s="14">
        <v>0.6597</v>
      </c>
      <c r="G1499" s="15"/>
      <c r="H1499" s="16"/>
      <c r="I1499" s="14"/>
    </row>
    <row r="1500">
      <c r="A1500" s="14">
        <v>120.0</v>
      </c>
      <c r="B1500" s="14">
        <v>2828152.0</v>
      </c>
      <c r="C1500" s="14">
        <v>1.1994972E7</v>
      </c>
      <c r="D1500" s="2" t="s">
        <v>3621</v>
      </c>
      <c r="E1500" s="1" t="s">
        <v>699</v>
      </c>
      <c r="F1500" s="14">
        <v>0.6597</v>
      </c>
      <c r="G1500" s="15"/>
      <c r="H1500" s="16"/>
      <c r="I1500" s="14"/>
    </row>
    <row r="1501">
      <c r="A1501" s="14">
        <v>665.0</v>
      </c>
      <c r="B1501" s="14">
        <v>1.062734E7</v>
      </c>
      <c r="C1501" s="14">
        <v>4.5159908E7</v>
      </c>
      <c r="D1501" s="2" t="s">
        <v>3622</v>
      </c>
      <c r="E1501" s="1" t="s">
        <v>699</v>
      </c>
      <c r="F1501" s="14">
        <v>0.6597</v>
      </c>
      <c r="G1501" s="15"/>
      <c r="H1501" s="16"/>
      <c r="I1501" s="14"/>
    </row>
    <row r="1502">
      <c r="A1502" s="14">
        <v>671.0</v>
      </c>
      <c r="B1502" s="14">
        <v>1.4469688E7</v>
      </c>
      <c r="C1502" s="14">
        <v>4.13079223E8</v>
      </c>
      <c r="D1502" s="2" t="s">
        <v>3623</v>
      </c>
      <c r="E1502" s="1" t="s">
        <v>699</v>
      </c>
      <c r="F1502" s="14">
        <v>0.6597</v>
      </c>
      <c r="G1502" s="15"/>
      <c r="H1502" s="16"/>
      <c r="I1502" s="14"/>
    </row>
    <row r="1503">
      <c r="A1503" s="14">
        <v>488.0</v>
      </c>
      <c r="B1503" s="14">
        <v>1.4587524E7</v>
      </c>
      <c r="C1503" s="14">
        <v>6.216142E7</v>
      </c>
      <c r="D1503" s="2" t="s">
        <v>3624</v>
      </c>
      <c r="E1503" s="1" t="s">
        <v>699</v>
      </c>
      <c r="F1503" s="14">
        <v>0.6597</v>
      </c>
      <c r="G1503" s="15"/>
      <c r="H1503" s="16"/>
      <c r="I1503" s="14"/>
    </row>
    <row r="1504">
      <c r="A1504" s="14">
        <v>503.0</v>
      </c>
      <c r="B1504" s="14">
        <v>2.8835753E7</v>
      </c>
      <c r="C1504" s="14">
        <v>1.15916211E8</v>
      </c>
      <c r="D1504" s="2" t="s">
        <v>3614</v>
      </c>
      <c r="E1504" s="1" t="s">
        <v>699</v>
      </c>
      <c r="F1504" s="14">
        <v>0.6597</v>
      </c>
      <c r="G1504" s="15"/>
      <c r="H1504" s="16"/>
      <c r="I1504" s="14"/>
    </row>
    <row r="1505">
      <c r="A1505" s="14">
        <v>410.0</v>
      </c>
      <c r="B1505" s="14">
        <v>3.2708331E7</v>
      </c>
      <c r="C1505" s="14">
        <v>1.31175399E8</v>
      </c>
      <c r="D1505" s="2" t="s">
        <v>3520</v>
      </c>
      <c r="E1505" s="1" t="s">
        <v>699</v>
      </c>
      <c r="F1505" s="14">
        <v>0.6597</v>
      </c>
      <c r="G1505" s="15"/>
      <c r="H1505" s="16"/>
      <c r="I1505" s="14"/>
    </row>
    <row r="1506">
      <c r="A1506" s="14">
        <v>414.0</v>
      </c>
      <c r="B1506" s="14">
        <v>4.7853135E7</v>
      </c>
      <c r="C1506" s="14">
        <v>1.8900588E8</v>
      </c>
      <c r="D1506" s="2" t="s">
        <v>3119</v>
      </c>
      <c r="E1506" s="1" t="s">
        <v>699</v>
      </c>
      <c r="F1506" s="14">
        <v>0.6597</v>
      </c>
      <c r="G1506" s="15"/>
      <c r="H1506" s="16"/>
      <c r="I1506" s="14"/>
    </row>
    <row r="1507">
      <c r="A1507" s="14">
        <v>630.0</v>
      </c>
      <c r="B1507" s="14">
        <v>8.0402935E7</v>
      </c>
      <c r="C1507" s="14">
        <v>3.36055767E8</v>
      </c>
      <c r="D1507" s="2" t="s">
        <v>1728</v>
      </c>
      <c r="E1507" s="1" t="s">
        <v>699</v>
      </c>
      <c r="F1507" s="14">
        <v>0.6597</v>
      </c>
      <c r="G1507" s="15"/>
      <c r="H1507" s="16"/>
      <c r="I1507" s="14"/>
    </row>
    <row r="1508">
      <c r="A1508" s="14">
        <v>609.0</v>
      </c>
      <c r="B1508" s="14">
        <v>2865490.0</v>
      </c>
      <c r="C1508" s="14">
        <v>1.2146409E7</v>
      </c>
      <c r="D1508" s="2" t="s">
        <v>3629</v>
      </c>
      <c r="E1508" s="1" t="s">
        <v>121</v>
      </c>
      <c r="F1508" s="14">
        <v>0.6597</v>
      </c>
      <c r="G1508" s="15"/>
      <c r="H1508" s="16"/>
      <c r="I1508" s="14"/>
    </row>
    <row r="1509">
      <c r="A1509" s="14">
        <v>406.0</v>
      </c>
      <c r="B1509" s="14">
        <v>4126541.0</v>
      </c>
      <c r="C1509" s="14">
        <v>1.754625E7</v>
      </c>
      <c r="D1509" s="2" t="s">
        <v>3632</v>
      </c>
      <c r="E1509" s="1" t="s">
        <v>121</v>
      </c>
      <c r="F1509" s="14">
        <v>0.6597</v>
      </c>
      <c r="G1509" s="15"/>
      <c r="H1509" s="16"/>
      <c r="I1509" s="14"/>
    </row>
    <row r="1510">
      <c r="A1510" s="14">
        <v>676.0</v>
      </c>
      <c r="B1510" s="14">
        <v>8937595.0</v>
      </c>
      <c r="C1510" s="14">
        <v>3.7878492E7</v>
      </c>
      <c r="D1510" s="2" t="s">
        <v>3633</v>
      </c>
      <c r="E1510" s="1" t="s">
        <v>121</v>
      </c>
      <c r="F1510" s="14">
        <v>0.6597</v>
      </c>
      <c r="G1510" s="15"/>
      <c r="H1510" s="16"/>
      <c r="I1510" s="14"/>
    </row>
    <row r="1511">
      <c r="A1511" s="14">
        <v>542.0</v>
      </c>
      <c r="B1511" s="14">
        <v>1.7683077E7</v>
      </c>
      <c r="C1511" s="14">
        <v>7.4763471E7</v>
      </c>
      <c r="D1511" s="2" t="s">
        <v>3634</v>
      </c>
      <c r="E1511" s="1" t="s">
        <v>121</v>
      </c>
      <c r="F1511" s="14">
        <v>0.6597</v>
      </c>
      <c r="G1511" s="15"/>
      <c r="H1511" s="16"/>
      <c r="I1511" s="14"/>
    </row>
    <row r="1512">
      <c r="A1512" s="14">
        <v>394.0</v>
      </c>
      <c r="B1512" s="14">
        <v>2.5640326E7</v>
      </c>
      <c r="C1512" s="14">
        <v>1.04095121E8</v>
      </c>
      <c r="D1512" s="2" t="s">
        <v>3636</v>
      </c>
      <c r="E1512" s="1" t="s">
        <v>121</v>
      </c>
      <c r="F1512" s="14">
        <v>0.6597</v>
      </c>
      <c r="G1512" s="15"/>
      <c r="H1512" s="16"/>
      <c r="I1512" s="14"/>
    </row>
    <row r="1513">
      <c r="A1513" s="14">
        <v>571.0</v>
      </c>
      <c r="B1513" s="14">
        <v>4.5017907E7</v>
      </c>
      <c r="C1513" s="14">
        <v>1.77738883E8</v>
      </c>
      <c r="D1513" s="2" t="s">
        <v>3244</v>
      </c>
      <c r="E1513" s="1" t="s">
        <v>121</v>
      </c>
      <c r="F1513" s="14">
        <v>0.6597</v>
      </c>
      <c r="G1513" s="15"/>
      <c r="H1513" s="16"/>
      <c r="I1513" s="14"/>
    </row>
    <row r="1514">
      <c r="A1514" s="14">
        <v>601.0</v>
      </c>
      <c r="B1514" s="14">
        <v>8.8982148E7</v>
      </c>
      <c r="C1514" s="14">
        <v>3.76939904E8</v>
      </c>
      <c r="D1514" s="2" t="s">
        <v>1187</v>
      </c>
      <c r="E1514" s="1" t="s">
        <v>121</v>
      </c>
      <c r="F1514" s="14">
        <v>0.6597</v>
      </c>
      <c r="G1514" s="15"/>
      <c r="H1514" s="16"/>
      <c r="I1514" s="14"/>
    </row>
    <row r="1515">
      <c r="A1515" s="14">
        <v>392.0</v>
      </c>
      <c r="B1515" s="14">
        <v>8821766.0</v>
      </c>
      <c r="C1515" s="14">
        <v>3.7396193E7</v>
      </c>
      <c r="D1515" s="2" t="s">
        <v>3640</v>
      </c>
      <c r="E1515" s="1" t="s">
        <v>107</v>
      </c>
      <c r="F1515" s="14">
        <v>0.659</v>
      </c>
      <c r="G1515" s="15"/>
      <c r="H1515" s="16"/>
      <c r="I1515" s="14"/>
    </row>
    <row r="1516">
      <c r="A1516" s="14">
        <v>587.0</v>
      </c>
      <c r="B1516" s="14">
        <v>7.1697882E7</v>
      </c>
      <c r="C1516" s="14">
        <v>2.96234927E8</v>
      </c>
      <c r="D1516" s="2" t="s">
        <v>2143</v>
      </c>
      <c r="E1516" s="1" t="s">
        <v>121</v>
      </c>
      <c r="F1516" s="14">
        <v>0.659</v>
      </c>
      <c r="G1516" s="15"/>
      <c r="H1516" s="16"/>
      <c r="I1516" s="14"/>
    </row>
    <row r="1517">
      <c r="A1517" s="14">
        <v>142.0</v>
      </c>
      <c r="B1517" s="14">
        <v>1827588.0</v>
      </c>
      <c r="C1517" s="14">
        <v>8034297.0</v>
      </c>
      <c r="D1517" s="2" t="s">
        <v>3645</v>
      </c>
      <c r="E1517" s="1" t="s">
        <v>107</v>
      </c>
      <c r="F1517" s="14">
        <v>0.6588</v>
      </c>
      <c r="G1517" s="15"/>
      <c r="H1517" s="16"/>
      <c r="I1517" s="14"/>
    </row>
    <row r="1518">
      <c r="A1518" s="14">
        <v>204.0</v>
      </c>
      <c r="B1518" s="14">
        <v>2497926.0</v>
      </c>
      <c r="C1518" s="14">
        <v>1.0560214E7</v>
      </c>
      <c r="D1518" s="2" t="s">
        <v>3648</v>
      </c>
      <c r="E1518" s="1" t="s">
        <v>107</v>
      </c>
      <c r="F1518" s="14">
        <v>0.6588</v>
      </c>
      <c r="G1518" s="15"/>
      <c r="H1518" s="16"/>
      <c r="I1518" s="14"/>
    </row>
    <row r="1519">
      <c r="A1519" s="14">
        <v>285.0</v>
      </c>
      <c r="B1519" s="14">
        <v>4583448.0</v>
      </c>
      <c r="C1519" s="14">
        <v>1.9424057E7</v>
      </c>
      <c r="D1519" s="2" t="s">
        <v>3649</v>
      </c>
      <c r="E1519" s="1" t="s">
        <v>107</v>
      </c>
      <c r="F1519" s="14">
        <v>0.6588</v>
      </c>
      <c r="G1519" s="15"/>
      <c r="H1519" s="16"/>
      <c r="I1519" s="14"/>
    </row>
    <row r="1520">
      <c r="A1520" s="14">
        <v>578.0</v>
      </c>
      <c r="B1520" s="14">
        <v>4844470.0</v>
      </c>
      <c r="C1520" s="14">
        <v>2.0601189E7</v>
      </c>
      <c r="D1520" s="2" t="s">
        <v>3652</v>
      </c>
      <c r="E1520" s="1" t="s">
        <v>107</v>
      </c>
      <c r="F1520" s="14">
        <v>0.6588</v>
      </c>
      <c r="G1520" s="15"/>
      <c r="H1520" s="16"/>
      <c r="I1520" s="14"/>
    </row>
    <row r="1521">
      <c r="A1521" s="14">
        <v>609.0</v>
      </c>
      <c r="B1521" s="14">
        <v>6771118.0</v>
      </c>
      <c r="C1521" s="14">
        <v>2.8814392E7</v>
      </c>
      <c r="D1521" s="2" t="s">
        <v>3654</v>
      </c>
      <c r="E1521" s="1" t="s">
        <v>107</v>
      </c>
      <c r="F1521" s="14">
        <v>0.6588</v>
      </c>
      <c r="G1521" s="15"/>
      <c r="H1521" s="16"/>
      <c r="I1521" s="14"/>
    </row>
    <row r="1522">
      <c r="A1522" s="14">
        <v>609.0</v>
      </c>
      <c r="B1522" s="14">
        <v>8427978.0</v>
      </c>
      <c r="C1522" s="14">
        <v>3.5736341E7</v>
      </c>
      <c r="D1522" s="2" t="s">
        <v>3656</v>
      </c>
      <c r="E1522" s="1" t="s">
        <v>107</v>
      </c>
      <c r="F1522" s="14">
        <v>0.6588</v>
      </c>
      <c r="G1522" s="15"/>
      <c r="H1522" s="16"/>
      <c r="I1522" s="14"/>
    </row>
    <row r="1523">
      <c r="A1523" s="14">
        <v>475.0</v>
      </c>
      <c r="B1523" s="14">
        <v>1.1788113E7</v>
      </c>
      <c r="C1523" s="14">
        <v>5.0115426E7</v>
      </c>
      <c r="D1523" s="2" t="s">
        <v>3658</v>
      </c>
      <c r="E1523" s="1" t="s">
        <v>107</v>
      </c>
      <c r="F1523" s="14">
        <v>0.6588</v>
      </c>
      <c r="G1523" s="15"/>
      <c r="H1523" s="16"/>
      <c r="I1523" s="14"/>
    </row>
    <row r="1524">
      <c r="A1524" s="14">
        <v>500.0</v>
      </c>
      <c r="B1524" s="14">
        <v>4.5604986E7</v>
      </c>
      <c r="C1524" s="14">
        <v>1.83365166E8</v>
      </c>
      <c r="D1524" s="2" t="s">
        <v>3232</v>
      </c>
      <c r="E1524" s="1" t="s">
        <v>107</v>
      </c>
      <c r="F1524" s="14">
        <v>0.6588</v>
      </c>
      <c r="G1524" s="15"/>
      <c r="H1524" s="16"/>
      <c r="I1524" s="14"/>
    </row>
    <row r="1525">
      <c r="A1525" s="14">
        <v>412.0</v>
      </c>
      <c r="B1525" s="14">
        <v>4.6403456E7</v>
      </c>
      <c r="C1525" s="14">
        <v>1.83314864E8</v>
      </c>
      <c r="D1525" s="2" t="s">
        <v>3192</v>
      </c>
      <c r="E1525" s="1" t="s">
        <v>107</v>
      </c>
      <c r="F1525" s="14">
        <v>0.6588</v>
      </c>
      <c r="G1525" s="15"/>
      <c r="H1525" s="16"/>
      <c r="I1525" s="14"/>
    </row>
    <row r="1526">
      <c r="A1526" s="14">
        <v>406.0</v>
      </c>
      <c r="B1526" s="14">
        <v>5.227847E7</v>
      </c>
      <c r="C1526" s="14">
        <v>2.0744513E8</v>
      </c>
      <c r="D1526" s="2" t="s">
        <v>2934</v>
      </c>
      <c r="E1526" s="1" t="s">
        <v>107</v>
      </c>
      <c r="F1526" s="14">
        <v>0.6588</v>
      </c>
      <c r="G1526" s="15"/>
      <c r="H1526" s="16"/>
      <c r="I1526" s="14"/>
    </row>
    <row r="1527">
      <c r="A1527" s="14">
        <v>654.0</v>
      </c>
      <c r="B1527" s="14">
        <v>6.3931668E7</v>
      </c>
      <c r="C1527" s="14">
        <v>2.59553432E8</v>
      </c>
      <c r="D1527" s="2" t="s">
        <v>2532</v>
      </c>
      <c r="E1527" s="1" t="s">
        <v>107</v>
      </c>
      <c r="F1527" s="14">
        <v>0.6588</v>
      </c>
      <c r="G1527" s="15"/>
      <c r="H1527" s="16"/>
      <c r="I1527" s="14"/>
    </row>
    <row r="1528">
      <c r="A1528" s="14">
        <v>586.0</v>
      </c>
      <c r="B1528" s="14">
        <v>6.6116574E7</v>
      </c>
      <c r="C1528" s="14">
        <v>2.70087285E8</v>
      </c>
      <c r="D1528" s="2" t="s">
        <v>2426</v>
      </c>
      <c r="E1528" s="1" t="s">
        <v>107</v>
      </c>
      <c r="F1528" s="14">
        <v>0.6588</v>
      </c>
      <c r="G1528" s="15"/>
      <c r="H1528" s="16"/>
      <c r="I1528" s="14"/>
    </row>
    <row r="1529">
      <c r="A1529" s="14">
        <v>607.0</v>
      </c>
      <c r="B1529" s="14">
        <v>7.013791E7</v>
      </c>
      <c r="C1529" s="14">
        <v>2.8959783E8</v>
      </c>
      <c r="D1529" s="2" t="s">
        <v>2215</v>
      </c>
      <c r="E1529" s="1" t="s">
        <v>107</v>
      </c>
      <c r="F1529" s="14">
        <v>0.6588</v>
      </c>
      <c r="G1529" s="15"/>
      <c r="H1529" s="16"/>
      <c r="I1529" s="14"/>
    </row>
    <row r="1530">
      <c r="A1530" s="14">
        <v>173.0</v>
      </c>
      <c r="B1530" s="14">
        <v>7.2516504E7</v>
      </c>
      <c r="C1530" s="14">
        <v>2.99744071E8</v>
      </c>
      <c r="D1530" s="2" t="s">
        <v>2112</v>
      </c>
      <c r="E1530" s="1" t="s">
        <v>107</v>
      </c>
      <c r="F1530" s="14">
        <v>0.6588</v>
      </c>
      <c r="G1530" s="15"/>
      <c r="H1530" s="16"/>
      <c r="I1530" s="14"/>
    </row>
    <row r="1531">
      <c r="A1531" s="14">
        <v>610.0</v>
      </c>
      <c r="B1531" s="14">
        <v>7.2583941E7</v>
      </c>
      <c r="C1531" s="14">
        <v>3.00316924E8</v>
      </c>
      <c r="D1531" s="2" t="s">
        <v>2104</v>
      </c>
      <c r="E1531" s="1" t="s">
        <v>107</v>
      </c>
      <c r="F1531" s="14">
        <v>0.6588</v>
      </c>
      <c r="G1531" s="15"/>
      <c r="H1531" s="16"/>
      <c r="I1531" s="14"/>
    </row>
    <row r="1532">
      <c r="A1532" s="14">
        <v>672.0</v>
      </c>
      <c r="B1532" s="14">
        <v>7.553506E7</v>
      </c>
      <c r="C1532" s="14">
        <v>3.82911223E8</v>
      </c>
      <c r="D1532" s="2" t="s">
        <v>1990</v>
      </c>
      <c r="E1532" s="1" t="s">
        <v>107</v>
      </c>
      <c r="F1532" s="14">
        <v>0.6588</v>
      </c>
      <c r="G1532" s="15"/>
      <c r="H1532" s="16"/>
      <c r="I1532" s="14"/>
    </row>
    <row r="1533">
      <c r="A1533" s="14">
        <v>587.0</v>
      </c>
      <c r="B1533" s="14">
        <v>7.710253E7</v>
      </c>
      <c r="C1533" s="14">
        <v>3.20449841E8</v>
      </c>
      <c r="D1533" s="2" t="s">
        <v>1911</v>
      </c>
      <c r="E1533" s="1" t="s">
        <v>107</v>
      </c>
      <c r="F1533" s="14">
        <v>0.6588</v>
      </c>
      <c r="G1533" s="15"/>
      <c r="H1533" s="16"/>
      <c r="I1533" s="14"/>
    </row>
    <row r="1534">
      <c r="A1534" s="14">
        <v>564.0</v>
      </c>
      <c r="B1534" s="14">
        <v>8.2547905E7</v>
      </c>
      <c r="C1534" s="14">
        <v>3.46088811E8</v>
      </c>
      <c r="D1534" s="2" t="s">
        <v>1593</v>
      </c>
      <c r="E1534" s="1" t="s">
        <v>107</v>
      </c>
      <c r="F1534" s="14">
        <v>0.6588</v>
      </c>
      <c r="G1534" s="15"/>
      <c r="H1534" s="16"/>
      <c r="I1534" s="14"/>
    </row>
    <row r="1535">
      <c r="A1535" s="14">
        <v>587.0</v>
      </c>
      <c r="B1535" s="14">
        <v>8.6204664E7</v>
      </c>
      <c r="C1535" s="14">
        <v>3.63819608E8</v>
      </c>
      <c r="D1535" s="2" t="s">
        <v>1350</v>
      </c>
      <c r="E1535" s="1" t="s">
        <v>107</v>
      </c>
      <c r="F1535" s="14">
        <v>0.6588</v>
      </c>
      <c r="G1535" s="15"/>
      <c r="H1535" s="16"/>
      <c r="I1535" s="14"/>
    </row>
    <row r="1536">
      <c r="A1536" s="14">
        <v>671.0</v>
      </c>
      <c r="B1536" s="14">
        <v>9.0908436E7</v>
      </c>
      <c r="C1536" s="14">
        <v>3.86127112E8</v>
      </c>
      <c r="D1536" s="2" t="s">
        <v>1083</v>
      </c>
      <c r="E1536" s="1" t="s">
        <v>107</v>
      </c>
      <c r="F1536" s="14">
        <v>0.6588</v>
      </c>
      <c r="G1536" s="15"/>
      <c r="H1536" s="16"/>
      <c r="I1536" s="14"/>
    </row>
    <row r="1537">
      <c r="A1537" s="14">
        <v>630.0</v>
      </c>
      <c r="B1537" s="14">
        <v>1.02589276E8</v>
      </c>
      <c r="C1537" s="14">
        <v>4.41244578E8</v>
      </c>
      <c r="D1537" s="2" t="s">
        <v>433</v>
      </c>
      <c r="E1537" s="1" t="s">
        <v>107</v>
      </c>
      <c r="F1537" s="14">
        <v>0.6588</v>
      </c>
      <c r="G1537" s="15"/>
      <c r="H1537" s="16"/>
      <c r="I1537" s="14"/>
    </row>
    <row r="1538">
      <c r="A1538" s="14">
        <v>410.0</v>
      </c>
      <c r="B1538" s="14">
        <v>1.10807741E8</v>
      </c>
      <c r="C1538" s="14">
        <v>4.80629221E8</v>
      </c>
      <c r="D1538" s="2" t="s">
        <v>61</v>
      </c>
      <c r="E1538" s="1" t="s">
        <v>107</v>
      </c>
      <c r="F1538" s="14">
        <v>0.6588</v>
      </c>
      <c r="G1538" s="15"/>
      <c r="H1538" s="16"/>
      <c r="I1538" s="14"/>
    </row>
    <row r="1539">
      <c r="A1539" s="14">
        <v>210.0</v>
      </c>
      <c r="B1539" s="14">
        <v>1.5867677E7</v>
      </c>
      <c r="C1539" s="14">
        <v>6.7443498E7</v>
      </c>
      <c r="D1539" s="2" t="s">
        <v>3681</v>
      </c>
      <c r="E1539" s="1" t="s">
        <v>699</v>
      </c>
      <c r="F1539" s="14">
        <v>0.6588</v>
      </c>
      <c r="G1539" s="15"/>
      <c r="H1539" s="16"/>
      <c r="I1539" s="14"/>
    </row>
    <row r="1540">
      <c r="A1540" s="14">
        <v>207.0</v>
      </c>
      <c r="B1540" s="14">
        <v>2.6786866E7</v>
      </c>
      <c r="C1540" s="14">
        <v>1.083176E8</v>
      </c>
      <c r="D1540" s="2" t="s">
        <v>3680</v>
      </c>
      <c r="E1540" s="1" t="s">
        <v>699</v>
      </c>
      <c r="F1540" s="14">
        <v>0.6588</v>
      </c>
      <c r="G1540" s="15"/>
      <c r="H1540" s="16"/>
      <c r="I1540" s="14"/>
    </row>
    <row r="1541">
      <c r="A1541" s="14">
        <v>210.0</v>
      </c>
      <c r="B1541" s="14">
        <v>8.5491707E7</v>
      </c>
      <c r="C1541" s="14">
        <v>3.60432222E8</v>
      </c>
      <c r="D1541" s="2" t="s">
        <v>1394</v>
      </c>
      <c r="E1541" s="1" t="s">
        <v>121</v>
      </c>
      <c r="F1541" s="14">
        <v>0.6588</v>
      </c>
      <c r="G1541" s="15"/>
      <c r="H1541" s="16"/>
      <c r="I1541" s="14"/>
    </row>
    <row r="1542">
      <c r="A1542" s="14">
        <v>673.0</v>
      </c>
      <c r="B1542" s="14">
        <v>1.9242258E7</v>
      </c>
      <c r="C1542" s="14">
        <v>8.0418267E7</v>
      </c>
      <c r="D1542" s="2" t="s">
        <v>3683</v>
      </c>
      <c r="E1542" s="1" t="s">
        <v>121</v>
      </c>
      <c r="F1542" s="14">
        <v>0.6586</v>
      </c>
      <c r="G1542" s="15"/>
      <c r="H1542" s="16"/>
      <c r="I1542" s="14"/>
    </row>
    <row r="1543">
      <c r="A1543" s="14">
        <v>120.0</v>
      </c>
      <c r="B1543" s="14">
        <v>711507.0</v>
      </c>
      <c r="C1543" s="14">
        <v>3448266.0</v>
      </c>
      <c r="D1543" s="2" t="s">
        <v>3684</v>
      </c>
      <c r="E1543" s="1" t="s">
        <v>121</v>
      </c>
      <c r="F1543" s="14">
        <v>0.6583</v>
      </c>
      <c r="G1543" s="15"/>
      <c r="H1543" s="16"/>
      <c r="I1543" s="14"/>
    </row>
    <row r="1544">
      <c r="A1544" s="14">
        <v>603.0</v>
      </c>
      <c r="B1544" s="14">
        <v>5.1143975E7</v>
      </c>
      <c r="C1544" s="14">
        <v>2.0254216E8</v>
      </c>
      <c r="D1544" s="2" t="s">
        <v>2982</v>
      </c>
      <c r="E1544" s="1" t="s">
        <v>699</v>
      </c>
      <c r="F1544" s="14">
        <v>0.658</v>
      </c>
      <c r="G1544" s="15"/>
      <c r="H1544" s="16"/>
      <c r="I1544" s="14"/>
    </row>
    <row r="1545">
      <c r="A1545" s="14">
        <v>671.0</v>
      </c>
      <c r="B1545" s="14">
        <v>5.4106444E7</v>
      </c>
      <c r="C1545" s="14">
        <v>2.14959518E8</v>
      </c>
      <c r="D1545" s="2" t="s">
        <v>2876</v>
      </c>
      <c r="E1545" s="1" t="s">
        <v>699</v>
      </c>
      <c r="F1545" s="14">
        <v>0.658</v>
      </c>
      <c r="G1545" s="15"/>
      <c r="H1545" s="16"/>
      <c r="I1545" s="14"/>
    </row>
    <row r="1546">
      <c r="A1546" s="14">
        <v>194.0</v>
      </c>
      <c r="B1546" s="14">
        <v>3.9908385E7</v>
      </c>
      <c r="C1546" s="14">
        <v>1.95797672E8</v>
      </c>
      <c r="D1546" s="2" t="s">
        <v>3380</v>
      </c>
      <c r="E1546" s="1" t="s">
        <v>107</v>
      </c>
      <c r="F1546" s="14">
        <v>0.6577</v>
      </c>
      <c r="G1546" s="15"/>
      <c r="H1546" s="16"/>
      <c r="I1546" s="14"/>
    </row>
    <row r="1547">
      <c r="A1547" s="14">
        <v>602.0</v>
      </c>
      <c r="B1547" s="14">
        <v>6067356.0</v>
      </c>
      <c r="C1547" s="14">
        <v>2.5840976E7</v>
      </c>
      <c r="D1547" s="2" t="s">
        <v>3685</v>
      </c>
      <c r="E1547" s="1" t="s">
        <v>107</v>
      </c>
      <c r="F1547" s="14">
        <v>0.6571</v>
      </c>
      <c r="G1547" s="15"/>
      <c r="H1547" s="16"/>
      <c r="I1547" s="14"/>
    </row>
    <row r="1548">
      <c r="A1548" s="14">
        <v>664.0</v>
      </c>
      <c r="B1548" s="14">
        <v>4.8002689E7</v>
      </c>
      <c r="C1548" s="14">
        <v>1.89770831E8</v>
      </c>
      <c r="D1548" s="2" t="s">
        <v>3113</v>
      </c>
      <c r="E1548" s="1" t="s">
        <v>107</v>
      </c>
      <c r="F1548" s="14">
        <v>0.6566</v>
      </c>
      <c r="G1548" s="15"/>
      <c r="H1548" s="16"/>
      <c r="I1548" s="14"/>
    </row>
    <row r="1549">
      <c r="A1549" s="14">
        <v>601.0</v>
      </c>
      <c r="B1549" s="14">
        <v>2920580.0</v>
      </c>
      <c r="C1549" s="14">
        <v>1.240634E7</v>
      </c>
      <c r="D1549" s="2" t="s">
        <v>3687</v>
      </c>
      <c r="E1549" s="1" t="s">
        <v>121</v>
      </c>
      <c r="F1549" s="14">
        <v>0.656</v>
      </c>
      <c r="G1549" s="15"/>
      <c r="H1549" s="16"/>
      <c r="I1549" s="14"/>
    </row>
    <row r="1550">
      <c r="A1550" s="14">
        <v>642.0</v>
      </c>
      <c r="B1550" s="14">
        <v>5.6510193E7</v>
      </c>
      <c r="C1550" s="14">
        <v>2.24893538E8</v>
      </c>
      <c r="D1550" s="2" t="s">
        <v>2804</v>
      </c>
      <c r="E1550" s="1" t="s">
        <v>107</v>
      </c>
      <c r="F1550" s="14">
        <v>0.6556</v>
      </c>
      <c r="G1550" s="15"/>
      <c r="H1550" s="16"/>
      <c r="I1550" s="14"/>
    </row>
    <row r="1551">
      <c r="A1551" s="14">
        <v>173.0</v>
      </c>
      <c r="B1551" s="14">
        <v>729978.0</v>
      </c>
      <c r="C1551" s="14">
        <v>3520839.0</v>
      </c>
      <c r="D1551" s="2" t="s">
        <v>3691</v>
      </c>
      <c r="E1551" s="1" t="s">
        <v>107</v>
      </c>
      <c r="F1551" s="14">
        <v>0.6553</v>
      </c>
      <c r="G1551" s="15"/>
      <c r="H1551" s="16"/>
      <c r="I1551" s="14"/>
    </row>
    <row r="1552">
      <c r="A1552" s="14">
        <v>673.0</v>
      </c>
      <c r="B1552" s="14">
        <v>6.861385E7</v>
      </c>
      <c r="C1552" s="14">
        <v>2.82282017E8</v>
      </c>
      <c r="D1552" s="2" t="s">
        <v>2301</v>
      </c>
      <c r="E1552" s="1" t="s">
        <v>107</v>
      </c>
      <c r="F1552" s="14">
        <v>0.6553</v>
      </c>
      <c r="G1552" s="15"/>
      <c r="H1552" s="16"/>
      <c r="I1552" s="14"/>
    </row>
    <row r="1553">
      <c r="A1553" s="14">
        <v>410.0</v>
      </c>
      <c r="B1553" s="14">
        <v>9.863264E7</v>
      </c>
      <c r="C1553" s="14">
        <v>4.2161798E8</v>
      </c>
      <c r="D1553" s="2" t="s">
        <v>670</v>
      </c>
      <c r="E1553" s="1" t="s">
        <v>121</v>
      </c>
      <c r="F1553" s="14">
        <v>0.6511</v>
      </c>
      <c r="G1553" s="15"/>
      <c r="H1553" s="16"/>
      <c r="I1553" s="14"/>
    </row>
    <row r="1554">
      <c r="A1554" s="14">
        <v>456.0</v>
      </c>
      <c r="B1554" s="14">
        <v>1451862.0</v>
      </c>
      <c r="C1554" s="14">
        <v>6399444.0</v>
      </c>
      <c r="D1554" s="2" t="s">
        <v>3696</v>
      </c>
      <c r="E1554" s="1" t="s">
        <v>121</v>
      </c>
      <c r="F1554" s="14">
        <v>0.6494</v>
      </c>
      <c r="G1554" s="15"/>
      <c r="H1554" s="16"/>
      <c r="I1554" s="14"/>
    </row>
    <row r="1555">
      <c r="A1555" s="14">
        <v>406.0</v>
      </c>
      <c r="B1555" s="14">
        <v>8827519.0</v>
      </c>
      <c r="C1555" s="14">
        <v>3.7450854E7</v>
      </c>
      <c r="D1555" s="2" t="s">
        <v>3698</v>
      </c>
      <c r="E1555" s="1" t="s">
        <v>121</v>
      </c>
      <c r="F1555" s="14">
        <v>0.6494</v>
      </c>
      <c r="G1555" s="15"/>
      <c r="H1555" s="16"/>
      <c r="I1555" s="14"/>
    </row>
    <row r="1556">
      <c r="A1556" s="14">
        <v>571.0</v>
      </c>
      <c r="B1556" s="14">
        <v>4.8163617E7</v>
      </c>
      <c r="C1556" s="14">
        <v>1.96353036E8</v>
      </c>
      <c r="D1556" s="2" t="s">
        <v>3097</v>
      </c>
      <c r="E1556" s="1" t="s">
        <v>107</v>
      </c>
      <c r="F1556" s="14">
        <v>0.6486</v>
      </c>
      <c r="G1556" s="15"/>
      <c r="H1556" s="16"/>
      <c r="I1556" s="14"/>
    </row>
    <row r="1557">
      <c r="A1557" s="14">
        <v>394.0</v>
      </c>
      <c r="B1557" s="14">
        <v>4.8336256E7</v>
      </c>
      <c r="C1557" s="14">
        <v>1.90988106E8</v>
      </c>
      <c r="D1557" s="2" t="s">
        <v>3089</v>
      </c>
      <c r="E1557" s="1" t="s">
        <v>107</v>
      </c>
      <c r="F1557" s="14">
        <v>0.6486</v>
      </c>
      <c r="G1557" s="15"/>
      <c r="H1557" s="16"/>
      <c r="I1557" s="14"/>
    </row>
    <row r="1558">
      <c r="A1558" s="14">
        <v>571.0</v>
      </c>
      <c r="B1558" s="14">
        <v>7.7735585E7</v>
      </c>
      <c r="C1558" s="14">
        <v>3.23432706E8</v>
      </c>
      <c r="D1558" s="2" t="s">
        <v>1885</v>
      </c>
      <c r="E1558" s="1" t="s">
        <v>107</v>
      </c>
      <c r="F1558" s="14">
        <v>0.6486</v>
      </c>
      <c r="G1558" s="15"/>
      <c r="H1558" s="16"/>
      <c r="I1558" s="14"/>
    </row>
    <row r="1559">
      <c r="A1559" s="14">
        <v>602.0</v>
      </c>
      <c r="B1559" s="14">
        <v>8.3529395E7</v>
      </c>
      <c r="C1559" s="14">
        <v>3.5072409E8</v>
      </c>
      <c r="D1559" s="2" t="s">
        <v>1547</v>
      </c>
      <c r="E1559" s="1" t="s">
        <v>107</v>
      </c>
      <c r="F1559" s="14">
        <v>0.6486</v>
      </c>
      <c r="G1559" s="15"/>
      <c r="H1559" s="16"/>
      <c r="I1559" s="14"/>
    </row>
    <row r="1560">
      <c r="A1560" s="14">
        <v>654.0</v>
      </c>
      <c r="B1560" s="14">
        <v>8.6051601E7</v>
      </c>
      <c r="C1560" s="14">
        <v>3.63204475E8</v>
      </c>
      <c r="D1560" s="2" t="s">
        <v>1364</v>
      </c>
      <c r="E1560" s="1" t="s">
        <v>107</v>
      </c>
      <c r="F1560" s="14">
        <v>0.6486</v>
      </c>
      <c r="G1560" s="15"/>
      <c r="H1560" s="16"/>
      <c r="I1560" s="14"/>
    </row>
    <row r="1561">
      <c r="A1561" s="14">
        <v>256.0</v>
      </c>
      <c r="B1561" s="14">
        <v>8.6181481E7</v>
      </c>
      <c r="C1561" s="14">
        <v>3.63697318E8</v>
      </c>
      <c r="D1561" s="2" t="s">
        <v>1353</v>
      </c>
      <c r="E1561" s="1" t="s">
        <v>107</v>
      </c>
      <c r="F1561" s="14">
        <v>0.6486</v>
      </c>
      <c r="G1561" s="15"/>
      <c r="H1561" s="16"/>
      <c r="I1561" s="14"/>
    </row>
    <row r="1562">
      <c r="A1562" s="14">
        <v>353.0</v>
      </c>
      <c r="B1562" s="14">
        <v>7.100951E7</v>
      </c>
      <c r="C1562" s="14">
        <v>2.92962124E8</v>
      </c>
      <c r="D1562" s="2" t="s">
        <v>2170</v>
      </c>
      <c r="E1562" s="1" t="s">
        <v>699</v>
      </c>
      <c r="F1562" s="14">
        <v>0.6486</v>
      </c>
      <c r="G1562" s="15"/>
      <c r="H1562" s="16"/>
      <c r="I1562" s="14"/>
    </row>
    <row r="1563">
      <c r="A1563" s="14">
        <v>215.0</v>
      </c>
      <c r="B1563" s="14">
        <v>7.5426274E7</v>
      </c>
      <c r="C1563" s="14">
        <v>3.12732756E8</v>
      </c>
      <c r="D1563" s="2" t="s">
        <v>2001</v>
      </c>
      <c r="E1563" s="1" t="s">
        <v>699</v>
      </c>
      <c r="F1563" s="14">
        <v>0.6486</v>
      </c>
      <c r="G1563" s="15"/>
      <c r="H1563" s="16"/>
      <c r="I1563" s="14"/>
    </row>
    <row r="1564">
      <c r="A1564" s="14">
        <v>597.0</v>
      </c>
      <c r="B1564" s="14">
        <v>9.3032563E7</v>
      </c>
      <c r="C1564" s="14">
        <v>3.94949765E8</v>
      </c>
      <c r="D1564" s="2" t="s">
        <v>981</v>
      </c>
      <c r="E1564" s="1" t="s">
        <v>699</v>
      </c>
      <c r="F1564" s="14">
        <v>0.6486</v>
      </c>
      <c r="G1564" s="15"/>
      <c r="H1564" s="16"/>
      <c r="I1564" s="14"/>
    </row>
    <row r="1565">
      <c r="A1565" s="14">
        <v>120.0</v>
      </c>
      <c r="B1565" s="14">
        <v>1.247235E7</v>
      </c>
      <c r="C1565" s="14">
        <v>5.293853E7</v>
      </c>
      <c r="D1565" s="2" t="s">
        <v>3714</v>
      </c>
      <c r="E1565" s="1" t="s">
        <v>121</v>
      </c>
      <c r="F1565" s="14">
        <v>0.6486</v>
      </c>
      <c r="G1565" s="15"/>
      <c r="H1565" s="16"/>
      <c r="I1565" s="14"/>
    </row>
    <row r="1566">
      <c r="A1566" s="14">
        <v>664.0</v>
      </c>
      <c r="B1566" s="14">
        <v>1.4035855E7</v>
      </c>
      <c r="C1566" s="14">
        <v>5.9679223E7</v>
      </c>
      <c r="D1566" s="2" t="s">
        <v>3715</v>
      </c>
      <c r="E1566" s="1" t="s">
        <v>121</v>
      </c>
      <c r="F1566" s="14">
        <v>0.6486</v>
      </c>
      <c r="G1566" s="15"/>
      <c r="H1566" s="16"/>
      <c r="I1566" s="14"/>
    </row>
    <row r="1567">
      <c r="A1567" s="14">
        <v>696.0</v>
      </c>
      <c r="B1567" s="14">
        <v>5.4845578E7</v>
      </c>
      <c r="C1567" s="14">
        <v>2.17676547E8</v>
      </c>
      <c r="D1567" s="2" t="s">
        <v>2846</v>
      </c>
      <c r="E1567" s="1" t="s">
        <v>121</v>
      </c>
      <c r="F1567" s="14">
        <v>0.6486</v>
      </c>
      <c r="G1567" s="15"/>
      <c r="H1567" s="16"/>
      <c r="I1567" s="14"/>
    </row>
    <row r="1568">
      <c r="A1568" s="14">
        <v>609.0</v>
      </c>
      <c r="B1568" s="14">
        <v>4162898.0</v>
      </c>
      <c r="C1568" s="14">
        <v>1.7637029E7</v>
      </c>
      <c r="D1568" s="2" t="s">
        <v>3719</v>
      </c>
      <c r="E1568" s="1" t="s">
        <v>121</v>
      </c>
      <c r="F1568" s="14">
        <v>0.6478</v>
      </c>
      <c r="G1568" s="15"/>
      <c r="H1568" s="16"/>
      <c r="I1568" s="14"/>
    </row>
    <row r="1569">
      <c r="A1569" s="14">
        <v>213.0</v>
      </c>
      <c r="B1569" s="14">
        <v>9311851.0</v>
      </c>
      <c r="C1569" s="14">
        <v>3.9522134E7</v>
      </c>
      <c r="D1569" s="2" t="s">
        <v>3722</v>
      </c>
      <c r="E1569" s="1" t="s">
        <v>121</v>
      </c>
      <c r="F1569" s="14">
        <v>0.6478</v>
      </c>
      <c r="G1569" s="15"/>
      <c r="H1569" s="16"/>
      <c r="I1569" s="14"/>
    </row>
    <row r="1570">
      <c r="A1570" s="14">
        <v>394.0</v>
      </c>
      <c r="B1570" s="14">
        <v>1.273744E7</v>
      </c>
      <c r="C1570" s="14">
        <v>7.3496173E7</v>
      </c>
      <c r="D1570" s="2" t="s">
        <v>3724</v>
      </c>
      <c r="E1570" s="1" t="s">
        <v>107</v>
      </c>
      <c r="F1570" s="14">
        <v>0.6476</v>
      </c>
      <c r="G1570" s="15"/>
      <c r="H1570" s="16"/>
      <c r="I1570" s="14"/>
    </row>
    <row r="1571">
      <c r="A1571" s="14">
        <v>173.0</v>
      </c>
      <c r="B1571" s="14">
        <v>8.6240255E7</v>
      </c>
      <c r="C1571" s="14">
        <v>3.64984431E8</v>
      </c>
      <c r="D1571" s="2" t="s">
        <v>1348</v>
      </c>
      <c r="E1571" s="1" t="s">
        <v>107</v>
      </c>
      <c r="F1571" s="14">
        <v>0.6476</v>
      </c>
      <c r="G1571" s="15"/>
      <c r="H1571" s="16"/>
      <c r="I1571" s="14"/>
    </row>
    <row r="1572">
      <c r="A1572" s="14">
        <v>355.0</v>
      </c>
      <c r="B1572" s="14">
        <v>3.0442677E7</v>
      </c>
      <c r="C1572" s="14">
        <v>1.22022805E8</v>
      </c>
      <c r="D1572" s="2" t="s">
        <v>3571</v>
      </c>
      <c r="E1572" s="1" t="s">
        <v>699</v>
      </c>
      <c r="F1572" s="14">
        <v>0.6476</v>
      </c>
      <c r="G1572" s="15"/>
      <c r="H1572" s="16"/>
      <c r="I1572" s="14"/>
    </row>
    <row r="1573">
      <c r="A1573" s="14">
        <v>173.0</v>
      </c>
      <c r="B1573" s="14">
        <v>7.2082526E7</v>
      </c>
      <c r="C1573" s="14">
        <v>2.97690937E8</v>
      </c>
      <c r="D1573" s="2" t="s">
        <v>2128</v>
      </c>
      <c r="E1573" s="1" t="s">
        <v>699</v>
      </c>
      <c r="F1573" s="14">
        <v>0.6476</v>
      </c>
      <c r="G1573" s="15"/>
      <c r="H1573" s="16"/>
      <c r="I1573" s="14"/>
    </row>
    <row r="1574">
      <c r="A1574" s="14">
        <v>455.0</v>
      </c>
      <c r="B1574" s="14">
        <v>9.3372831E7</v>
      </c>
      <c r="C1574" s="14">
        <v>3.96367937E8</v>
      </c>
      <c r="D1574" s="2" t="s">
        <v>967</v>
      </c>
      <c r="E1574" s="1" t="s">
        <v>107</v>
      </c>
      <c r="F1574" s="14">
        <v>0.6461</v>
      </c>
      <c r="G1574" s="15"/>
      <c r="H1574" s="16"/>
      <c r="I1574" s="14"/>
    </row>
    <row r="1575">
      <c r="A1575" s="14">
        <v>671.0</v>
      </c>
      <c r="B1575" s="14">
        <v>1.05061872E8</v>
      </c>
      <c r="C1575" s="14">
        <v>4.52770383E8</v>
      </c>
      <c r="D1575" s="2" t="s">
        <v>346</v>
      </c>
      <c r="E1575" s="1" t="s">
        <v>699</v>
      </c>
      <c r="F1575" s="14">
        <v>0.6461</v>
      </c>
      <c r="G1575" s="15"/>
      <c r="H1575" s="16"/>
      <c r="I1575" s="14"/>
    </row>
    <row r="1576">
      <c r="A1576" s="14">
        <v>392.0</v>
      </c>
      <c r="B1576" s="14">
        <v>4.4141609E7</v>
      </c>
      <c r="C1576" s="14">
        <v>1.74451607E8</v>
      </c>
      <c r="D1576" s="2" t="s">
        <v>3264</v>
      </c>
      <c r="E1576" s="1" t="s">
        <v>107</v>
      </c>
      <c r="F1576" s="14">
        <v>0.6458</v>
      </c>
      <c r="G1576" s="15"/>
      <c r="H1576" s="16"/>
      <c r="I1576" s="14"/>
    </row>
    <row r="1577">
      <c r="A1577" s="14">
        <v>380.0</v>
      </c>
      <c r="B1577" s="14">
        <v>1.0720493E7</v>
      </c>
      <c r="C1577" s="14">
        <v>4.5559503E7</v>
      </c>
      <c r="D1577" s="2" t="s">
        <v>3735</v>
      </c>
      <c r="E1577" s="1" t="s">
        <v>699</v>
      </c>
      <c r="F1577" s="14">
        <v>0.6452</v>
      </c>
      <c r="G1577" s="15"/>
      <c r="H1577" s="16"/>
      <c r="I1577" s="14"/>
    </row>
    <row r="1578">
      <c r="A1578" s="14">
        <v>671.0</v>
      </c>
      <c r="B1578" s="14">
        <v>4.6585963E7</v>
      </c>
      <c r="C1578" s="14">
        <v>1.84079283E8</v>
      </c>
      <c r="D1578" s="2" t="s">
        <v>3181</v>
      </c>
      <c r="E1578" s="1" t="s">
        <v>699</v>
      </c>
      <c r="F1578" s="14">
        <v>0.6426</v>
      </c>
      <c r="G1578" s="15"/>
      <c r="H1578" s="16"/>
      <c r="I1578" s="14"/>
    </row>
    <row r="1579">
      <c r="A1579" s="14">
        <v>671.0</v>
      </c>
      <c r="B1579" s="14">
        <v>4.7183293E7</v>
      </c>
      <c r="C1579" s="14">
        <v>1.86292017E8</v>
      </c>
      <c r="D1579" s="2" t="s">
        <v>3145</v>
      </c>
      <c r="E1579" s="1" t="s">
        <v>699</v>
      </c>
      <c r="F1579" s="14">
        <v>0.6424</v>
      </c>
      <c r="G1579" s="15"/>
      <c r="H1579" s="16"/>
      <c r="I1579" s="14"/>
    </row>
    <row r="1580">
      <c r="A1580" s="14">
        <v>337.0</v>
      </c>
      <c r="B1580" s="14">
        <v>8055826.0</v>
      </c>
      <c r="C1580" s="14">
        <v>3.4171115E7</v>
      </c>
      <c r="D1580" s="2" t="s">
        <v>3740</v>
      </c>
      <c r="E1580" s="1" t="s">
        <v>121</v>
      </c>
      <c r="F1580" s="14">
        <v>0.6407</v>
      </c>
      <c r="G1580" s="15"/>
      <c r="H1580" s="16"/>
      <c r="I1580" s="14"/>
    </row>
    <row r="1581">
      <c r="A1581" s="14">
        <v>571.0</v>
      </c>
      <c r="B1581" s="14">
        <v>8711244.0</v>
      </c>
      <c r="C1581" s="14">
        <v>3.6845174E7</v>
      </c>
      <c r="D1581" s="2" t="s">
        <v>3742</v>
      </c>
      <c r="E1581" s="1" t="s">
        <v>121</v>
      </c>
      <c r="F1581" s="14">
        <v>0.6402</v>
      </c>
      <c r="G1581" s="15"/>
      <c r="H1581" s="16"/>
      <c r="I1581" s="14"/>
    </row>
    <row r="1582">
      <c r="A1582" s="14">
        <v>378.0</v>
      </c>
      <c r="B1582" s="14">
        <v>2540259.0</v>
      </c>
      <c r="C1582" s="14">
        <v>1.0736818E7</v>
      </c>
      <c r="D1582" s="2" t="s">
        <v>3744</v>
      </c>
      <c r="E1582" s="1" t="s">
        <v>699</v>
      </c>
      <c r="F1582" s="14">
        <v>0.639</v>
      </c>
      <c r="G1582" s="15"/>
      <c r="H1582" s="16"/>
      <c r="I1582" s="14"/>
    </row>
    <row r="1583">
      <c r="A1583" s="14">
        <v>644.0</v>
      </c>
      <c r="B1583" s="14">
        <v>4925009.0</v>
      </c>
      <c r="C1583" s="14">
        <v>2.0952176E7</v>
      </c>
      <c r="D1583" s="2" t="s">
        <v>3746</v>
      </c>
      <c r="E1583" s="1" t="s">
        <v>121</v>
      </c>
      <c r="F1583" s="14">
        <v>0.6384</v>
      </c>
      <c r="G1583" s="15"/>
      <c r="H1583" s="16"/>
      <c r="I1583" s="14"/>
    </row>
    <row r="1584">
      <c r="A1584" s="14">
        <v>571.0</v>
      </c>
      <c r="B1584" s="14">
        <v>2788658.0</v>
      </c>
      <c r="C1584" s="14">
        <v>1.1826736E7</v>
      </c>
      <c r="D1584" s="2" t="s">
        <v>3748</v>
      </c>
      <c r="E1584" s="1" t="s">
        <v>121</v>
      </c>
      <c r="F1584" s="14">
        <v>0.6381</v>
      </c>
      <c r="G1584" s="15"/>
      <c r="H1584" s="16"/>
      <c r="I1584" s="14"/>
    </row>
    <row r="1585">
      <c r="A1585" s="14">
        <v>609.0</v>
      </c>
      <c r="B1585" s="14">
        <v>4319522.0</v>
      </c>
      <c r="C1585" s="14">
        <v>1.8320351E7</v>
      </c>
      <c r="D1585" s="2" t="s">
        <v>3751</v>
      </c>
      <c r="E1585" s="1" t="s">
        <v>107</v>
      </c>
      <c r="F1585" s="14">
        <v>0.6369</v>
      </c>
      <c r="G1585" s="15"/>
      <c r="H1585" s="16"/>
      <c r="I1585" s="14"/>
    </row>
    <row r="1586">
      <c r="A1586" s="14">
        <v>6.0</v>
      </c>
      <c r="B1586" s="14">
        <v>4593524.0</v>
      </c>
      <c r="C1586" s="14">
        <v>1.9506563E7</v>
      </c>
      <c r="D1586" s="2" t="s">
        <v>3754</v>
      </c>
      <c r="E1586" s="1" t="s">
        <v>107</v>
      </c>
      <c r="F1586" s="14">
        <v>0.6369</v>
      </c>
      <c r="G1586" s="15"/>
      <c r="H1586" s="16"/>
      <c r="I1586" s="14"/>
    </row>
    <row r="1587">
      <c r="A1587" s="14">
        <v>285.0</v>
      </c>
      <c r="B1587" s="14">
        <v>4728310.0</v>
      </c>
      <c r="C1587" s="14">
        <v>2.0085105E7</v>
      </c>
      <c r="D1587" s="2" t="s">
        <v>3757</v>
      </c>
      <c r="E1587" s="1" t="s">
        <v>107</v>
      </c>
      <c r="F1587" s="14">
        <v>0.6369</v>
      </c>
      <c r="G1587" s="15"/>
      <c r="H1587" s="16"/>
      <c r="I1587" s="14"/>
    </row>
    <row r="1588">
      <c r="A1588" s="14">
        <v>353.0</v>
      </c>
      <c r="B1588" s="14">
        <v>8777224.0</v>
      </c>
      <c r="C1588" s="14">
        <v>3.7196986E7</v>
      </c>
      <c r="D1588" s="2" t="s">
        <v>3759</v>
      </c>
      <c r="E1588" s="1" t="s">
        <v>107</v>
      </c>
      <c r="F1588" s="14">
        <v>0.6369</v>
      </c>
      <c r="G1588" s="15"/>
      <c r="H1588" s="16"/>
      <c r="I1588" s="14"/>
    </row>
    <row r="1589">
      <c r="A1589" s="14">
        <v>243.0</v>
      </c>
      <c r="B1589" s="14">
        <v>1.3218848E7</v>
      </c>
      <c r="C1589" s="14">
        <v>5.6086594E7</v>
      </c>
      <c r="D1589" s="2" t="s">
        <v>3762</v>
      </c>
      <c r="E1589" s="1" t="s">
        <v>107</v>
      </c>
      <c r="F1589" s="14">
        <v>0.6369</v>
      </c>
      <c r="G1589" s="15"/>
      <c r="H1589" s="16"/>
      <c r="I1589" s="14"/>
    </row>
    <row r="1590">
      <c r="A1590" s="14">
        <v>601.0</v>
      </c>
      <c r="B1590" s="14">
        <v>1.8985402E7</v>
      </c>
      <c r="C1590" s="14">
        <v>7.9554419E7</v>
      </c>
      <c r="D1590" s="2" t="s">
        <v>3764</v>
      </c>
      <c r="E1590" s="1" t="s">
        <v>107</v>
      </c>
      <c r="F1590" s="14">
        <v>0.6369</v>
      </c>
      <c r="G1590" s="15"/>
      <c r="H1590" s="16"/>
      <c r="I1590" s="14"/>
    </row>
    <row r="1591">
      <c r="A1591" s="14">
        <v>593.0</v>
      </c>
      <c r="B1591" s="14">
        <v>3.5333498E7</v>
      </c>
      <c r="C1591" s="14">
        <v>1.82654357E8</v>
      </c>
      <c r="D1591" s="2" t="s">
        <v>3479</v>
      </c>
      <c r="E1591" s="1" t="s">
        <v>107</v>
      </c>
      <c r="F1591" s="14">
        <v>0.6369</v>
      </c>
      <c r="G1591" s="15"/>
      <c r="H1591" s="16"/>
      <c r="I1591" s="14"/>
    </row>
    <row r="1592">
      <c r="A1592" s="14">
        <v>671.0</v>
      </c>
      <c r="B1592" s="14">
        <v>3.6217367E7</v>
      </c>
      <c r="C1592" s="14">
        <v>4.09222406E8</v>
      </c>
      <c r="D1592" s="2" t="s">
        <v>3464</v>
      </c>
      <c r="E1592" s="1" t="s">
        <v>107</v>
      </c>
      <c r="F1592" s="14">
        <v>0.6369</v>
      </c>
      <c r="G1592" s="15"/>
      <c r="H1592" s="16"/>
      <c r="I1592" s="14"/>
    </row>
    <row r="1593">
      <c r="A1593" s="14">
        <v>410.0</v>
      </c>
      <c r="B1593" s="14">
        <v>5.7953341E7</v>
      </c>
      <c r="C1593" s="14">
        <v>2.30991168E8</v>
      </c>
      <c r="D1593" s="2" t="s">
        <v>2756</v>
      </c>
      <c r="E1593" s="1" t="s">
        <v>107</v>
      </c>
      <c r="F1593" s="14">
        <v>0.6369</v>
      </c>
      <c r="G1593" s="15"/>
      <c r="H1593" s="16"/>
      <c r="I1593" s="14"/>
    </row>
    <row r="1594">
      <c r="A1594" s="14">
        <v>571.0</v>
      </c>
      <c r="B1594" s="14">
        <v>6.5703215E7</v>
      </c>
      <c r="C1594" s="14">
        <v>2.67957124E8</v>
      </c>
      <c r="D1594" s="2" t="s">
        <v>2457</v>
      </c>
      <c r="E1594" s="1" t="s">
        <v>107</v>
      </c>
      <c r="F1594" s="14">
        <v>0.6369</v>
      </c>
      <c r="G1594" s="15"/>
      <c r="H1594" s="16"/>
      <c r="I1594" s="14"/>
    </row>
    <row r="1595">
      <c r="A1595" s="14">
        <v>671.0</v>
      </c>
      <c r="B1595" s="14">
        <v>7.221705E7</v>
      </c>
      <c r="C1595" s="14">
        <v>2.98358473E8</v>
      </c>
      <c r="D1595" s="2" t="s">
        <v>2119</v>
      </c>
      <c r="E1595" s="1" t="s">
        <v>107</v>
      </c>
      <c r="F1595" s="14">
        <v>0.6369</v>
      </c>
      <c r="G1595" s="15"/>
      <c r="H1595" s="16"/>
      <c r="I1595" s="14"/>
    </row>
    <row r="1596">
      <c r="A1596" s="14">
        <v>571.0</v>
      </c>
      <c r="B1596" s="14">
        <v>8.4510111E7</v>
      </c>
      <c r="C1596" s="14">
        <v>3.55524723E8</v>
      </c>
      <c r="D1596" s="2" t="s">
        <v>1465</v>
      </c>
      <c r="E1596" s="1" t="s">
        <v>107</v>
      </c>
      <c r="F1596" s="14">
        <v>0.6369</v>
      </c>
      <c r="G1596" s="15"/>
      <c r="H1596" s="16"/>
      <c r="I1596" s="14"/>
    </row>
    <row r="1597">
      <c r="A1597" s="14">
        <v>609.0</v>
      </c>
      <c r="B1597" s="14">
        <v>4389370.0</v>
      </c>
      <c r="C1597" s="14">
        <v>1.8717054E7</v>
      </c>
      <c r="D1597" s="2" t="s">
        <v>3773</v>
      </c>
      <c r="E1597" s="1" t="s">
        <v>699</v>
      </c>
      <c r="F1597" s="14">
        <v>0.6369</v>
      </c>
      <c r="G1597" s="15"/>
      <c r="H1597" s="16"/>
      <c r="I1597" s="14"/>
    </row>
    <row r="1598">
      <c r="A1598" s="14">
        <v>601.0</v>
      </c>
      <c r="B1598" s="14">
        <v>8563434.0</v>
      </c>
      <c r="C1598" s="14">
        <v>3.6328241E7</v>
      </c>
      <c r="D1598" s="2" t="s">
        <v>3775</v>
      </c>
      <c r="E1598" s="1" t="s">
        <v>699</v>
      </c>
      <c r="F1598" s="14">
        <v>0.6369</v>
      </c>
      <c r="G1598" s="15"/>
      <c r="H1598" s="16"/>
      <c r="I1598" s="14"/>
    </row>
    <row r="1599">
      <c r="A1599" s="14">
        <v>120.0</v>
      </c>
      <c r="B1599" s="14">
        <v>1.2241941E7</v>
      </c>
      <c r="C1599" s="14">
        <v>5.1972354E7</v>
      </c>
      <c r="D1599" s="2" t="s">
        <v>3777</v>
      </c>
      <c r="E1599" s="1" t="s">
        <v>699</v>
      </c>
      <c r="F1599" s="14">
        <v>0.6369</v>
      </c>
      <c r="G1599" s="15"/>
      <c r="H1599" s="16"/>
      <c r="I1599" s="14"/>
    </row>
    <row r="1600">
      <c r="A1600" s="14">
        <v>120.0</v>
      </c>
      <c r="B1600" s="14">
        <v>2.238182E7</v>
      </c>
      <c r="C1600" s="14">
        <v>9.233508E7</v>
      </c>
      <c r="D1600" s="2" t="s">
        <v>3780</v>
      </c>
      <c r="E1600" s="1" t="s">
        <v>699</v>
      </c>
      <c r="F1600" s="14">
        <v>0.6369</v>
      </c>
      <c r="G1600" s="15"/>
      <c r="H1600" s="16"/>
      <c r="I1600" s="14"/>
    </row>
    <row r="1601">
      <c r="A1601" s="14">
        <v>353.0</v>
      </c>
      <c r="B1601" s="14">
        <v>3.7020578E7</v>
      </c>
      <c r="C1601" s="14">
        <v>1.47499147E8</v>
      </c>
      <c r="D1601" s="2" t="s">
        <v>3445</v>
      </c>
      <c r="E1601" s="1" t="s">
        <v>699</v>
      </c>
      <c r="F1601" s="14">
        <v>0.6369</v>
      </c>
      <c r="G1601" s="15"/>
      <c r="H1601" s="16"/>
      <c r="I1601" s="14"/>
    </row>
    <row r="1602">
      <c r="A1602" s="14">
        <v>414.0</v>
      </c>
      <c r="B1602" s="14">
        <v>5.2223747E7</v>
      </c>
      <c r="C1602" s="14">
        <v>2.06956168E8</v>
      </c>
      <c r="D1602" s="2" t="s">
        <v>2936</v>
      </c>
      <c r="E1602" s="1" t="s">
        <v>699</v>
      </c>
      <c r="F1602" s="14">
        <v>0.6369</v>
      </c>
      <c r="G1602" s="15"/>
      <c r="H1602" s="16"/>
      <c r="I1602" s="14"/>
    </row>
    <row r="1603">
      <c r="A1603" s="14">
        <v>398.0</v>
      </c>
      <c r="B1603" s="14">
        <v>5.2410112E7</v>
      </c>
      <c r="C1603" s="14">
        <v>2.07882439E8</v>
      </c>
      <c r="D1603" s="2" t="s">
        <v>2930</v>
      </c>
      <c r="E1603" s="1" t="s">
        <v>699</v>
      </c>
      <c r="F1603" s="14">
        <v>0.6369</v>
      </c>
      <c r="G1603" s="15"/>
      <c r="H1603" s="16"/>
      <c r="I1603" s="14"/>
    </row>
    <row r="1604">
      <c r="A1604" s="14">
        <v>610.0</v>
      </c>
      <c r="B1604" s="14">
        <v>5.2418801E7</v>
      </c>
      <c r="C1604" s="14">
        <v>2.08260343E8</v>
      </c>
      <c r="D1604" s="2" t="s">
        <v>2929</v>
      </c>
      <c r="E1604" s="1" t="s">
        <v>699</v>
      </c>
      <c r="F1604" s="14">
        <v>0.6369</v>
      </c>
      <c r="G1604" s="15"/>
      <c r="H1604" s="16"/>
      <c r="I1604" s="14"/>
    </row>
    <row r="1605">
      <c r="A1605" s="14">
        <v>578.0</v>
      </c>
      <c r="B1605" s="14">
        <v>5.4396895E7</v>
      </c>
      <c r="C1605" s="14">
        <v>2.15774275E8</v>
      </c>
      <c r="D1605" s="2" t="s">
        <v>2865</v>
      </c>
      <c r="E1605" s="1" t="s">
        <v>699</v>
      </c>
      <c r="F1605" s="14">
        <v>0.6369</v>
      </c>
      <c r="G1605" s="15"/>
      <c r="H1605" s="16"/>
      <c r="I1605" s="14"/>
    </row>
    <row r="1606">
      <c r="A1606" s="14">
        <v>173.0</v>
      </c>
      <c r="B1606" s="14">
        <v>5.9349455E7</v>
      </c>
      <c r="C1606" s="14">
        <v>2.37608011E8</v>
      </c>
      <c r="D1606" s="2" t="s">
        <v>2714</v>
      </c>
      <c r="E1606" s="1" t="s">
        <v>699</v>
      </c>
      <c r="F1606" s="14">
        <v>0.6369</v>
      </c>
      <c r="G1606" s="15"/>
      <c r="H1606" s="16"/>
      <c r="I1606" s="14"/>
    </row>
    <row r="1607">
      <c r="A1607" s="14">
        <v>504.0</v>
      </c>
      <c r="B1607" s="14">
        <v>6.8366009E7</v>
      </c>
      <c r="C1607" s="14">
        <v>2.81223979E8</v>
      </c>
      <c r="D1607" s="2" t="s">
        <v>2321</v>
      </c>
      <c r="E1607" s="1" t="s">
        <v>699</v>
      </c>
      <c r="F1607" s="14">
        <v>0.6369</v>
      </c>
      <c r="G1607" s="15"/>
      <c r="H1607" s="16"/>
      <c r="I1607" s="14"/>
    </row>
    <row r="1608">
      <c r="A1608" s="14">
        <v>671.0</v>
      </c>
      <c r="B1608" s="14">
        <v>7.351772E7</v>
      </c>
      <c r="C1608" s="14">
        <v>3.04148445E8</v>
      </c>
      <c r="D1608" s="2" t="s">
        <v>2076</v>
      </c>
      <c r="E1608" s="1" t="s">
        <v>699</v>
      </c>
      <c r="F1608" s="14">
        <v>0.6369</v>
      </c>
      <c r="G1608" s="15"/>
      <c r="H1608" s="16"/>
      <c r="I1608" s="14"/>
    </row>
    <row r="1609">
      <c r="A1609" s="14">
        <v>578.0</v>
      </c>
      <c r="B1609" s="14">
        <v>7.5335919E7</v>
      </c>
      <c r="C1609" s="14">
        <v>3.42650981E8</v>
      </c>
      <c r="D1609" s="2" t="s">
        <v>2004</v>
      </c>
      <c r="E1609" s="1" t="s">
        <v>699</v>
      </c>
      <c r="F1609" s="14">
        <v>0.6369</v>
      </c>
      <c r="G1609" s="15"/>
      <c r="H1609" s="16"/>
      <c r="I1609" s="14"/>
    </row>
    <row r="1610">
      <c r="A1610" s="14">
        <v>380.0</v>
      </c>
      <c r="B1610" s="14">
        <v>8.3491215E7</v>
      </c>
      <c r="C1610" s="14">
        <v>3.50706512E8</v>
      </c>
      <c r="D1610" s="2" t="s">
        <v>1551</v>
      </c>
      <c r="E1610" s="1" t="s">
        <v>699</v>
      </c>
      <c r="F1610" s="14">
        <v>0.6369</v>
      </c>
      <c r="G1610" s="15"/>
      <c r="H1610" s="16"/>
      <c r="I1610" s="14"/>
    </row>
    <row r="1611">
      <c r="A1611" s="14">
        <v>696.0</v>
      </c>
      <c r="B1611" s="14">
        <v>8.537431E7</v>
      </c>
      <c r="C1611" s="14">
        <v>3.59540328E8</v>
      </c>
      <c r="D1611" s="2" t="s">
        <v>1401</v>
      </c>
      <c r="E1611" s="1" t="s">
        <v>699</v>
      </c>
      <c r="F1611" s="14">
        <v>0.6369</v>
      </c>
      <c r="G1611" s="15"/>
      <c r="H1611" s="16"/>
      <c r="I1611" s="14"/>
    </row>
    <row r="1612">
      <c r="A1612" s="14">
        <v>392.0</v>
      </c>
      <c r="B1612" s="14">
        <v>9.6890934E7</v>
      </c>
      <c r="C1612" s="14">
        <v>4.13765808E8</v>
      </c>
      <c r="D1612" s="2" t="s">
        <v>769</v>
      </c>
      <c r="E1612" s="1" t="s">
        <v>699</v>
      </c>
      <c r="F1612" s="14">
        <v>0.6369</v>
      </c>
      <c r="G1612" s="15"/>
      <c r="H1612" s="16"/>
      <c r="I1612" s="14"/>
    </row>
    <row r="1613">
      <c r="A1613" s="14">
        <v>414.0</v>
      </c>
      <c r="B1613" s="14">
        <v>1.05004501E8</v>
      </c>
      <c r="C1613" s="14">
        <v>4.52670212E8</v>
      </c>
      <c r="D1613" s="2" t="s">
        <v>348</v>
      </c>
      <c r="E1613" s="1" t="s">
        <v>699</v>
      </c>
      <c r="F1613" s="14">
        <v>0.6369</v>
      </c>
      <c r="G1613" s="15"/>
      <c r="H1613" s="16"/>
      <c r="I1613" s="14"/>
    </row>
    <row r="1614">
      <c r="A1614" s="14">
        <v>671.0</v>
      </c>
      <c r="B1614" s="14">
        <v>4712346.0</v>
      </c>
      <c r="C1614" s="14">
        <v>1.9984577E7</v>
      </c>
      <c r="D1614" s="2" t="s">
        <v>3805</v>
      </c>
      <c r="E1614" s="1" t="s">
        <v>121</v>
      </c>
      <c r="F1614" s="14">
        <v>0.6369</v>
      </c>
      <c r="G1614" s="15"/>
      <c r="H1614" s="16"/>
      <c r="I1614" s="14"/>
    </row>
    <row r="1615">
      <c r="A1615" s="14">
        <v>244.0</v>
      </c>
      <c r="B1615" s="14">
        <v>1.2653598E7</v>
      </c>
      <c r="C1615" s="14">
        <v>5.3841726E7</v>
      </c>
      <c r="D1615" s="2" t="s">
        <v>3806</v>
      </c>
      <c r="E1615" s="1" t="s">
        <v>121</v>
      </c>
      <c r="F1615" s="14">
        <v>0.6369</v>
      </c>
      <c r="G1615" s="15"/>
      <c r="H1615" s="16"/>
      <c r="I1615" s="14"/>
    </row>
    <row r="1616">
      <c r="A1616" s="14">
        <v>570.0</v>
      </c>
      <c r="B1616" s="14">
        <v>4.4982193E7</v>
      </c>
      <c r="C1616" s="14">
        <v>1.77663513E8</v>
      </c>
      <c r="D1616" s="2" t="s">
        <v>3246</v>
      </c>
      <c r="E1616" s="1" t="s">
        <v>121</v>
      </c>
      <c r="F1616" s="14">
        <v>0.6369</v>
      </c>
      <c r="G1616" s="15"/>
      <c r="H1616" s="16"/>
      <c r="I1616" s="14"/>
    </row>
    <row r="1617">
      <c r="A1617" s="14">
        <v>379.0</v>
      </c>
      <c r="B1617" s="14">
        <v>5.1217379E7</v>
      </c>
      <c r="C1617" s="14">
        <v>2.03001448E8</v>
      </c>
      <c r="D1617" s="2" t="s">
        <v>2978</v>
      </c>
      <c r="E1617" s="1" t="s">
        <v>121</v>
      </c>
      <c r="F1617" s="14">
        <v>0.6369</v>
      </c>
      <c r="G1617" s="15"/>
      <c r="H1617" s="16"/>
      <c r="I1617" s="14"/>
    </row>
    <row r="1618">
      <c r="A1618" s="14">
        <v>355.0</v>
      </c>
      <c r="B1618" s="14">
        <v>6.4741197E7</v>
      </c>
      <c r="C1618" s="14">
        <v>2.63482481E8</v>
      </c>
      <c r="D1618" s="2" t="s">
        <v>2498</v>
      </c>
      <c r="E1618" s="1" t="s">
        <v>121</v>
      </c>
      <c r="F1618" s="14">
        <v>0.6369</v>
      </c>
      <c r="G1618" s="15"/>
      <c r="H1618" s="16"/>
      <c r="I1618" s="14"/>
    </row>
    <row r="1619">
      <c r="A1619" s="14">
        <v>455.0</v>
      </c>
      <c r="B1619" s="14">
        <v>8.3859898E7</v>
      </c>
      <c r="C1619" s="14">
        <v>3.52439152E8</v>
      </c>
      <c r="D1619" s="2" t="s">
        <v>1519</v>
      </c>
      <c r="E1619" s="1" t="s">
        <v>107</v>
      </c>
      <c r="F1619" s="14">
        <v>0.6361</v>
      </c>
      <c r="G1619" s="15"/>
      <c r="H1619" s="16"/>
      <c r="I1619" s="14"/>
    </row>
    <row r="1620">
      <c r="A1620" s="14">
        <v>609.0</v>
      </c>
      <c r="B1620" s="14">
        <v>1.4020833E7</v>
      </c>
      <c r="C1620" s="14">
        <v>5.9572076E7</v>
      </c>
      <c r="D1620" s="2" t="s">
        <v>3812</v>
      </c>
      <c r="E1620" s="1" t="s">
        <v>107</v>
      </c>
      <c r="F1620" s="14">
        <v>0.636</v>
      </c>
      <c r="G1620" s="15"/>
      <c r="H1620" s="16"/>
      <c r="I1620" s="14"/>
    </row>
    <row r="1621">
      <c r="A1621" s="14">
        <v>394.0</v>
      </c>
      <c r="B1621" s="14">
        <v>2603281.0</v>
      </c>
      <c r="C1621" s="14">
        <v>1.0982299E7</v>
      </c>
      <c r="D1621" s="2" t="s">
        <v>3814</v>
      </c>
      <c r="E1621" s="1" t="s">
        <v>121</v>
      </c>
      <c r="F1621" s="14">
        <v>0.6348</v>
      </c>
      <c r="G1621" s="15"/>
      <c r="H1621" s="16"/>
      <c r="I1621" s="14"/>
    </row>
    <row r="1622">
      <c r="A1622" s="14">
        <v>392.0</v>
      </c>
      <c r="B1622" s="14">
        <v>1.08084036E8</v>
      </c>
      <c r="C1622" s="14">
        <v>4.68198038E8</v>
      </c>
      <c r="D1622" s="2" t="s">
        <v>208</v>
      </c>
      <c r="E1622" s="1" t="s">
        <v>121</v>
      </c>
      <c r="F1622" s="14">
        <v>0.6341</v>
      </c>
      <c r="G1622" s="15"/>
      <c r="H1622" s="16"/>
      <c r="I1622" s="14"/>
    </row>
    <row r="1623">
      <c r="A1623" s="14">
        <v>610.0</v>
      </c>
      <c r="B1623" s="14">
        <v>6.968419E7</v>
      </c>
      <c r="C1623" s="14">
        <v>2.87043104E8</v>
      </c>
      <c r="D1623" s="2" t="s">
        <v>2241</v>
      </c>
      <c r="E1623" s="1" t="s">
        <v>107</v>
      </c>
      <c r="F1623" s="14">
        <v>0.6335</v>
      </c>
      <c r="G1623" s="15"/>
      <c r="H1623" s="16"/>
      <c r="I1623" s="14"/>
    </row>
    <row r="1624">
      <c r="A1624" s="14">
        <v>593.0</v>
      </c>
      <c r="B1624" s="14">
        <v>8.9935239E7</v>
      </c>
      <c r="C1624" s="14">
        <v>3.80935904E8</v>
      </c>
      <c r="D1624" s="2" t="s">
        <v>1145</v>
      </c>
      <c r="E1624" s="1" t="s">
        <v>107</v>
      </c>
      <c r="F1624" s="14">
        <v>0.6335</v>
      </c>
      <c r="G1624" s="15"/>
      <c r="H1624" s="16"/>
      <c r="I1624" s="14"/>
    </row>
    <row r="1625">
      <c r="A1625" s="14">
        <v>644.0</v>
      </c>
      <c r="B1625" s="14">
        <v>1.06808311E8</v>
      </c>
      <c r="C1625" s="14">
        <v>4.60705884E8</v>
      </c>
      <c r="D1625" s="2" t="s">
        <v>271</v>
      </c>
      <c r="E1625" s="1" t="s">
        <v>107</v>
      </c>
      <c r="F1625" s="14">
        <v>0.6335</v>
      </c>
      <c r="G1625" s="15"/>
      <c r="H1625" s="16"/>
      <c r="I1625" s="14"/>
    </row>
    <row r="1626">
      <c r="A1626" s="14">
        <v>173.0</v>
      </c>
      <c r="B1626" s="14">
        <v>7.2676215E7</v>
      </c>
      <c r="C1626" s="14">
        <v>3.00370736E8</v>
      </c>
      <c r="D1626" s="2" t="s">
        <v>2096</v>
      </c>
      <c r="E1626" s="1" t="s">
        <v>121</v>
      </c>
      <c r="F1626" s="14">
        <v>0.6333</v>
      </c>
      <c r="G1626" s="15"/>
      <c r="H1626" s="16"/>
      <c r="I1626" s="14"/>
    </row>
    <row r="1627">
      <c r="A1627" s="14">
        <v>550.0</v>
      </c>
      <c r="B1627" s="14">
        <v>8.8883167E7</v>
      </c>
      <c r="C1627" s="14">
        <v>3.76303946E8</v>
      </c>
      <c r="D1627" s="2" t="s">
        <v>1196</v>
      </c>
      <c r="E1627" s="1" t="s">
        <v>107</v>
      </c>
      <c r="F1627" s="14">
        <v>0.6309</v>
      </c>
      <c r="G1627" s="15"/>
      <c r="H1627" s="16"/>
      <c r="I1627" s="14"/>
    </row>
    <row r="1628">
      <c r="A1628" s="14">
        <v>476.0</v>
      </c>
      <c r="B1628" s="14">
        <v>1.5168276E7</v>
      </c>
      <c r="C1628" s="14">
        <v>6.4686733E7</v>
      </c>
      <c r="D1628" s="2" t="s">
        <v>3824</v>
      </c>
      <c r="E1628" s="1" t="s">
        <v>121</v>
      </c>
      <c r="F1628" s="14">
        <v>0.6304</v>
      </c>
      <c r="G1628" s="15"/>
      <c r="H1628" s="16"/>
      <c r="I1628" s="14"/>
    </row>
    <row r="1629">
      <c r="A1629" s="14">
        <v>288.0</v>
      </c>
      <c r="B1629" s="14">
        <v>7.6042418E7</v>
      </c>
      <c r="C1629" s="14">
        <v>3.15543575E8</v>
      </c>
      <c r="D1629" s="2" t="s">
        <v>1968</v>
      </c>
      <c r="E1629" s="1" t="s">
        <v>107</v>
      </c>
      <c r="F1629" s="14">
        <v>0.6298</v>
      </c>
      <c r="G1629" s="15"/>
      <c r="H1629" s="16"/>
      <c r="I1629" s="14"/>
    </row>
    <row r="1630">
      <c r="A1630" s="14">
        <v>656.0</v>
      </c>
      <c r="B1630" s="14">
        <v>8.7062634E7</v>
      </c>
      <c r="C1630" s="14">
        <v>3.68141765E8</v>
      </c>
      <c r="D1630" s="2" t="s">
        <v>1294</v>
      </c>
      <c r="E1630" s="1" t="s">
        <v>121</v>
      </c>
      <c r="F1630" s="14">
        <v>0.6297</v>
      </c>
      <c r="G1630" s="15"/>
      <c r="H1630" s="16"/>
      <c r="I1630" s="14"/>
    </row>
    <row r="1631">
      <c r="A1631" s="14">
        <v>610.0</v>
      </c>
      <c r="B1631" s="14">
        <v>5.4983512E7</v>
      </c>
      <c r="C1631" s="14">
        <v>2.1820335E8</v>
      </c>
      <c r="D1631" s="2" t="s">
        <v>2840</v>
      </c>
      <c r="E1631" s="1" t="s">
        <v>107</v>
      </c>
      <c r="F1631" s="14">
        <v>0.6283</v>
      </c>
      <c r="G1631" s="15"/>
      <c r="H1631" s="16"/>
      <c r="I1631" s="14"/>
    </row>
    <row r="1632">
      <c r="A1632" s="14">
        <v>602.0</v>
      </c>
      <c r="B1632" s="14">
        <v>1.09883297E8</v>
      </c>
      <c r="C1632" s="14">
        <v>4.7599837E8</v>
      </c>
      <c r="D1632" s="2" t="s">
        <v>98</v>
      </c>
      <c r="E1632" s="1" t="s">
        <v>699</v>
      </c>
      <c r="F1632" s="14">
        <v>0.6272</v>
      </c>
      <c r="G1632" s="15"/>
      <c r="H1632" s="16"/>
      <c r="I1632" s="14"/>
    </row>
    <row r="1633">
      <c r="A1633" s="14">
        <v>609.0</v>
      </c>
      <c r="B1633" s="14">
        <v>1.3977387E7</v>
      </c>
      <c r="C1633" s="14">
        <v>5.9384903E7</v>
      </c>
      <c r="D1633" s="2" t="s">
        <v>3834</v>
      </c>
      <c r="E1633" s="1" t="s">
        <v>699</v>
      </c>
      <c r="F1633" s="14">
        <v>0.6271</v>
      </c>
      <c r="G1633" s="15"/>
      <c r="H1633" s="16"/>
      <c r="I1633" s="14"/>
    </row>
    <row r="1634">
      <c r="A1634" s="14">
        <v>285.0</v>
      </c>
      <c r="B1634" s="14">
        <v>428521.0</v>
      </c>
      <c r="C1634" s="14">
        <v>1958265.0</v>
      </c>
      <c r="D1634" s="2" t="s">
        <v>3836</v>
      </c>
      <c r="E1634" s="1" t="s">
        <v>107</v>
      </c>
      <c r="F1634" s="14">
        <v>0.6249</v>
      </c>
      <c r="G1634" s="15"/>
      <c r="H1634" s="16"/>
      <c r="I1634" s="14"/>
    </row>
    <row r="1635">
      <c r="A1635" s="14">
        <v>120.0</v>
      </c>
      <c r="B1635" s="14">
        <v>1296475.0</v>
      </c>
      <c r="C1635" s="14">
        <v>5786154.0</v>
      </c>
      <c r="D1635" s="2" t="s">
        <v>3838</v>
      </c>
      <c r="E1635" s="1" t="s">
        <v>107</v>
      </c>
      <c r="F1635" s="14">
        <v>0.6249</v>
      </c>
      <c r="G1635" s="15"/>
      <c r="H1635" s="16"/>
      <c r="I1635" s="14"/>
    </row>
    <row r="1636">
      <c r="A1636" s="14">
        <v>571.0</v>
      </c>
      <c r="B1636" s="14">
        <v>1430849.0</v>
      </c>
      <c r="C1636" s="14">
        <v>6345648.0</v>
      </c>
      <c r="D1636" s="2" t="s">
        <v>3839</v>
      </c>
      <c r="E1636" s="1" t="s">
        <v>107</v>
      </c>
      <c r="F1636" s="14">
        <v>0.6249</v>
      </c>
      <c r="G1636" s="15"/>
      <c r="H1636" s="16"/>
      <c r="I1636" s="14"/>
    </row>
    <row r="1637">
      <c r="A1637" s="14">
        <v>215.0</v>
      </c>
      <c r="B1637" s="14">
        <v>1764821.0</v>
      </c>
      <c r="C1637" s="14">
        <v>1.9852399E7</v>
      </c>
      <c r="D1637" s="2" t="s">
        <v>3840</v>
      </c>
      <c r="E1637" s="1" t="s">
        <v>107</v>
      </c>
      <c r="F1637" s="14">
        <v>0.6249</v>
      </c>
      <c r="G1637" s="15"/>
      <c r="H1637" s="16"/>
      <c r="I1637" s="14"/>
    </row>
    <row r="1638">
      <c r="A1638" s="14">
        <v>671.0</v>
      </c>
      <c r="B1638" s="14">
        <v>4047131.0</v>
      </c>
      <c r="C1638" s="14">
        <v>1.83401816E8</v>
      </c>
      <c r="D1638" s="2" t="s">
        <v>3842</v>
      </c>
      <c r="E1638" s="1" t="s">
        <v>107</v>
      </c>
      <c r="F1638" s="14">
        <v>0.6249</v>
      </c>
      <c r="G1638" s="15"/>
      <c r="H1638" s="16"/>
      <c r="I1638" s="14"/>
    </row>
    <row r="1639">
      <c r="A1639" s="14">
        <v>665.0</v>
      </c>
      <c r="B1639" s="14">
        <v>4729661.0</v>
      </c>
      <c r="C1639" s="14">
        <v>2.010916E7</v>
      </c>
      <c r="D1639" s="2" t="s">
        <v>3845</v>
      </c>
      <c r="E1639" s="1" t="s">
        <v>107</v>
      </c>
      <c r="F1639" s="14">
        <v>0.6249</v>
      </c>
      <c r="G1639" s="15"/>
      <c r="H1639" s="16"/>
      <c r="I1639" s="14"/>
    </row>
    <row r="1640">
      <c r="A1640" s="14">
        <v>586.0</v>
      </c>
      <c r="B1640" s="14">
        <v>4943710.0</v>
      </c>
      <c r="C1640" s="14">
        <v>2.07403269E8</v>
      </c>
      <c r="D1640" s="2" t="s">
        <v>3848</v>
      </c>
      <c r="E1640" s="1" t="s">
        <v>107</v>
      </c>
      <c r="F1640" s="14">
        <v>0.6249</v>
      </c>
      <c r="G1640" s="15"/>
      <c r="H1640" s="16"/>
      <c r="I1640" s="14"/>
    </row>
    <row r="1641">
      <c r="A1641" s="14">
        <v>244.0</v>
      </c>
      <c r="B1641" s="14">
        <v>5068784.0</v>
      </c>
      <c r="C1641" s="14">
        <v>2.157317E7</v>
      </c>
      <c r="D1641" s="2" t="s">
        <v>3850</v>
      </c>
      <c r="E1641" s="1" t="s">
        <v>107</v>
      </c>
      <c r="F1641" s="14">
        <v>0.6249</v>
      </c>
      <c r="G1641" s="15"/>
      <c r="H1641" s="16"/>
      <c r="I1641" s="14"/>
    </row>
    <row r="1642">
      <c r="A1642" s="14">
        <v>410.0</v>
      </c>
      <c r="B1642" s="14">
        <v>5086654.0</v>
      </c>
      <c r="C1642" s="14">
        <v>2.1680406E7</v>
      </c>
      <c r="D1642" s="2" t="s">
        <v>3853</v>
      </c>
      <c r="E1642" s="1" t="s">
        <v>107</v>
      </c>
      <c r="F1642" s="14">
        <v>0.6249</v>
      </c>
      <c r="G1642" s="15"/>
      <c r="H1642" s="16"/>
      <c r="I1642" s="14"/>
    </row>
    <row r="1643">
      <c r="A1643" s="14">
        <v>414.0</v>
      </c>
      <c r="B1643" s="14">
        <v>5544991.0</v>
      </c>
      <c r="C1643" s="14">
        <v>4.15593176E8</v>
      </c>
      <c r="D1643" s="2" t="s">
        <v>3855</v>
      </c>
      <c r="E1643" s="1" t="s">
        <v>107</v>
      </c>
      <c r="F1643" s="14">
        <v>0.6249</v>
      </c>
      <c r="G1643" s="15"/>
      <c r="H1643" s="16"/>
      <c r="I1643" s="14"/>
    </row>
    <row r="1644">
      <c r="A1644" s="14">
        <v>587.0</v>
      </c>
      <c r="B1644" s="14">
        <v>6096456.0</v>
      </c>
      <c r="C1644" s="14">
        <v>2.06975293E8</v>
      </c>
      <c r="D1644" s="2" t="s">
        <v>3857</v>
      </c>
      <c r="E1644" s="1" t="s">
        <v>107</v>
      </c>
      <c r="F1644" s="14">
        <v>0.6249</v>
      </c>
      <c r="G1644" s="15"/>
      <c r="H1644" s="16"/>
      <c r="I1644" s="14"/>
    </row>
    <row r="1645">
      <c r="A1645" s="14">
        <v>379.0</v>
      </c>
      <c r="B1645" s="14">
        <v>6357212.0</v>
      </c>
      <c r="C1645" s="14">
        <v>2.10331979E8</v>
      </c>
      <c r="D1645" s="2" t="s">
        <v>3858</v>
      </c>
      <c r="E1645" s="1" t="s">
        <v>107</v>
      </c>
      <c r="F1645" s="14">
        <v>0.6249</v>
      </c>
      <c r="G1645" s="15"/>
      <c r="H1645" s="16"/>
      <c r="I1645" s="14"/>
    </row>
    <row r="1646">
      <c r="A1646" s="14">
        <v>546.0</v>
      </c>
      <c r="B1646" s="14">
        <v>8655524.0</v>
      </c>
      <c r="C1646" s="14">
        <v>1.76958888E8</v>
      </c>
      <c r="D1646" s="2" t="s">
        <v>3860</v>
      </c>
      <c r="E1646" s="1" t="s">
        <v>107</v>
      </c>
      <c r="F1646" s="14">
        <v>0.6249</v>
      </c>
      <c r="G1646" s="15"/>
      <c r="H1646" s="16"/>
      <c r="I1646" s="14"/>
    </row>
    <row r="1647">
      <c r="A1647" s="14">
        <v>403.0</v>
      </c>
      <c r="B1647" s="14">
        <v>9907722.0</v>
      </c>
      <c r="C1647" s="14">
        <v>4.2088E7</v>
      </c>
      <c r="D1647" s="2" t="s">
        <v>3861</v>
      </c>
      <c r="E1647" s="1" t="s">
        <v>107</v>
      </c>
      <c r="F1647" s="14">
        <v>0.6249</v>
      </c>
      <c r="G1647" s="15"/>
      <c r="H1647" s="16"/>
      <c r="I1647" s="14"/>
    </row>
    <row r="1648">
      <c r="A1648" s="14">
        <v>337.0</v>
      </c>
      <c r="B1648" s="14">
        <v>1.1338367E7</v>
      </c>
      <c r="C1648" s="14">
        <v>4.8224643E7</v>
      </c>
      <c r="D1648" s="2" t="s">
        <v>3862</v>
      </c>
      <c r="E1648" s="1" t="s">
        <v>107</v>
      </c>
      <c r="F1648" s="14">
        <v>0.6249</v>
      </c>
      <c r="G1648" s="15"/>
      <c r="H1648" s="16"/>
      <c r="I1648" s="14"/>
    </row>
    <row r="1649">
      <c r="A1649" s="14">
        <v>504.0</v>
      </c>
      <c r="B1649" s="14">
        <v>1.3345514E7</v>
      </c>
      <c r="C1649" s="14">
        <v>5.6893667E7</v>
      </c>
      <c r="D1649" s="2" t="s">
        <v>3863</v>
      </c>
      <c r="E1649" s="1" t="s">
        <v>107</v>
      </c>
      <c r="F1649" s="14">
        <v>0.6249</v>
      </c>
      <c r="G1649" s="15"/>
      <c r="H1649" s="16"/>
      <c r="I1649" s="14"/>
    </row>
    <row r="1650">
      <c r="A1650" s="14">
        <v>414.0</v>
      </c>
      <c r="B1650" s="14">
        <v>1.469394E7</v>
      </c>
      <c r="C1650" s="14">
        <v>6.2533424E7</v>
      </c>
      <c r="D1650" s="2" t="s">
        <v>3866</v>
      </c>
      <c r="E1650" s="1" t="s">
        <v>107</v>
      </c>
      <c r="F1650" s="14">
        <v>0.6249</v>
      </c>
      <c r="G1650" s="15"/>
      <c r="H1650" s="16"/>
      <c r="I1650" s="14"/>
    </row>
    <row r="1651">
      <c r="A1651" s="14">
        <v>492.0</v>
      </c>
      <c r="B1651" s="14">
        <v>1.6863147E7</v>
      </c>
      <c r="C1651" s="14">
        <v>1.77486564E8</v>
      </c>
      <c r="D1651" s="2" t="s">
        <v>3868</v>
      </c>
      <c r="E1651" s="1" t="s">
        <v>107</v>
      </c>
      <c r="F1651" s="14">
        <v>0.6249</v>
      </c>
      <c r="G1651" s="15"/>
      <c r="H1651" s="16"/>
      <c r="I1651" s="14"/>
    </row>
    <row r="1652">
      <c r="A1652" s="14">
        <v>142.0</v>
      </c>
      <c r="B1652" s="14">
        <v>1.7881976E7</v>
      </c>
      <c r="C1652" s="14">
        <v>7.5268716E7</v>
      </c>
      <c r="D1652" s="2" t="s">
        <v>3870</v>
      </c>
      <c r="E1652" s="1" t="s">
        <v>107</v>
      </c>
      <c r="F1652" s="14">
        <v>0.6249</v>
      </c>
      <c r="G1652" s="15"/>
      <c r="H1652" s="16"/>
      <c r="I1652" s="14"/>
    </row>
    <row r="1653">
      <c r="A1653" s="14">
        <v>210.0</v>
      </c>
      <c r="B1653" s="14">
        <v>1.841674E7</v>
      </c>
      <c r="C1653" s="14">
        <v>2.01831967E8</v>
      </c>
      <c r="D1653" s="2" t="s">
        <v>3872</v>
      </c>
      <c r="E1653" s="1" t="s">
        <v>107</v>
      </c>
      <c r="F1653" s="14">
        <v>0.6249</v>
      </c>
      <c r="G1653" s="15"/>
      <c r="H1653" s="16"/>
      <c r="I1653" s="14"/>
    </row>
    <row r="1654">
      <c r="A1654" s="14">
        <v>720.0</v>
      </c>
      <c r="B1654" s="14">
        <v>1.9334989E7</v>
      </c>
      <c r="C1654" s="14">
        <v>8.0887001E7</v>
      </c>
      <c r="D1654" s="2" t="s">
        <v>3875</v>
      </c>
      <c r="E1654" s="1" t="s">
        <v>107</v>
      </c>
      <c r="F1654" s="14">
        <v>0.6249</v>
      </c>
      <c r="G1654" s="15"/>
      <c r="H1654" s="16"/>
      <c r="I1654" s="14"/>
    </row>
    <row r="1655">
      <c r="A1655" s="14">
        <v>410.0</v>
      </c>
      <c r="B1655" s="14">
        <v>2.964161E7</v>
      </c>
      <c r="C1655" s="14">
        <v>1.1901816E8</v>
      </c>
      <c r="D1655" s="2" t="s">
        <v>3598</v>
      </c>
      <c r="E1655" s="1" t="s">
        <v>107</v>
      </c>
      <c r="F1655" s="14">
        <v>0.6249</v>
      </c>
      <c r="G1655" s="15"/>
      <c r="H1655" s="16"/>
      <c r="I1655" s="14"/>
    </row>
    <row r="1656">
      <c r="A1656" s="14">
        <v>504.0</v>
      </c>
      <c r="B1656" s="14">
        <v>3.0303347E7</v>
      </c>
      <c r="C1656" s="14">
        <v>1.28319002E8</v>
      </c>
      <c r="D1656" s="2" t="s">
        <v>3578</v>
      </c>
      <c r="E1656" s="1" t="s">
        <v>107</v>
      </c>
      <c r="F1656" s="14">
        <v>0.6249</v>
      </c>
      <c r="G1656" s="15"/>
      <c r="H1656" s="16"/>
      <c r="I1656" s="14"/>
    </row>
    <row r="1657">
      <c r="A1657" s="14">
        <v>601.0</v>
      </c>
      <c r="B1657" s="14">
        <v>3.1059449E7</v>
      </c>
      <c r="C1657" s="14">
        <v>2.09454548E8</v>
      </c>
      <c r="D1657" s="2" t="s">
        <v>3563</v>
      </c>
      <c r="E1657" s="1" t="s">
        <v>107</v>
      </c>
      <c r="F1657" s="14">
        <v>0.6249</v>
      </c>
      <c r="G1657" s="15"/>
      <c r="H1657" s="16"/>
      <c r="I1657" s="14"/>
    </row>
    <row r="1658">
      <c r="A1658" s="14">
        <v>173.0</v>
      </c>
      <c r="B1658" s="14">
        <v>3.3201376E7</v>
      </c>
      <c r="C1658" s="14">
        <v>1.8983111E8</v>
      </c>
      <c r="D1658" s="2" t="s">
        <v>3513</v>
      </c>
      <c r="E1658" s="1" t="s">
        <v>107</v>
      </c>
      <c r="F1658" s="14">
        <v>0.6249</v>
      </c>
      <c r="G1658" s="15"/>
      <c r="H1658" s="16"/>
      <c r="I1658" s="14"/>
    </row>
    <row r="1659">
      <c r="A1659" s="14">
        <v>353.0</v>
      </c>
      <c r="B1659" s="14">
        <v>3.8651064E7</v>
      </c>
      <c r="C1659" s="14">
        <v>1.53686219E8</v>
      </c>
      <c r="D1659" s="2" t="s">
        <v>3425</v>
      </c>
      <c r="E1659" s="1" t="s">
        <v>107</v>
      </c>
      <c r="F1659" s="14">
        <v>0.6249</v>
      </c>
      <c r="G1659" s="15"/>
      <c r="H1659" s="16"/>
      <c r="I1659" s="14"/>
    </row>
    <row r="1660">
      <c r="A1660" s="14">
        <v>672.0</v>
      </c>
      <c r="B1660" s="14">
        <v>4.0607697E7</v>
      </c>
      <c r="C1660" s="14">
        <v>1.61185112E8</v>
      </c>
      <c r="D1660" s="2" t="s">
        <v>3359</v>
      </c>
      <c r="E1660" s="1" t="s">
        <v>107</v>
      </c>
      <c r="F1660" s="14">
        <v>0.6249</v>
      </c>
      <c r="G1660" s="15"/>
      <c r="H1660" s="16"/>
      <c r="I1660" s="14"/>
    </row>
    <row r="1661">
      <c r="A1661" s="14">
        <v>403.0</v>
      </c>
      <c r="B1661" s="14">
        <v>4.7837513E7</v>
      </c>
      <c r="C1661" s="14">
        <v>1.89031132E8</v>
      </c>
      <c r="D1661" s="2" t="s">
        <v>3121</v>
      </c>
      <c r="E1661" s="1" t="s">
        <v>107</v>
      </c>
      <c r="F1661" s="14">
        <v>0.6249</v>
      </c>
      <c r="G1661" s="15"/>
      <c r="H1661" s="16"/>
      <c r="I1661" s="14"/>
    </row>
    <row r="1662">
      <c r="A1662" s="14">
        <v>644.0</v>
      </c>
      <c r="B1662" s="14">
        <v>5.1379592E7</v>
      </c>
      <c r="C1662" s="14">
        <v>2.03629237E8</v>
      </c>
      <c r="D1662" s="2" t="s">
        <v>2971</v>
      </c>
      <c r="E1662" s="1" t="s">
        <v>107</v>
      </c>
      <c r="F1662" s="14">
        <v>0.6249</v>
      </c>
      <c r="G1662" s="15"/>
      <c r="H1662" s="16"/>
      <c r="I1662" s="14"/>
    </row>
    <row r="1663">
      <c r="A1663" s="14">
        <v>473.0</v>
      </c>
      <c r="B1663" s="14">
        <v>5.3953112E7</v>
      </c>
      <c r="C1663" s="14">
        <v>2.13919934E8</v>
      </c>
      <c r="D1663" s="2" t="s">
        <v>367</v>
      </c>
      <c r="E1663" s="1" t="s">
        <v>107</v>
      </c>
      <c r="F1663" s="14">
        <v>0.6249</v>
      </c>
      <c r="G1663" s="15"/>
      <c r="H1663" s="16"/>
      <c r="I1663" s="14"/>
    </row>
    <row r="1664">
      <c r="A1664" s="14">
        <v>404.0</v>
      </c>
      <c r="B1664" s="14">
        <v>5.6803174E7</v>
      </c>
      <c r="C1664" s="14">
        <v>2.25903034E8</v>
      </c>
      <c r="D1664" s="2" t="s">
        <v>2796</v>
      </c>
      <c r="E1664" s="1" t="s">
        <v>107</v>
      </c>
      <c r="F1664" s="14">
        <v>0.6249</v>
      </c>
      <c r="G1664" s="15"/>
      <c r="H1664" s="16"/>
      <c r="I1664" s="14"/>
    </row>
    <row r="1665">
      <c r="A1665" s="14">
        <v>403.0</v>
      </c>
      <c r="B1665" s="14">
        <v>6.2483431E7</v>
      </c>
      <c r="C1665" s="14">
        <v>4.20743103E8</v>
      </c>
      <c r="D1665" s="2" t="s">
        <v>2593</v>
      </c>
      <c r="E1665" s="1" t="s">
        <v>107</v>
      </c>
      <c r="F1665" s="14">
        <v>0.6249</v>
      </c>
      <c r="G1665" s="15"/>
      <c r="H1665" s="16"/>
      <c r="I1665" s="14"/>
    </row>
    <row r="1666">
      <c r="A1666" s="14">
        <v>661.0</v>
      </c>
      <c r="B1666" s="14">
        <v>6.2604955E7</v>
      </c>
      <c r="C1666" s="14">
        <v>2.53226795E8</v>
      </c>
      <c r="D1666" s="2" t="s">
        <v>2588</v>
      </c>
      <c r="E1666" s="1" t="s">
        <v>107</v>
      </c>
      <c r="F1666" s="14">
        <v>0.6249</v>
      </c>
      <c r="G1666" s="15"/>
      <c r="H1666" s="16"/>
      <c r="I1666" s="14"/>
    </row>
    <row r="1667">
      <c r="A1667" s="14">
        <v>173.0</v>
      </c>
      <c r="B1667" s="14">
        <v>6.4067172E7</v>
      </c>
      <c r="C1667" s="14">
        <v>2.60172817E8</v>
      </c>
      <c r="D1667" s="2" t="s">
        <v>68</v>
      </c>
      <c r="E1667" s="1" t="s">
        <v>107</v>
      </c>
      <c r="F1667" s="14">
        <v>0.6249</v>
      </c>
      <c r="G1667" s="15"/>
      <c r="H1667" s="16"/>
      <c r="I1667" s="14"/>
    </row>
    <row r="1668">
      <c r="A1668" s="14">
        <v>610.0</v>
      </c>
      <c r="B1668" s="14">
        <v>6.5091407E7</v>
      </c>
      <c r="C1668" s="14">
        <v>3.86028302E8</v>
      </c>
      <c r="D1668" s="2" t="s">
        <v>2489</v>
      </c>
      <c r="E1668" s="1" t="s">
        <v>107</v>
      </c>
      <c r="F1668" s="14">
        <v>0.6249</v>
      </c>
      <c r="G1668" s="15"/>
      <c r="H1668" s="16"/>
      <c r="I1668" s="14"/>
    </row>
    <row r="1669">
      <c r="A1669" s="14">
        <v>531.0</v>
      </c>
      <c r="B1669" s="14">
        <v>6.5950395E7</v>
      </c>
      <c r="C1669" s="14">
        <v>2.69006955E8</v>
      </c>
      <c r="D1669" s="2" t="s">
        <v>2439</v>
      </c>
      <c r="E1669" s="1" t="s">
        <v>107</v>
      </c>
      <c r="F1669" s="14">
        <v>0.6249</v>
      </c>
      <c r="G1669" s="15"/>
      <c r="H1669" s="16"/>
      <c r="I1669" s="14"/>
    </row>
    <row r="1670">
      <c r="A1670" s="14">
        <v>587.0</v>
      </c>
      <c r="B1670" s="14">
        <v>7.5233647E7</v>
      </c>
      <c r="C1670" s="14">
        <v>3.11785333E8</v>
      </c>
      <c r="D1670" s="2" t="s">
        <v>2019</v>
      </c>
      <c r="E1670" s="1" t="s">
        <v>107</v>
      </c>
      <c r="F1670" s="14">
        <v>0.6249</v>
      </c>
      <c r="G1670" s="15"/>
      <c r="H1670" s="16"/>
      <c r="I1670" s="14"/>
    </row>
    <row r="1671">
      <c r="A1671" s="14">
        <v>587.0</v>
      </c>
      <c r="B1671" s="14">
        <v>7.8658098E7</v>
      </c>
      <c r="C1671" s="14">
        <v>3.28020514E8</v>
      </c>
      <c r="D1671" s="2" t="s">
        <v>1821</v>
      </c>
      <c r="E1671" s="1" t="s">
        <v>107</v>
      </c>
      <c r="F1671" s="14">
        <v>0.6249</v>
      </c>
      <c r="G1671" s="15"/>
      <c r="H1671" s="16"/>
      <c r="I1671" s="14"/>
    </row>
    <row r="1672">
      <c r="A1672" s="14">
        <v>593.0</v>
      </c>
      <c r="B1672" s="14">
        <v>8.1762262E7</v>
      </c>
      <c r="C1672" s="14">
        <v>3.42337544E8</v>
      </c>
      <c r="D1672" s="2" t="s">
        <v>1654</v>
      </c>
      <c r="E1672" s="1" t="s">
        <v>107</v>
      </c>
      <c r="F1672" s="14">
        <v>0.6249</v>
      </c>
      <c r="G1672" s="15"/>
      <c r="H1672" s="16"/>
      <c r="I1672" s="14"/>
    </row>
    <row r="1673">
      <c r="A1673" s="14">
        <v>671.0</v>
      </c>
      <c r="B1673" s="14">
        <v>8.3560864E7</v>
      </c>
      <c r="C1673" s="14">
        <v>3.51049752E8</v>
      </c>
      <c r="D1673" s="2" t="s">
        <v>1546</v>
      </c>
      <c r="E1673" s="1" t="s">
        <v>107</v>
      </c>
      <c r="F1673" s="14">
        <v>0.6249</v>
      </c>
      <c r="G1673" s="15"/>
      <c r="H1673" s="16"/>
      <c r="I1673" s="14"/>
    </row>
    <row r="1674">
      <c r="A1674" s="14">
        <v>593.0</v>
      </c>
      <c r="B1674" s="14">
        <v>8.4240026E7</v>
      </c>
      <c r="C1674" s="14">
        <v>3.54230207E8</v>
      </c>
      <c r="D1674" s="2" t="s">
        <v>1487</v>
      </c>
      <c r="E1674" s="1" t="s">
        <v>107</v>
      </c>
      <c r="F1674" s="14">
        <v>0.6249</v>
      </c>
      <c r="G1674" s="15"/>
      <c r="H1674" s="16"/>
      <c r="I1674" s="14"/>
    </row>
    <row r="1675">
      <c r="A1675" s="14">
        <v>542.0</v>
      </c>
      <c r="B1675" s="14">
        <v>8.4555043E7</v>
      </c>
      <c r="C1675" s="14">
        <v>3.59225596E8</v>
      </c>
      <c r="D1675" s="2" t="s">
        <v>1463</v>
      </c>
      <c r="E1675" s="1" t="s">
        <v>107</v>
      </c>
      <c r="F1675" s="14">
        <v>0.6249</v>
      </c>
      <c r="G1675" s="15"/>
      <c r="H1675" s="16"/>
      <c r="I1675" s="14"/>
    </row>
    <row r="1676">
      <c r="A1676" s="14">
        <v>696.0</v>
      </c>
      <c r="B1676" s="14">
        <v>8.864421E7</v>
      </c>
      <c r="C1676" s="14">
        <v>3.75221522E8</v>
      </c>
      <c r="D1676" s="2" t="s">
        <v>1209</v>
      </c>
      <c r="E1676" s="1" t="s">
        <v>107</v>
      </c>
      <c r="F1676" s="14">
        <v>0.6249</v>
      </c>
      <c r="G1676" s="15"/>
      <c r="H1676" s="16"/>
      <c r="I1676" s="14"/>
    </row>
    <row r="1677">
      <c r="A1677" s="14">
        <v>461.0</v>
      </c>
      <c r="B1677" s="14">
        <v>9.2597649E7</v>
      </c>
      <c r="C1677" s="14">
        <v>4.48457244E8</v>
      </c>
      <c r="D1677" s="2" t="s">
        <v>998</v>
      </c>
      <c r="E1677" s="1" t="s">
        <v>107</v>
      </c>
      <c r="F1677" s="14">
        <v>0.6249</v>
      </c>
      <c r="G1677" s="15"/>
      <c r="H1677" s="16"/>
      <c r="I1677" s="14"/>
    </row>
    <row r="1678">
      <c r="A1678" s="14">
        <v>677.0</v>
      </c>
      <c r="B1678" s="14">
        <v>1.01974953E8</v>
      </c>
      <c r="C1678" s="14">
        <v>4.38159537E8</v>
      </c>
      <c r="D1678" s="2" t="s">
        <v>465</v>
      </c>
      <c r="E1678" s="1" t="s">
        <v>107</v>
      </c>
      <c r="F1678" s="14">
        <v>0.6249</v>
      </c>
      <c r="G1678" s="15"/>
      <c r="H1678" s="16"/>
      <c r="I1678" s="14"/>
    </row>
    <row r="1679">
      <c r="A1679" s="14">
        <v>410.0</v>
      </c>
      <c r="B1679" s="14">
        <v>1.04398375E8</v>
      </c>
      <c r="C1679" s="14">
        <v>4.49420612E8</v>
      </c>
      <c r="D1679" s="2" t="s">
        <v>367</v>
      </c>
      <c r="E1679" s="1" t="s">
        <v>107</v>
      </c>
      <c r="F1679" s="14">
        <v>0.6249</v>
      </c>
      <c r="G1679" s="15"/>
      <c r="H1679" s="16"/>
      <c r="I1679" s="14"/>
    </row>
    <row r="1680">
      <c r="A1680" s="14">
        <v>173.0</v>
      </c>
      <c r="B1680" s="14">
        <v>1.10388959E8</v>
      </c>
      <c r="C1680" s="14">
        <v>4.78185506E8</v>
      </c>
      <c r="D1680" s="2" t="s">
        <v>68</v>
      </c>
      <c r="E1680" s="1" t="s">
        <v>107</v>
      </c>
      <c r="F1680" s="14">
        <v>0.6249</v>
      </c>
      <c r="G1680" s="15"/>
      <c r="H1680" s="16"/>
      <c r="I1680" s="14"/>
    </row>
    <row r="1681">
      <c r="A1681" s="14">
        <v>380.0</v>
      </c>
      <c r="B1681" s="14">
        <v>5.3529867E7</v>
      </c>
      <c r="C1681" s="14">
        <v>2.12470261E8</v>
      </c>
      <c r="D1681" s="2" t="s">
        <v>2891</v>
      </c>
      <c r="E1681" s="1" t="s">
        <v>699</v>
      </c>
      <c r="F1681" s="14">
        <v>0.6249</v>
      </c>
      <c r="G1681" s="15"/>
      <c r="H1681" s="16"/>
      <c r="I1681" s="14"/>
    </row>
    <row r="1682">
      <c r="A1682" s="14">
        <v>602.0</v>
      </c>
      <c r="B1682" s="14">
        <v>6.0408133E7</v>
      </c>
      <c r="C1682" s="14">
        <v>2.42531093E8</v>
      </c>
      <c r="D1682" s="2" t="s">
        <v>2672</v>
      </c>
      <c r="E1682" s="1" t="s">
        <v>699</v>
      </c>
      <c r="F1682" s="14">
        <v>0.6249</v>
      </c>
      <c r="G1682" s="15"/>
      <c r="H1682" s="16"/>
      <c r="I1682" s="14"/>
    </row>
    <row r="1683">
      <c r="A1683" s="14">
        <v>410.0</v>
      </c>
      <c r="B1683" s="14">
        <v>1.0309159E8</v>
      </c>
      <c r="C1683" s="14">
        <v>4.4348937E8</v>
      </c>
      <c r="D1683" s="2" t="s">
        <v>419</v>
      </c>
      <c r="E1683" s="1" t="s">
        <v>699</v>
      </c>
      <c r="F1683" s="14">
        <v>0.6249</v>
      </c>
      <c r="G1683" s="15"/>
      <c r="H1683" s="16"/>
      <c r="I1683" s="14"/>
    </row>
    <row r="1684">
      <c r="A1684" s="14">
        <v>157.0</v>
      </c>
      <c r="B1684" s="14">
        <v>266755.0</v>
      </c>
      <c r="C1684" s="14">
        <v>1126957.0</v>
      </c>
      <c r="D1684" s="2" t="s">
        <v>3905</v>
      </c>
      <c r="E1684" s="1" t="s">
        <v>121</v>
      </c>
      <c r="F1684" s="14">
        <v>0.6249</v>
      </c>
      <c r="G1684" s="15"/>
      <c r="H1684" s="16"/>
      <c r="I1684" s="14"/>
    </row>
    <row r="1685">
      <c r="A1685" s="14">
        <v>173.0</v>
      </c>
      <c r="B1685" s="14">
        <v>592313.0</v>
      </c>
      <c r="C1685" s="14">
        <v>1.2848035E7</v>
      </c>
      <c r="D1685" s="2" t="s">
        <v>3907</v>
      </c>
      <c r="E1685" s="1" t="s">
        <v>121</v>
      </c>
      <c r="F1685" s="14">
        <v>0.6249</v>
      </c>
      <c r="G1685" s="15"/>
      <c r="H1685" s="16"/>
      <c r="I1685" s="14"/>
    </row>
    <row r="1686">
      <c r="A1686" s="14">
        <v>410.0</v>
      </c>
      <c r="B1686" s="14">
        <v>1097547.0</v>
      </c>
      <c r="C1686" s="14">
        <v>4968673.0</v>
      </c>
      <c r="D1686" s="2" t="s">
        <v>3909</v>
      </c>
      <c r="E1686" s="1" t="s">
        <v>121</v>
      </c>
      <c r="F1686" s="14">
        <v>0.6249</v>
      </c>
      <c r="G1686" s="15"/>
      <c r="H1686" s="16"/>
      <c r="I1686" s="14"/>
    </row>
    <row r="1687">
      <c r="A1687" s="14">
        <v>120.0</v>
      </c>
      <c r="B1687" s="14">
        <v>1198439.0</v>
      </c>
      <c r="C1687" s="14">
        <v>5375857.0</v>
      </c>
      <c r="D1687" s="2" t="s">
        <v>3912</v>
      </c>
      <c r="E1687" s="1" t="s">
        <v>121</v>
      </c>
      <c r="F1687" s="14">
        <v>0.6249</v>
      </c>
      <c r="G1687" s="15"/>
      <c r="H1687" s="16"/>
      <c r="I1687" s="14"/>
    </row>
    <row r="1688">
      <c r="A1688" s="14">
        <v>518.0</v>
      </c>
      <c r="B1688" s="14">
        <v>1318983.0</v>
      </c>
      <c r="C1688" s="14">
        <v>5887515.0</v>
      </c>
      <c r="D1688" s="2" t="s">
        <v>3913</v>
      </c>
      <c r="E1688" s="1" t="s">
        <v>121</v>
      </c>
      <c r="F1688" s="14">
        <v>0.6249</v>
      </c>
      <c r="G1688" s="15"/>
      <c r="H1688" s="16"/>
      <c r="I1688" s="14"/>
    </row>
    <row r="1689">
      <c r="A1689" s="14">
        <v>602.0</v>
      </c>
      <c r="B1689" s="14">
        <v>4439924.0</v>
      </c>
      <c r="C1689" s="14">
        <v>1.9023466E7</v>
      </c>
      <c r="D1689" s="2" t="s">
        <v>3915</v>
      </c>
      <c r="E1689" s="1" t="s">
        <v>121</v>
      </c>
      <c r="F1689" s="14">
        <v>0.6249</v>
      </c>
      <c r="G1689" s="15"/>
      <c r="H1689" s="16"/>
      <c r="I1689" s="14"/>
    </row>
    <row r="1690">
      <c r="A1690" s="14">
        <v>462.0</v>
      </c>
      <c r="B1690" s="14">
        <v>6069195.0</v>
      </c>
      <c r="C1690" s="14">
        <v>2.5867387E7</v>
      </c>
      <c r="D1690" s="2" t="s">
        <v>3916</v>
      </c>
      <c r="E1690" s="1" t="s">
        <v>121</v>
      </c>
      <c r="F1690" s="14">
        <v>0.6249</v>
      </c>
      <c r="G1690" s="15"/>
      <c r="H1690" s="16"/>
      <c r="I1690" s="14"/>
    </row>
    <row r="1691">
      <c r="A1691" s="14">
        <v>676.0</v>
      </c>
      <c r="B1691" s="14">
        <v>6355833.0</v>
      </c>
      <c r="C1691" s="14">
        <v>2.699649E7</v>
      </c>
      <c r="D1691" s="2" t="s">
        <v>3918</v>
      </c>
      <c r="E1691" s="1" t="s">
        <v>121</v>
      </c>
      <c r="F1691" s="14">
        <v>0.6249</v>
      </c>
      <c r="G1691" s="15"/>
      <c r="H1691" s="16"/>
      <c r="I1691" s="14"/>
    </row>
    <row r="1692">
      <c r="A1692" s="14">
        <v>671.0</v>
      </c>
      <c r="B1692" s="14">
        <v>1.0669164E7</v>
      </c>
      <c r="C1692" s="14">
        <v>4.5287631E7</v>
      </c>
      <c r="D1692" s="2" t="s">
        <v>3919</v>
      </c>
      <c r="E1692" s="1" t="s">
        <v>121</v>
      </c>
      <c r="F1692" s="14">
        <v>0.6249</v>
      </c>
      <c r="G1692" s="15"/>
      <c r="H1692" s="16"/>
      <c r="I1692" s="14"/>
    </row>
    <row r="1693">
      <c r="A1693" s="14">
        <v>404.0</v>
      </c>
      <c r="B1693" s="14">
        <v>1.1636223E7</v>
      </c>
      <c r="C1693" s="14">
        <v>4.940024E7</v>
      </c>
      <c r="D1693" s="2" t="s">
        <v>3922</v>
      </c>
      <c r="E1693" s="1" t="s">
        <v>121</v>
      </c>
      <c r="F1693" s="14">
        <v>0.6249</v>
      </c>
      <c r="G1693" s="15"/>
      <c r="H1693" s="16"/>
      <c r="I1693" s="14"/>
    </row>
    <row r="1694">
      <c r="A1694" s="14">
        <v>609.0</v>
      </c>
      <c r="B1694" s="14">
        <v>1.6023423E7</v>
      </c>
      <c r="C1694" s="14">
        <v>6.8090149E7</v>
      </c>
      <c r="D1694" s="2" t="s">
        <v>3924</v>
      </c>
      <c r="E1694" s="1" t="s">
        <v>121</v>
      </c>
      <c r="F1694" s="14">
        <v>0.6249</v>
      </c>
      <c r="G1694" s="15"/>
      <c r="H1694" s="16"/>
      <c r="I1694" s="14"/>
    </row>
    <row r="1695">
      <c r="A1695" s="14">
        <v>410.0</v>
      </c>
      <c r="B1695" s="14">
        <v>4.6733338E7</v>
      </c>
      <c r="C1695" s="14">
        <v>1.8481797E8</v>
      </c>
      <c r="D1695" s="2" t="s">
        <v>3170</v>
      </c>
      <c r="E1695" s="1" t="s">
        <v>121</v>
      </c>
      <c r="F1695" s="14">
        <v>0.6249</v>
      </c>
      <c r="G1695" s="15"/>
      <c r="H1695" s="16"/>
      <c r="I1695" s="14"/>
    </row>
    <row r="1696">
      <c r="A1696" s="14">
        <v>564.0</v>
      </c>
      <c r="B1696" s="14">
        <v>5.1169484E7</v>
      </c>
      <c r="C1696" s="14">
        <v>2.02970143E8</v>
      </c>
      <c r="D1696" s="2" t="s">
        <v>2981</v>
      </c>
      <c r="E1696" s="1" t="s">
        <v>121</v>
      </c>
      <c r="F1696" s="14">
        <v>0.6249</v>
      </c>
      <c r="G1696" s="15"/>
      <c r="H1696" s="16"/>
      <c r="I1696" s="14"/>
    </row>
    <row r="1697">
      <c r="A1697" s="14">
        <v>215.0</v>
      </c>
      <c r="B1697" s="14">
        <v>5.2059535E7</v>
      </c>
      <c r="C1697" s="14">
        <v>2.0690574E8</v>
      </c>
      <c r="D1697" s="2" t="s">
        <v>2941</v>
      </c>
      <c r="E1697" s="1" t="s">
        <v>121</v>
      </c>
      <c r="F1697" s="14">
        <v>0.6249</v>
      </c>
      <c r="G1697" s="15"/>
      <c r="H1697" s="16"/>
      <c r="I1697" s="14"/>
    </row>
    <row r="1698">
      <c r="A1698" s="14">
        <v>319.0</v>
      </c>
      <c r="B1698" s="14">
        <v>5.8358075E7</v>
      </c>
      <c r="C1698" s="14">
        <v>2.3279709E8</v>
      </c>
      <c r="D1698" s="2" t="s">
        <v>2745</v>
      </c>
      <c r="E1698" s="1" t="s">
        <v>121</v>
      </c>
      <c r="F1698" s="14">
        <v>0.6249</v>
      </c>
      <c r="G1698" s="15"/>
      <c r="H1698" s="16"/>
      <c r="I1698" s="14"/>
    </row>
    <row r="1699">
      <c r="A1699" s="14">
        <v>458.0</v>
      </c>
      <c r="B1699" s="14">
        <v>6.1498674E7</v>
      </c>
      <c r="C1699" s="14">
        <v>2.47675717E8</v>
      </c>
      <c r="D1699" s="2" t="s">
        <v>2632</v>
      </c>
      <c r="E1699" s="1" t="s">
        <v>121</v>
      </c>
      <c r="F1699" s="14">
        <v>0.6249</v>
      </c>
      <c r="G1699" s="15"/>
      <c r="H1699" s="16"/>
      <c r="I1699" s="14"/>
    </row>
    <row r="1700">
      <c r="A1700" s="14">
        <v>569.0</v>
      </c>
      <c r="B1700" s="14">
        <v>7.3783695E7</v>
      </c>
      <c r="C1700" s="14">
        <v>3.05242605E8</v>
      </c>
      <c r="D1700" s="2" t="s">
        <v>2066</v>
      </c>
      <c r="E1700" s="1" t="s">
        <v>121</v>
      </c>
      <c r="F1700" s="14">
        <v>0.6249</v>
      </c>
      <c r="G1700" s="15"/>
      <c r="H1700" s="16"/>
      <c r="I1700" s="14"/>
    </row>
    <row r="1701">
      <c r="A1701" s="14">
        <v>671.0</v>
      </c>
      <c r="B1701" s="14">
        <v>9.9653808E7</v>
      </c>
      <c r="C1701" s="14">
        <v>4.27062939E8</v>
      </c>
      <c r="D1701" s="2" t="s">
        <v>611</v>
      </c>
      <c r="E1701" s="1" t="s">
        <v>121</v>
      </c>
      <c r="F1701" s="14">
        <v>0.6249</v>
      </c>
      <c r="G1701" s="15"/>
      <c r="H1701" s="16"/>
      <c r="I1701" s="14"/>
    </row>
    <row r="1702">
      <c r="A1702" s="14">
        <v>531.0</v>
      </c>
      <c r="B1702" s="14">
        <v>6.3315767E7</v>
      </c>
      <c r="C1702" s="14">
        <v>2.56654073E8</v>
      </c>
      <c r="D1702" s="2" t="s">
        <v>2554</v>
      </c>
      <c r="E1702" s="1" t="s">
        <v>107</v>
      </c>
      <c r="F1702" s="14">
        <v>0.6239</v>
      </c>
      <c r="G1702" s="15"/>
      <c r="H1702" s="16"/>
      <c r="I1702" s="14"/>
    </row>
    <row r="1703">
      <c r="A1703" s="14">
        <v>587.0</v>
      </c>
      <c r="B1703" s="14">
        <v>8.0432612E7</v>
      </c>
      <c r="C1703" s="14">
        <v>3.36271557E8</v>
      </c>
      <c r="D1703" s="2" t="s">
        <v>1725</v>
      </c>
      <c r="E1703" s="1" t="s">
        <v>107</v>
      </c>
      <c r="F1703" s="14">
        <v>0.6239</v>
      </c>
      <c r="G1703" s="15"/>
      <c r="H1703" s="16"/>
      <c r="I1703" s="14"/>
    </row>
    <row r="1704">
      <c r="A1704" s="14">
        <v>571.0</v>
      </c>
      <c r="B1704" s="14">
        <v>5.1032293E7</v>
      </c>
      <c r="C1704" s="14">
        <v>2.0222743E8</v>
      </c>
      <c r="D1704" s="2" t="s">
        <v>2985</v>
      </c>
      <c r="E1704" s="1" t="s">
        <v>699</v>
      </c>
      <c r="F1704" s="14">
        <v>0.6239</v>
      </c>
      <c r="G1704" s="15"/>
      <c r="H1704" s="16"/>
      <c r="I1704" s="14"/>
    </row>
    <row r="1705">
      <c r="A1705" s="14">
        <v>671.0</v>
      </c>
      <c r="B1705" s="14">
        <v>8.3447533E7</v>
      </c>
      <c r="C1705" s="14">
        <v>3.5043293E8</v>
      </c>
      <c r="D1705" s="2" t="s">
        <v>1554</v>
      </c>
      <c r="E1705" s="1" t="s">
        <v>699</v>
      </c>
      <c r="F1705" s="14">
        <v>0.6239</v>
      </c>
      <c r="G1705" s="15"/>
      <c r="H1705" s="16"/>
      <c r="I1705" s="14"/>
    </row>
    <row r="1706">
      <c r="A1706" s="14">
        <v>602.0</v>
      </c>
      <c r="B1706" s="14">
        <v>1.10248734E8</v>
      </c>
      <c r="C1706" s="14">
        <v>4.77672832E8</v>
      </c>
      <c r="D1706" s="2" t="s">
        <v>76</v>
      </c>
      <c r="E1706" s="1" t="s">
        <v>699</v>
      </c>
      <c r="F1706" s="14">
        <v>0.6239</v>
      </c>
      <c r="G1706" s="15"/>
      <c r="H1706" s="16"/>
      <c r="I1706" s="14"/>
    </row>
    <row r="1707">
      <c r="A1707" s="14">
        <v>403.0</v>
      </c>
      <c r="B1707" s="14">
        <v>4.6754642E7</v>
      </c>
      <c r="C1707" s="14">
        <v>1.85005594E8</v>
      </c>
      <c r="D1707" s="2" t="s">
        <v>3166</v>
      </c>
      <c r="E1707" s="1" t="s">
        <v>121</v>
      </c>
      <c r="F1707" s="14">
        <v>0.6239</v>
      </c>
      <c r="G1707" s="15"/>
      <c r="H1707" s="16"/>
      <c r="I1707" s="14"/>
    </row>
    <row r="1708">
      <c r="A1708" s="14">
        <v>671.0</v>
      </c>
      <c r="B1708" s="14">
        <v>7248456.0</v>
      </c>
      <c r="C1708" s="14">
        <v>3.0804168E7</v>
      </c>
      <c r="D1708" s="2" t="s">
        <v>3943</v>
      </c>
      <c r="E1708" s="1" t="s">
        <v>121</v>
      </c>
      <c r="F1708" s="14">
        <v>0.6231</v>
      </c>
      <c r="G1708" s="15"/>
      <c r="H1708" s="16"/>
      <c r="I1708" s="14"/>
    </row>
    <row r="1709">
      <c r="A1709" s="14">
        <v>531.0</v>
      </c>
      <c r="B1709" s="14">
        <v>9010776.0</v>
      </c>
      <c r="C1709" s="14">
        <v>3.8170189E7</v>
      </c>
      <c r="D1709" s="2" t="s">
        <v>3944</v>
      </c>
      <c r="E1709" s="1" t="s">
        <v>107</v>
      </c>
      <c r="F1709" s="14">
        <v>0.6224</v>
      </c>
      <c r="G1709" s="15"/>
      <c r="H1709" s="16"/>
      <c r="I1709" s="14"/>
    </row>
    <row r="1710">
      <c r="A1710" s="14">
        <v>225.0</v>
      </c>
      <c r="B1710" s="14">
        <v>2561217.0</v>
      </c>
      <c r="C1710" s="14">
        <v>1.0892274E7</v>
      </c>
      <c r="D1710" s="2" t="s">
        <v>3947</v>
      </c>
      <c r="E1710" s="1" t="s">
        <v>107</v>
      </c>
      <c r="F1710" s="14">
        <v>0.6213</v>
      </c>
      <c r="G1710" s="15"/>
      <c r="H1710" s="16"/>
      <c r="I1710" s="14"/>
    </row>
    <row r="1711">
      <c r="A1711" s="14">
        <v>673.0</v>
      </c>
      <c r="B1711" s="14">
        <v>2901301.0</v>
      </c>
      <c r="C1711" s="14">
        <v>1.2288175E7</v>
      </c>
      <c r="D1711" s="2" t="s">
        <v>3949</v>
      </c>
      <c r="E1711" s="1" t="s">
        <v>107</v>
      </c>
      <c r="F1711" s="14">
        <v>0.6213</v>
      </c>
      <c r="G1711" s="15"/>
      <c r="H1711" s="16"/>
      <c r="I1711" s="14"/>
    </row>
    <row r="1712">
      <c r="A1712" s="14">
        <v>673.0</v>
      </c>
      <c r="B1712" s="14">
        <v>6.8671545E7</v>
      </c>
      <c r="C1712" s="14">
        <v>2.82527531E8</v>
      </c>
      <c r="D1712" s="2" t="s">
        <v>2298</v>
      </c>
      <c r="E1712" s="1" t="s">
        <v>107</v>
      </c>
      <c r="F1712" s="14">
        <v>0.6213</v>
      </c>
      <c r="G1712" s="15"/>
      <c r="H1712" s="16"/>
      <c r="I1712" s="14"/>
    </row>
    <row r="1713">
      <c r="A1713" s="14">
        <v>667.0</v>
      </c>
      <c r="B1713" s="14">
        <v>9.0394694E7</v>
      </c>
      <c r="C1713" s="14">
        <v>3.8325076E8</v>
      </c>
      <c r="D1713" s="2" t="s">
        <v>1120</v>
      </c>
      <c r="E1713" s="1" t="s">
        <v>121</v>
      </c>
      <c r="F1713" s="14">
        <v>0.6213</v>
      </c>
      <c r="G1713" s="15"/>
      <c r="H1713" s="16"/>
      <c r="I1713" s="14"/>
    </row>
    <row r="1714">
      <c r="A1714" s="14">
        <v>410.0</v>
      </c>
      <c r="B1714" s="14">
        <v>4.6089655E7</v>
      </c>
      <c r="C1714" s="14">
        <v>1.82624532E8</v>
      </c>
      <c r="D1714" s="2" t="s">
        <v>3209</v>
      </c>
      <c r="E1714" s="1" t="s">
        <v>107</v>
      </c>
      <c r="F1714" s="14">
        <v>0.6209</v>
      </c>
      <c r="G1714" s="15"/>
      <c r="H1714" s="16"/>
      <c r="I1714" s="14"/>
    </row>
    <row r="1715">
      <c r="A1715" s="14">
        <v>587.0</v>
      </c>
      <c r="B1715" s="14">
        <v>4.1850343E7</v>
      </c>
      <c r="C1715" s="14">
        <v>1.68796365E8</v>
      </c>
      <c r="D1715" s="2" t="s">
        <v>3324</v>
      </c>
      <c r="E1715" s="1" t="s">
        <v>699</v>
      </c>
      <c r="F1715" s="14">
        <v>0.6209</v>
      </c>
      <c r="G1715" s="15"/>
      <c r="H1715" s="16"/>
      <c r="I1715" s="14"/>
    </row>
    <row r="1716">
      <c r="A1716" s="14">
        <v>522.0</v>
      </c>
      <c r="B1716" s="14">
        <v>5.6466964E7</v>
      </c>
      <c r="C1716" s="14">
        <v>2.24464233E8</v>
      </c>
      <c r="D1716" s="2" t="s">
        <v>2805</v>
      </c>
      <c r="E1716" s="1" t="s">
        <v>121</v>
      </c>
      <c r="F1716" s="14">
        <v>0.6209</v>
      </c>
      <c r="G1716" s="15"/>
      <c r="H1716" s="16"/>
      <c r="I1716" s="14"/>
    </row>
    <row r="1717">
      <c r="A1717" s="14">
        <v>203.0</v>
      </c>
      <c r="B1717" s="14">
        <v>1.341828E7</v>
      </c>
      <c r="C1717" s="14">
        <v>1.06551497E8</v>
      </c>
      <c r="D1717" s="2" t="s">
        <v>3951</v>
      </c>
      <c r="E1717" s="1" t="s">
        <v>107</v>
      </c>
      <c r="F1717" s="14">
        <v>0.6199</v>
      </c>
      <c r="G1717" s="15"/>
      <c r="H1717" s="16"/>
      <c r="I1717" s="14"/>
    </row>
    <row r="1718">
      <c r="A1718" s="14">
        <v>172.0</v>
      </c>
      <c r="B1718" s="14">
        <v>5.3152818E7</v>
      </c>
      <c r="C1718" s="14">
        <v>2.11008732E8</v>
      </c>
      <c r="D1718" s="2" t="s">
        <v>2907</v>
      </c>
      <c r="E1718" s="1" t="s">
        <v>107</v>
      </c>
      <c r="F1718" s="14">
        <v>0.6191</v>
      </c>
      <c r="G1718" s="15"/>
      <c r="H1718" s="16"/>
      <c r="I1718" s="14"/>
    </row>
    <row r="1719">
      <c r="A1719" s="14">
        <v>609.0</v>
      </c>
      <c r="B1719" s="14">
        <v>7518760.0</v>
      </c>
      <c r="C1719" s="14">
        <v>3.2081216E7</v>
      </c>
      <c r="D1719" s="2" t="s">
        <v>3954</v>
      </c>
      <c r="E1719" s="1" t="s">
        <v>121</v>
      </c>
      <c r="F1719" s="14">
        <v>0.6189</v>
      </c>
      <c r="G1719" s="15"/>
      <c r="H1719" s="16"/>
      <c r="I1719" s="14"/>
    </row>
    <row r="1720">
      <c r="A1720" s="14">
        <v>378.0</v>
      </c>
      <c r="B1720" s="14">
        <v>2.0824444E7</v>
      </c>
      <c r="C1720" s="14">
        <v>8.6459688E7</v>
      </c>
      <c r="D1720" s="2" t="s">
        <v>3847</v>
      </c>
      <c r="E1720" s="1" t="s">
        <v>121</v>
      </c>
      <c r="F1720" s="14">
        <v>0.6183</v>
      </c>
      <c r="G1720" s="15"/>
      <c r="H1720" s="16"/>
      <c r="I1720" s="14"/>
    </row>
    <row r="1721">
      <c r="A1721" s="14">
        <v>571.0</v>
      </c>
      <c r="B1721" s="14">
        <v>1.218145E7</v>
      </c>
      <c r="C1721" s="14">
        <v>5.1758902E7</v>
      </c>
      <c r="D1721" s="2" t="s">
        <v>3958</v>
      </c>
      <c r="E1721" s="1" t="s">
        <v>121</v>
      </c>
      <c r="F1721" s="14">
        <v>0.618</v>
      </c>
      <c r="G1721" s="15"/>
      <c r="H1721" s="16"/>
      <c r="I1721" s="14"/>
    </row>
    <row r="1722">
      <c r="A1722" s="14">
        <v>571.0</v>
      </c>
      <c r="B1722" s="14">
        <v>2542620.0</v>
      </c>
      <c r="C1722" s="14">
        <v>1.0774589E7</v>
      </c>
      <c r="D1722" s="2" t="s">
        <v>3959</v>
      </c>
      <c r="E1722" s="1" t="s">
        <v>107</v>
      </c>
      <c r="F1722" s="14">
        <v>0.6169</v>
      </c>
      <c r="G1722" s="15"/>
      <c r="H1722" s="16"/>
      <c r="I1722" s="14"/>
    </row>
    <row r="1723">
      <c r="A1723" s="14">
        <v>120.0</v>
      </c>
      <c r="B1723" s="14">
        <v>490409.0</v>
      </c>
      <c r="C1723" s="14">
        <v>2310257.0</v>
      </c>
      <c r="D1723" s="2" t="s">
        <v>3960</v>
      </c>
      <c r="E1723" s="1" t="s">
        <v>107</v>
      </c>
      <c r="F1723" s="14">
        <v>0.6166</v>
      </c>
      <c r="G1723" s="15"/>
      <c r="H1723" s="16"/>
      <c r="I1723" s="14"/>
    </row>
    <row r="1724">
      <c r="A1724" s="14">
        <v>355.0</v>
      </c>
      <c r="B1724" s="14">
        <v>6.2858481E7</v>
      </c>
      <c r="C1724" s="14">
        <v>2.54446212E8</v>
      </c>
      <c r="D1724" s="2" t="s">
        <v>2577</v>
      </c>
      <c r="E1724" s="1" t="s">
        <v>107</v>
      </c>
      <c r="F1724" s="14">
        <v>0.6149</v>
      </c>
      <c r="G1724" s="15"/>
      <c r="H1724" s="16"/>
      <c r="I1724" s="14"/>
    </row>
    <row r="1725">
      <c r="A1725" s="14">
        <v>410.0</v>
      </c>
      <c r="B1725" s="14">
        <v>1.8013474E7</v>
      </c>
      <c r="C1725" s="14">
        <v>7.5964758E7</v>
      </c>
      <c r="D1725" s="2" t="s">
        <v>3937</v>
      </c>
      <c r="E1725" s="1" t="s">
        <v>121</v>
      </c>
      <c r="F1725" s="14">
        <v>0.6134</v>
      </c>
      <c r="G1725" s="15"/>
      <c r="H1725" s="16"/>
      <c r="I1725" s="14"/>
    </row>
    <row r="1726">
      <c r="A1726" s="14">
        <v>641.0</v>
      </c>
      <c r="B1726" s="14">
        <v>3418709.0</v>
      </c>
      <c r="C1726" s="14">
        <v>1.4504636E7</v>
      </c>
      <c r="D1726" s="2" t="s">
        <v>3962</v>
      </c>
      <c r="E1726" s="1" t="s">
        <v>121</v>
      </c>
      <c r="F1726" s="14">
        <v>0.6131</v>
      </c>
      <c r="G1726" s="15"/>
      <c r="H1726" s="16"/>
      <c r="I1726" s="14"/>
    </row>
    <row r="1727">
      <c r="A1727" s="14">
        <v>656.0</v>
      </c>
      <c r="B1727" s="14">
        <v>3995370.0</v>
      </c>
      <c r="C1727" s="14">
        <v>2.02206827E8</v>
      </c>
      <c r="D1727" s="2" t="s">
        <v>3964</v>
      </c>
      <c r="E1727" s="1" t="s">
        <v>107</v>
      </c>
      <c r="F1727" s="14">
        <v>0.6124</v>
      </c>
      <c r="G1727" s="15"/>
      <c r="H1727" s="16"/>
      <c r="I1727" s="14"/>
    </row>
    <row r="1728">
      <c r="A1728" s="14">
        <v>679.0</v>
      </c>
      <c r="B1728" s="14">
        <v>4.6387897E7</v>
      </c>
      <c r="C1728" s="14">
        <v>1.83089159E8</v>
      </c>
      <c r="D1728" s="2" t="s">
        <v>3193</v>
      </c>
      <c r="E1728" s="1" t="s">
        <v>107</v>
      </c>
      <c r="F1728" s="14">
        <v>0.6124</v>
      </c>
      <c r="G1728" s="15"/>
      <c r="H1728" s="16"/>
      <c r="I1728" s="14"/>
    </row>
    <row r="1729">
      <c r="A1729" s="14">
        <v>645.0</v>
      </c>
      <c r="B1729" s="14">
        <v>6.5247872E7</v>
      </c>
      <c r="C1729" s="14">
        <v>2.65781795E8</v>
      </c>
      <c r="D1729" s="2" t="s">
        <v>2480</v>
      </c>
      <c r="E1729" s="1" t="s">
        <v>107</v>
      </c>
      <c r="F1729" s="14">
        <v>0.6124</v>
      </c>
      <c r="G1729" s="15"/>
      <c r="H1729" s="16"/>
      <c r="I1729" s="14"/>
    </row>
    <row r="1730">
      <c r="A1730" s="14">
        <v>380.0</v>
      </c>
      <c r="B1730" s="14">
        <v>8.5342082E7</v>
      </c>
      <c r="C1730" s="14">
        <v>3.59565131E8</v>
      </c>
      <c r="D1730" s="2" t="s">
        <v>1406</v>
      </c>
      <c r="E1730" s="1" t="s">
        <v>107</v>
      </c>
      <c r="F1730" s="14">
        <v>0.6124</v>
      </c>
      <c r="G1730" s="15"/>
      <c r="H1730" s="16"/>
      <c r="I1730" s="14"/>
    </row>
    <row r="1731">
      <c r="A1731" s="14">
        <v>455.0</v>
      </c>
      <c r="B1731" s="14">
        <v>9.1213238E7</v>
      </c>
      <c r="C1731" s="14">
        <v>3.87020447E8</v>
      </c>
      <c r="D1731" s="2" t="s">
        <v>1067</v>
      </c>
      <c r="E1731" s="1" t="s">
        <v>107</v>
      </c>
      <c r="F1731" s="14">
        <v>0.6124</v>
      </c>
      <c r="G1731" s="15"/>
      <c r="H1731" s="16"/>
      <c r="I1731" s="14"/>
    </row>
    <row r="1732">
      <c r="A1732" s="14">
        <v>244.0</v>
      </c>
      <c r="B1732" s="14">
        <v>1.1105746E7</v>
      </c>
      <c r="C1732" s="14">
        <v>4.7193711E7</v>
      </c>
      <c r="D1732" s="2" t="s">
        <v>3972</v>
      </c>
      <c r="E1732" s="1" t="s">
        <v>699</v>
      </c>
      <c r="F1732" s="14">
        <v>0.6124</v>
      </c>
      <c r="G1732" s="15"/>
      <c r="H1732" s="16"/>
      <c r="I1732" s="14"/>
    </row>
    <row r="1733">
      <c r="A1733" s="14">
        <v>671.0</v>
      </c>
      <c r="B1733" s="14">
        <v>1.4661468E7</v>
      </c>
      <c r="C1733" s="14">
        <v>2.06597799E8</v>
      </c>
      <c r="D1733" s="2" t="s">
        <v>3974</v>
      </c>
      <c r="E1733" s="1" t="s">
        <v>699</v>
      </c>
      <c r="F1733" s="14">
        <v>0.6124</v>
      </c>
      <c r="G1733" s="15"/>
      <c r="H1733" s="16"/>
      <c r="I1733" s="14"/>
    </row>
    <row r="1734">
      <c r="A1734" s="14">
        <v>244.0</v>
      </c>
      <c r="B1734" s="14">
        <v>4.690097E7</v>
      </c>
      <c r="C1734" s="14">
        <v>1.85505817E8</v>
      </c>
      <c r="D1734" s="2" t="s">
        <v>3159</v>
      </c>
      <c r="E1734" s="1" t="s">
        <v>699</v>
      </c>
      <c r="F1734" s="14">
        <v>0.6124</v>
      </c>
      <c r="G1734" s="15"/>
      <c r="H1734" s="16"/>
      <c r="I1734" s="14"/>
    </row>
    <row r="1735">
      <c r="A1735" s="14">
        <v>488.0</v>
      </c>
      <c r="B1735" s="14">
        <v>5.3816161E7</v>
      </c>
      <c r="C1735" s="14">
        <v>2.13705548E8</v>
      </c>
      <c r="D1735" s="2" t="s">
        <v>2883</v>
      </c>
      <c r="E1735" s="1" t="s">
        <v>699</v>
      </c>
      <c r="F1735" s="14">
        <v>0.6124</v>
      </c>
      <c r="G1735" s="15"/>
      <c r="H1735" s="16"/>
      <c r="I1735" s="14"/>
    </row>
    <row r="1736">
      <c r="A1736" s="14">
        <v>194.0</v>
      </c>
      <c r="B1736" s="14">
        <v>6.0628857E7</v>
      </c>
      <c r="C1736" s="14">
        <v>2.43511562E8</v>
      </c>
      <c r="D1736" s="2" t="s">
        <v>2665</v>
      </c>
      <c r="E1736" s="1" t="s">
        <v>699</v>
      </c>
      <c r="F1736" s="14">
        <v>0.6124</v>
      </c>
      <c r="G1736" s="15"/>
      <c r="H1736" s="16"/>
      <c r="I1736" s="14"/>
    </row>
    <row r="1737">
      <c r="A1737" s="14">
        <v>319.0</v>
      </c>
      <c r="B1737" s="14">
        <v>6.4483605E7</v>
      </c>
      <c r="C1737" s="14">
        <v>2.62052098E8</v>
      </c>
      <c r="D1737" s="2" t="s">
        <v>2514</v>
      </c>
      <c r="E1737" s="1" t="s">
        <v>699</v>
      </c>
      <c r="F1737" s="14">
        <v>0.6124</v>
      </c>
      <c r="G1737" s="15"/>
      <c r="H1737" s="16"/>
      <c r="I1737" s="14"/>
    </row>
    <row r="1738">
      <c r="A1738" s="14">
        <v>671.0</v>
      </c>
      <c r="B1738" s="14">
        <v>7.6165286E7</v>
      </c>
      <c r="C1738" s="14">
        <v>3.16066162E8</v>
      </c>
      <c r="D1738" s="2" t="s">
        <v>1958</v>
      </c>
      <c r="E1738" s="1" t="s">
        <v>699</v>
      </c>
      <c r="F1738" s="14">
        <v>0.6124</v>
      </c>
      <c r="G1738" s="15"/>
      <c r="H1738" s="16"/>
      <c r="I1738" s="14"/>
    </row>
    <row r="1739">
      <c r="A1739" s="14">
        <v>664.0</v>
      </c>
      <c r="B1739" s="14">
        <v>7.6312091E7</v>
      </c>
      <c r="C1739" s="14">
        <v>3.16663599E8</v>
      </c>
      <c r="D1739" s="2" t="s">
        <v>1955</v>
      </c>
      <c r="E1739" s="1" t="s">
        <v>699</v>
      </c>
      <c r="F1739" s="14">
        <v>0.6124</v>
      </c>
      <c r="G1739" s="15"/>
      <c r="H1739" s="16"/>
      <c r="I1739" s="14"/>
    </row>
    <row r="1740">
      <c r="A1740" s="14">
        <v>602.0</v>
      </c>
      <c r="B1740" s="14">
        <v>7.9522642E7</v>
      </c>
      <c r="C1740" s="14">
        <v>3.3222158E8</v>
      </c>
      <c r="D1740" s="2" t="s">
        <v>1764</v>
      </c>
      <c r="E1740" s="1" t="s">
        <v>699</v>
      </c>
      <c r="F1740" s="14">
        <v>0.6124</v>
      </c>
      <c r="G1740" s="15"/>
      <c r="H1740" s="16"/>
      <c r="I1740" s="14"/>
    </row>
    <row r="1741">
      <c r="A1741" s="14">
        <v>716.0</v>
      </c>
      <c r="B1741" s="14">
        <v>8.537236E7</v>
      </c>
      <c r="C1741" s="14">
        <v>3.59833516E8</v>
      </c>
      <c r="D1741" s="2" t="s">
        <v>1402</v>
      </c>
      <c r="E1741" s="1" t="s">
        <v>699</v>
      </c>
      <c r="F1741" s="14">
        <v>0.6124</v>
      </c>
      <c r="G1741" s="15"/>
      <c r="H1741" s="16"/>
      <c r="I1741" s="14"/>
    </row>
    <row r="1742">
      <c r="A1742" s="14">
        <v>337.0</v>
      </c>
      <c r="B1742" s="14">
        <v>8.7695286E7</v>
      </c>
      <c r="C1742" s="14">
        <v>3.71290074E8</v>
      </c>
      <c r="D1742" s="2" t="s">
        <v>1254</v>
      </c>
      <c r="E1742" s="1" t="s">
        <v>699</v>
      </c>
      <c r="F1742" s="14">
        <v>0.6124</v>
      </c>
      <c r="G1742" s="15"/>
      <c r="H1742" s="16"/>
      <c r="I1742" s="14"/>
    </row>
    <row r="1743">
      <c r="A1743" s="14">
        <v>243.0</v>
      </c>
      <c r="B1743" s="14">
        <v>1671548.0</v>
      </c>
      <c r="C1743" s="14">
        <v>7304119.0</v>
      </c>
      <c r="D1743" s="2" t="s">
        <v>3981</v>
      </c>
      <c r="E1743" s="1" t="s">
        <v>121</v>
      </c>
      <c r="F1743" s="14">
        <v>0.6124</v>
      </c>
      <c r="G1743" s="15"/>
      <c r="H1743" s="16"/>
      <c r="I1743" s="14"/>
    </row>
    <row r="1744">
      <c r="A1744" s="14">
        <v>671.0</v>
      </c>
      <c r="B1744" s="14">
        <v>3512569.0</v>
      </c>
      <c r="C1744" s="14">
        <v>1.4865554E7</v>
      </c>
      <c r="D1744" s="2" t="s">
        <v>3982</v>
      </c>
      <c r="E1744" s="1" t="s">
        <v>121</v>
      </c>
      <c r="F1744" s="14">
        <v>0.6124</v>
      </c>
      <c r="G1744" s="15"/>
      <c r="H1744" s="16"/>
      <c r="I1744" s="14"/>
    </row>
    <row r="1745">
      <c r="A1745" s="14">
        <v>228.0</v>
      </c>
      <c r="B1745" s="14">
        <v>1.0148568E7</v>
      </c>
      <c r="C1745" s="14">
        <v>4.3229285E7</v>
      </c>
      <c r="D1745" s="2" t="s">
        <v>3984</v>
      </c>
      <c r="E1745" s="1" t="s">
        <v>121</v>
      </c>
      <c r="F1745" s="14">
        <v>0.6124</v>
      </c>
      <c r="G1745" s="15"/>
      <c r="H1745" s="16"/>
      <c r="I1745" s="14"/>
    </row>
    <row r="1746">
      <c r="A1746" s="14">
        <v>609.0</v>
      </c>
      <c r="B1746" s="14">
        <v>1.0717718E7</v>
      </c>
      <c r="C1746" s="14">
        <v>4.5680966E7</v>
      </c>
      <c r="D1746" s="2" t="s">
        <v>3985</v>
      </c>
      <c r="E1746" s="1" t="s">
        <v>121</v>
      </c>
      <c r="F1746" s="14">
        <v>0.6124</v>
      </c>
      <c r="G1746" s="15"/>
      <c r="H1746" s="16"/>
      <c r="I1746" s="14"/>
    </row>
    <row r="1747">
      <c r="A1747" s="14">
        <v>407.0</v>
      </c>
      <c r="B1747" s="14">
        <v>2.6213496E7</v>
      </c>
      <c r="C1747" s="14">
        <v>1.06408103E8</v>
      </c>
      <c r="D1747" s="2" t="s">
        <v>3699</v>
      </c>
      <c r="E1747" s="1" t="s">
        <v>121</v>
      </c>
      <c r="F1747" s="14">
        <v>0.6124</v>
      </c>
      <c r="G1747" s="15"/>
      <c r="H1747" s="16"/>
      <c r="I1747" s="14"/>
    </row>
    <row r="1748">
      <c r="A1748" s="14">
        <v>578.0</v>
      </c>
      <c r="B1748" s="14">
        <v>3.480553E7</v>
      </c>
      <c r="C1748" s="14">
        <v>1.38906626E8</v>
      </c>
      <c r="D1748" s="2" t="s">
        <v>3488</v>
      </c>
      <c r="E1748" s="1" t="s">
        <v>121</v>
      </c>
      <c r="F1748" s="14">
        <v>0.6124</v>
      </c>
      <c r="G1748" s="15"/>
      <c r="H1748" s="16"/>
      <c r="I1748" s="14"/>
    </row>
    <row r="1749">
      <c r="A1749" s="14">
        <v>380.0</v>
      </c>
      <c r="B1749" s="14">
        <v>7.0060693E7</v>
      </c>
      <c r="C1749" s="14">
        <v>2.88768476E8</v>
      </c>
      <c r="D1749" s="2" t="s">
        <v>2218</v>
      </c>
      <c r="E1749" s="1" t="s">
        <v>121</v>
      </c>
      <c r="F1749" s="14">
        <v>0.6124</v>
      </c>
      <c r="G1749" s="15"/>
      <c r="H1749" s="16"/>
      <c r="I1749" s="14"/>
    </row>
    <row r="1750">
      <c r="A1750" s="14">
        <v>630.0</v>
      </c>
      <c r="B1750" s="14">
        <v>8.6170771E7</v>
      </c>
      <c r="C1750" s="14">
        <v>3.63847064E8</v>
      </c>
      <c r="D1750" s="2" t="s">
        <v>1356</v>
      </c>
      <c r="E1750" s="1" t="s">
        <v>121</v>
      </c>
      <c r="F1750" s="14">
        <v>0.6124</v>
      </c>
      <c r="G1750" s="15"/>
      <c r="H1750" s="16"/>
      <c r="I1750" s="14"/>
    </row>
    <row r="1751">
      <c r="A1751" s="14">
        <v>353.0</v>
      </c>
      <c r="B1751" s="14">
        <v>8.8956933E7</v>
      </c>
      <c r="C1751" s="14">
        <v>3.76637921E8</v>
      </c>
      <c r="D1751" s="2" t="s">
        <v>1189</v>
      </c>
      <c r="E1751" s="1" t="s">
        <v>121</v>
      </c>
      <c r="F1751" s="14">
        <v>0.6124</v>
      </c>
      <c r="G1751" s="15"/>
      <c r="H1751" s="16"/>
      <c r="I1751" s="14"/>
    </row>
    <row r="1752">
      <c r="A1752" s="14">
        <v>578.0</v>
      </c>
      <c r="B1752" s="14">
        <v>9.5464956E7</v>
      </c>
      <c r="C1752" s="14">
        <v>4.06513617E8</v>
      </c>
      <c r="D1752" s="2" t="s">
        <v>858</v>
      </c>
      <c r="E1752" s="1" t="s">
        <v>121</v>
      </c>
      <c r="F1752" s="14">
        <v>0.6124</v>
      </c>
      <c r="G1752" s="15"/>
      <c r="H1752" s="16"/>
      <c r="I1752" s="14"/>
    </row>
    <row r="1753">
      <c r="A1753" s="14">
        <v>421.0</v>
      </c>
      <c r="B1753" s="14">
        <v>8.3812747E7</v>
      </c>
      <c r="C1753" s="14">
        <v>3.52462403E8</v>
      </c>
      <c r="D1753" s="2" t="s">
        <v>1526</v>
      </c>
      <c r="E1753" s="1" t="s">
        <v>107</v>
      </c>
      <c r="F1753" s="14">
        <v>0.6115</v>
      </c>
      <c r="G1753" s="15"/>
      <c r="H1753" s="16"/>
      <c r="I1753" s="14"/>
    </row>
    <row r="1754">
      <c r="A1754" s="14">
        <v>578.0</v>
      </c>
      <c r="B1754" s="14">
        <v>9.8000945E7</v>
      </c>
      <c r="C1754" s="14">
        <v>4.3204374E8</v>
      </c>
      <c r="D1754" s="2" t="s">
        <v>703</v>
      </c>
      <c r="E1754" s="1" t="s">
        <v>107</v>
      </c>
      <c r="F1754" s="14">
        <v>0.6115</v>
      </c>
      <c r="G1754" s="15"/>
      <c r="H1754" s="16"/>
      <c r="I1754" s="14"/>
    </row>
    <row r="1755">
      <c r="A1755" s="14">
        <v>671.0</v>
      </c>
      <c r="B1755" s="14">
        <v>1.01137387E8</v>
      </c>
      <c r="C1755" s="14">
        <v>4.34136226E8</v>
      </c>
      <c r="D1755" s="2" t="s">
        <v>525</v>
      </c>
      <c r="E1755" s="1" t="s">
        <v>107</v>
      </c>
      <c r="F1755" s="14">
        <v>0.6115</v>
      </c>
      <c r="G1755" s="15"/>
      <c r="H1755" s="16"/>
      <c r="I1755" s="14"/>
    </row>
    <row r="1756">
      <c r="A1756" s="14">
        <v>525.0</v>
      </c>
      <c r="B1756" s="14">
        <v>5030642.0</v>
      </c>
      <c r="C1756" s="14">
        <v>3.964885E7</v>
      </c>
      <c r="D1756" s="2" t="s">
        <v>3994</v>
      </c>
      <c r="E1756" s="1" t="s">
        <v>107</v>
      </c>
      <c r="F1756" s="14">
        <v>0.6114</v>
      </c>
      <c r="G1756" s="15"/>
      <c r="H1756" s="16"/>
      <c r="I1756" s="14"/>
    </row>
    <row r="1757">
      <c r="A1757" s="14">
        <v>410.0</v>
      </c>
      <c r="B1757" s="14">
        <v>8370647.0</v>
      </c>
      <c r="C1757" s="14">
        <v>3.5524492E7</v>
      </c>
      <c r="D1757" s="2" t="s">
        <v>3995</v>
      </c>
      <c r="E1757" s="1" t="s">
        <v>107</v>
      </c>
      <c r="F1757" s="14">
        <v>0.6114</v>
      </c>
      <c r="G1757" s="15"/>
      <c r="H1757" s="16"/>
      <c r="I1757" s="14"/>
    </row>
    <row r="1758">
      <c r="A1758" s="14">
        <v>380.0</v>
      </c>
      <c r="B1758" s="14">
        <v>7.7642497E7</v>
      </c>
      <c r="C1758" s="14">
        <v>3.23187818E8</v>
      </c>
      <c r="D1758" s="2" t="s">
        <v>1888</v>
      </c>
      <c r="E1758" s="1" t="s">
        <v>107</v>
      </c>
      <c r="F1758" s="14">
        <v>0.6114</v>
      </c>
      <c r="G1758" s="15"/>
      <c r="H1758" s="16"/>
      <c r="I1758" s="14"/>
    </row>
    <row r="1759">
      <c r="A1759" s="14">
        <v>471.0</v>
      </c>
      <c r="B1759" s="14">
        <v>9.9498838E7</v>
      </c>
      <c r="C1759" s="14">
        <v>4.25977524E8</v>
      </c>
      <c r="D1759" s="2" t="s">
        <v>617</v>
      </c>
      <c r="E1759" s="1" t="s">
        <v>107</v>
      </c>
      <c r="F1759" s="14">
        <v>0.6114</v>
      </c>
      <c r="G1759" s="15"/>
      <c r="H1759" s="16"/>
      <c r="I1759" s="14"/>
    </row>
    <row r="1760">
      <c r="A1760" s="14">
        <v>587.0</v>
      </c>
      <c r="B1760" s="14">
        <v>1.00110272E8</v>
      </c>
      <c r="C1760" s="14">
        <v>4.29280925E8</v>
      </c>
      <c r="D1760" s="2" t="s">
        <v>587</v>
      </c>
      <c r="E1760" s="1" t="s">
        <v>699</v>
      </c>
      <c r="F1760" s="14">
        <v>0.6114</v>
      </c>
      <c r="G1760" s="15"/>
      <c r="H1760" s="16"/>
      <c r="I1760" s="14"/>
    </row>
    <row r="1761">
      <c r="A1761" s="14">
        <v>120.0</v>
      </c>
      <c r="B1761" s="14">
        <v>248281.0</v>
      </c>
      <c r="C1761" s="14">
        <v>1044024.0</v>
      </c>
      <c r="D1761" s="2" t="s">
        <v>4000</v>
      </c>
      <c r="E1761" s="1" t="s">
        <v>121</v>
      </c>
      <c r="F1761" s="14">
        <v>0.6114</v>
      </c>
      <c r="G1761" s="15"/>
      <c r="H1761" s="16"/>
      <c r="I1761" s="14"/>
    </row>
    <row r="1762">
      <c r="A1762" s="14">
        <v>173.0</v>
      </c>
      <c r="B1762" s="14">
        <v>660648.0</v>
      </c>
      <c r="C1762" s="14">
        <v>3202910.0</v>
      </c>
      <c r="D1762" s="2" t="s">
        <v>4003</v>
      </c>
      <c r="E1762" s="1" t="s">
        <v>121</v>
      </c>
      <c r="F1762" s="14">
        <v>0.6114</v>
      </c>
      <c r="G1762" s="15"/>
      <c r="H1762" s="16"/>
      <c r="I1762" s="14"/>
    </row>
    <row r="1763">
      <c r="A1763" s="14">
        <v>587.0</v>
      </c>
      <c r="B1763" s="14">
        <v>2.2719788E7</v>
      </c>
      <c r="C1763" s="14">
        <v>9.3660984E7</v>
      </c>
      <c r="D1763" s="2" t="s">
        <v>3784</v>
      </c>
      <c r="E1763" s="1" t="s">
        <v>121</v>
      </c>
      <c r="F1763" s="14">
        <v>0.6114</v>
      </c>
      <c r="G1763" s="15"/>
      <c r="H1763" s="16"/>
      <c r="I1763" s="14"/>
    </row>
    <row r="1764">
      <c r="A1764" s="14">
        <v>715.0</v>
      </c>
      <c r="B1764" s="14">
        <v>7438920.0</v>
      </c>
      <c r="C1764" s="14">
        <v>3.1578822E7</v>
      </c>
      <c r="D1764" s="2" t="s">
        <v>4005</v>
      </c>
      <c r="E1764" s="1" t="s">
        <v>121</v>
      </c>
      <c r="F1764" s="14">
        <v>0.6106</v>
      </c>
      <c r="G1764" s="15"/>
      <c r="H1764" s="16"/>
      <c r="I1764" s="14"/>
    </row>
    <row r="1765">
      <c r="A1765" s="14">
        <v>609.0</v>
      </c>
      <c r="B1765" s="14">
        <v>1.9471671E7</v>
      </c>
      <c r="C1765" s="14">
        <v>8.1396375E7</v>
      </c>
      <c r="D1765" s="2" t="s">
        <v>3891</v>
      </c>
      <c r="E1765" s="1" t="s">
        <v>121</v>
      </c>
      <c r="F1765" s="14">
        <v>0.6088</v>
      </c>
      <c r="G1765" s="15"/>
      <c r="H1765" s="16"/>
      <c r="I1765" s="14"/>
    </row>
    <row r="1766">
      <c r="A1766" s="14">
        <v>671.0</v>
      </c>
      <c r="B1766" s="14">
        <v>7830616.0</v>
      </c>
      <c r="C1766" s="14">
        <v>3.3248909E7</v>
      </c>
      <c r="D1766" s="2" t="s">
        <v>4006</v>
      </c>
      <c r="E1766" s="1" t="s">
        <v>121</v>
      </c>
      <c r="F1766" s="14">
        <v>0.6077</v>
      </c>
      <c r="G1766" s="15"/>
      <c r="H1766" s="16"/>
      <c r="I1766" s="14"/>
    </row>
    <row r="1767">
      <c r="A1767" s="14">
        <v>204.0</v>
      </c>
      <c r="B1767" s="14">
        <v>6.1546142E7</v>
      </c>
      <c r="C1767" s="14">
        <v>2.4800761E8</v>
      </c>
      <c r="D1767" s="2" t="s">
        <v>2629</v>
      </c>
      <c r="E1767" s="1" t="s">
        <v>107</v>
      </c>
      <c r="F1767" s="14">
        <v>0.6076</v>
      </c>
      <c r="G1767" s="15"/>
      <c r="H1767" s="16"/>
      <c r="I1767" s="14"/>
    </row>
    <row r="1768">
      <c r="A1768" s="14">
        <v>173.0</v>
      </c>
      <c r="B1768" s="14">
        <v>9.6708282E7</v>
      </c>
      <c r="C1768" s="14">
        <v>4.1286206E8</v>
      </c>
      <c r="D1768" s="2" t="s">
        <v>778</v>
      </c>
      <c r="E1768" s="1" t="s">
        <v>107</v>
      </c>
      <c r="F1768" s="14">
        <v>0.6055</v>
      </c>
      <c r="G1768" s="15"/>
      <c r="H1768" s="16"/>
      <c r="I1768" s="14"/>
    </row>
    <row r="1769">
      <c r="A1769" s="14">
        <v>355.0</v>
      </c>
      <c r="B1769" s="14">
        <v>4.2679689E7</v>
      </c>
      <c r="C1769" s="14">
        <v>1.69050097E8</v>
      </c>
      <c r="D1769" s="2" t="s">
        <v>3303</v>
      </c>
      <c r="E1769" s="1" t="s">
        <v>121</v>
      </c>
      <c r="F1769" s="14">
        <v>0.6049</v>
      </c>
      <c r="G1769" s="15"/>
      <c r="H1769" s="16"/>
      <c r="I1769" s="14"/>
    </row>
    <row r="1770">
      <c r="A1770" s="14">
        <v>597.0</v>
      </c>
      <c r="B1770" s="14">
        <v>4.2597217E7</v>
      </c>
      <c r="C1770" s="14">
        <v>1.68513738E8</v>
      </c>
      <c r="D1770" s="2" t="s">
        <v>3307</v>
      </c>
      <c r="E1770" s="1" t="s">
        <v>121</v>
      </c>
      <c r="F1770" s="14">
        <v>0.6041</v>
      </c>
      <c r="G1770" s="15"/>
      <c r="H1770" s="16"/>
      <c r="I1770" s="14"/>
    </row>
    <row r="1771">
      <c r="A1771" s="14">
        <v>401.0</v>
      </c>
      <c r="B1771" s="14">
        <v>1122501.0</v>
      </c>
      <c r="C1771" s="14">
        <v>5060999.0</v>
      </c>
      <c r="D1771" s="2" t="s">
        <v>4014</v>
      </c>
      <c r="E1771" s="1" t="s">
        <v>121</v>
      </c>
      <c r="F1771" s="14">
        <v>0.6034</v>
      </c>
      <c r="G1771" s="15"/>
      <c r="H1771" s="16"/>
      <c r="I1771" s="14"/>
    </row>
    <row r="1772">
      <c r="A1772" s="14">
        <v>403.0</v>
      </c>
      <c r="B1772" s="14">
        <v>1.3493639E7</v>
      </c>
      <c r="C1772" s="14">
        <v>5.7262449E7</v>
      </c>
      <c r="D1772" s="2" t="s">
        <v>4017</v>
      </c>
      <c r="E1772" s="1" t="s">
        <v>121</v>
      </c>
      <c r="F1772" s="14">
        <v>0.6031</v>
      </c>
      <c r="G1772" s="15"/>
      <c r="H1772" s="16"/>
      <c r="I1772" s="14"/>
    </row>
    <row r="1773">
      <c r="A1773" s="14">
        <v>671.0</v>
      </c>
      <c r="B1773" s="14">
        <v>2.8241532E7</v>
      </c>
      <c r="C1773" s="14">
        <v>1.13873312E8</v>
      </c>
      <c r="D1773" s="2" t="s">
        <v>3637</v>
      </c>
      <c r="E1773" s="1" t="s">
        <v>121</v>
      </c>
      <c r="F1773" s="14">
        <v>0.6003</v>
      </c>
      <c r="G1773" s="15"/>
      <c r="H1773" s="16"/>
      <c r="I1773" s="14"/>
    </row>
    <row r="1774">
      <c r="A1774" s="14">
        <v>353.0</v>
      </c>
      <c r="B1774" s="14">
        <v>4928539.0</v>
      </c>
      <c r="C1774" s="14">
        <v>2.0944986E7</v>
      </c>
      <c r="D1774" s="2" t="s">
        <v>4020</v>
      </c>
      <c r="E1774" s="1" t="s">
        <v>107</v>
      </c>
      <c r="F1774" s="14">
        <v>0.5994</v>
      </c>
      <c r="G1774" s="15"/>
      <c r="H1774" s="16"/>
      <c r="I1774" s="14"/>
    </row>
    <row r="1775">
      <c r="A1775" s="14">
        <v>664.0</v>
      </c>
      <c r="B1775" s="14">
        <v>1.1090236E7</v>
      </c>
      <c r="C1775" s="14">
        <v>4.7090335E7</v>
      </c>
      <c r="D1775" s="2" t="s">
        <v>4023</v>
      </c>
      <c r="E1775" s="1" t="s">
        <v>107</v>
      </c>
      <c r="F1775" s="14">
        <v>0.5994</v>
      </c>
      <c r="G1775" s="15"/>
      <c r="H1775" s="16"/>
      <c r="I1775" s="14"/>
    </row>
    <row r="1776">
      <c r="A1776" s="14">
        <v>488.0</v>
      </c>
      <c r="B1776" s="14">
        <v>1.4822684E7</v>
      </c>
      <c r="C1776" s="14">
        <v>6.3075458E7</v>
      </c>
      <c r="D1776" s="2" t="s">
        <v>4025</v>
      </c>
      <c r="E1776" s="1" t="s">
        <v>107</v>
      </c>
      <c r="F1776" s="14">
        <v>0.5994</v>
      </c>
      <c r="G1776" s="15"/>
      <c r="H1776" s="16"/>
      <c r="I1776" s="14"/>
    </row>
    <row r="1777">
      <c r="A1777" s="14">
        <v>665.0</v>
      </c>
      <c r="B1777" s="14">
        <v>1.4986903E7</v>
      </c>
      <c r="C1777" s="14">
        <v>6.3690395E7</v>
      </c>
      <c r="D1777" s="2" t="s">
        <v>4027</v>
      </c>
      <c r="E1777" s="1" t="s">
        <v>107</v>
      </c>
      <c r="F1777" s="14">
        <v>0.5994</v>
      </c>
      <c r="G1777" s="15"/>
      <c r="H1777" s="16"/>
      <c r="I1777" s="14"/>
    </row>
    <row r="1778">
      <c r="A1778" s="14">
        <v>406.0</v>
      </c>
      <c r="B1778" s="14">
        <v>6.8547742E7</v>
      </c>
      <c r="C1778" s="14">
        <v>2.819007E8</v>
      </c>
      <c r="D1778" s="2" t="s">
        <v>2305</v>
      </c>
      <c r="E1778" s="1" t="s">
        <v>699</v>
      </c>
      <c r="F1778" s="14">
        <v>0.5994</v>
      </c>
      <c r="G1778" s="15"/>
      <c r="H1778" s="16"/>
      <c r="I1778" s="14"/>
    </row>
    <row r="1779">
      <c r="A1779" s="14">
        <v>716.0</v>
      </c>
      <c r="B1779" s="14">
        <v>8.6455822E7</v>
      </c>
      <c r="C1779" s="14">
        <v>3.64957293E8</v>
      </c>
      <c r="D1779" s="2" t="s">
        <v>1326</v>
      </c>
      <c r="E1779" s="1" t="s">
        <v>699</v>
      </c>
      <c r="F1779" s="14">
        <v>0.5994</v>
      </c>
      <c r="G1779" s="15"/>
      <c r="H1779" s="16"/>
      <c r="I1779" s="14"/>
    </row>
    <row r="1780">
      <c r="A1780" s="14">
        <v>157.0</v>
      </c>
      <c r="B1780" s="14">
        <v>847203.0</v>
      </c>
      <c r="C1780" s="14">
        <v>3998914.0</v>
      </c>
      <c r="D1780" s="2" t="s">
        <v>4032</v>
      </c>
      <c r="E1780" s="1" t="s">
        <v>121</v>
      </c>
      <c r="F1780" s="14">
        <v>0.5994</v>
      </c>
      <c r="G1780" s="15"/>
      <c r="H1780" s="16"/>
      <c r="I1780" s="14"/>
    </row>
    <row r="1781">
      <c r="A1781" s="14">
        <v>228.0</v>
      </c>
      <c r="B1781" s="14">
        <v>2077018.0</v>
      </c>
      <c r="C1781" s="14">
        <v>8956507.0</v>
      </c>
      <c r="D1781" s="2" t="s">
        <v>4034</v>
      </c>
      <c r="E1781" s="1" t="s">
        <v>121</v>
      </c>
      <c r="F1781" s="14">
        <v>0.5994</v>
      </c>
      <c r="G1781" s="15"/>
      <c r="H1781" s="16"/>
      <c r="I1781" s="14"/>
    </row>
    <row r="1782">
      <c r="A1782" s="14">
        <v>597.0</v>
      </c>
      <c r="B1782" s="14">
        <v>3031750.0</v>
      </c>
      <c r="C1782" s="14">
        <v>1.2825555E7</v>
      </c>
      <c r="D1782" s="2" t="s">
        <v>4037</v>
      </c>
      <c r="E1782" s="1" t="s">
        <v>121</v>
      </c>
      <c r="F1782" s="14">
        <v>0.5994</v>
      </c>
      <c r="G1782" s="15"/>
      <c r="H1782" s="16"/>
      <c r="I1782" s="14"/>
    </row>
    <row r="1783">
      <c r="A1783" s="14">
        <v>667.0</v>
      </c>
      <c r="B1783" s="14">
        <v>5448108.0</v>
      </c>
      <c r="C1783" s="14">
        <v>2.3312847E7</v>
      </c>
      <c r="D1783" s="2" t="s">
        <v>4044</v>
      </c>
      <c r="E1783" s="1" t="s">
        <v>121</v>
      </c>
      <c r="F1783" s="14">
        <v>0.5994</v>
      </c>
      <c r="G1783" s="15"/>
      <c r="H1783" s="16"/>
      <c r="I1783" s="14"/>
    </row>
    <row r="1784">
      <c r="A1784" s="14">
        <v>380.0</v>
      </c>
      <c r="B1784" s="14">
        <v>1.6379797E7</v>
      </c>
      <c r="C1784" s="14">
        <v>6.9588623E7</v>
      </c>
      <c r="D1784" s="2" t="s">
        <v>4009</v>
      </c>
      <c r="E1784" s="1" t="s">
        <v>121</v>
      </c>
      <c r="F1784" s="14">
        <v>0.5994</v>
      </c>
      <c r="G1784" s="15"/>
      <c r="H1784" s="16"/>
      <c r="I1784" s="14"/>
    </row>
    <row r="1785">
      <c r="A1785" s="14">
        <v>410.0</v>
      </c>
      <c r="B1785" s="14">
        <v>4.3795285E7</v>
      </c>
      <c r="C1785" s="14">
        <v>1.73010363E8</v>
      </c>
      <c r="D1785" s="2" t="s">
        <v>3276</v>
      </c>
      <c r="E1785" s="1" t="s">
        <v>121</v>
      </c>
      <c r="F1785" s="14">
        <v>0.5994</v>
      </c>
      <c r="G1785" s="15"/>
      <c r="H1785" s="16"/>
      <c r="I1785" s="14"/>
    </row>
    <row r="1786">
      <c r="A1786" s="14">
        <v>597.0</v>
      </c>
      <c r="B1786" s="14">
        <v>1.263741E7</v>
      </c>
      <c r="C1786" s="14">
        <v>5.3618216E7</v>
      </c>
      <c r="D1786" s="2" t="s">
        <v>4050</v>
      </c>
      <c r="E1786" s="1" t="s">
        <v>121</v>
      </c>
      <c r="F1786" s="14">
        <v>0.5989</v>
      </c>
      <c r="G1786" s="15"/>
      <c r="H1786" s="16"/>
      <c r="I1786" s="14"/>
    </row>
    <row r="1787">
      <c r="A1787" s="14">
        <v>120.0</v>
      </c>
      <c r="B1787" s="14">
        <v>859862.0</v>
      </c>
      <c r="C1787" s="14">
        <v>4056309.0</v>
      </c>
      <c r="D1787" s="2" t="s">
        <v>4053</v>
      </c>
      <c r="E1787" s="1" t="s">
        <v>121</v>
      </c>
      <c r="F1787" s="14">
        <v>0.5988</v>
      </c>
      <c r="G1787" s="15"/>
      <c r="H1787" s="16"/>
      <c r="I1787" s="14"/>
    </row>
    <row r="1788">
      <c r="A1788" s="14">
        <v>403.0</v>
      </c>
      <c r="B1788" s="14">
        <v>6.0217011E7</v>
      </c>
      <c r="C1788" s="14">
        <v>4.22721898E8</v>
      </c>
      <c r="D1788" s="2" t="s">
        <v>2681</v>
      </c>
      <c r="E1788" s="1" t="s">
        <v>107</v>
      </c>
      <c r="F1788" s="14">
        <v>0.5983</v>
      </c>
      <c r="G1788" s="15"/>
      <c r="H1788" s="16"/>
      <c r="I1788" s="14"/>
    </row>
    <row r="1789">
      <c r="A1789" s="14">
        <v>173.0</v>
      </c>
      <c r="B1789" s="14">
        <v>6.693996E7</v>
      </c>
      <c r="C1789" s="14">
        <v>2.73961183E8</v>
      </c>
      <c r="D1789" s="2" t="s">
        <v>2390</v>
      </c>
      <c r="E1789" s="1" t="s">
        <v>107</v>
      </c>
      <c r="F1789" s="14">
        <v>0.5983</v>
      </c>
      <c r="G1789" s="15"/>
      <c r="H1789" s="16"/>
      <c r="I1789" s="14"/>
    </row>
    <row r="1790">
      <c r="A1790" s="14">
        <v>380.0</v>
      </c>
      <c r="B1790" s="14">
        <v>1.05725276E8</v>
      </c>
      <c r="C1790" s="14">
        <v>4.55955266E8</v>
      </c>
      <c r="D1790" s="2" t="s">
        <v>323</v>
      </c>
      <c r="E1790" s="1" t="s">
        <v>107</v>
      </c>
      <c r="F1790" s="14">
        <v>0.5983</v>
      </c>
      <c r="G1790" s="15"/>
      <c r="H1790" s="16"/>
      <c r="I1790" s="14"/>
    </row>
    <row r="1791">
      <c r="A1791" s="14">
        <v>503.0</v>
      </c>
      <c r="B1791" s="14">
        <v>2352884.0</v>
      </c>
      <c r="C1791" s="14">
        <v>1.0029585E7</v>
      </c>
      <c r="D1791" s="2" t="s">
        <v>4060</v>
      </c>
      <c r="E1791" s="1" t="s">
        <v>121</v>
      </c>
      <c r="F1791" s="14">
        <v>0.5983</v>
      </c>
      <c r="G1791" s="15"/>
      <c r="H1791" s="16"/>
      <c r="I1791" s="14"/>
    </row>
    <row r="1792">
      <c r="A1792" s="14">
        <v>473.0</v>
      </c>
      <c r="B1792" s="14">
        <v>7010858.0</v>
      </c>
      <c r="C1792" s="14">
        <v>2.9800437E7</v>
      </c>
      <c r="D1792" s="2" t="s">
        <v>4061</v>
      </c>
      <c r="E1792" s="1" t="s">
        <v>121</v>
      </c>
      <c r="F1792" s="14">
        <v>0.5967</v>
      </c>
      <c r="G1792" s="15"/>
      <c r="H1792" s="16"/>
      <c r="I1792" s="14"/>
    </row>
    <row r="1793">
      <c r="A1793" s="14">
        <v>194.0</v>
      </c>
      <c r="B1793" s="14">
        <v>8162228.0</v>
      </c>
      <c r="C1793" s="14">
        <v>3.4678449E7</v>
      </c>
      <c r="D1793" s="2" t="s">
        <v>4063</v>
      </c>
      <c r="E1793" s="1" t="s">
        <v>107</v>
      </c>
      <c r="F1793" s="14">
        <v>0.5964</v>
      </c>
      <c r="G1793" s="15"/>
      <c r="H1793" s="16"/>
      <c r="I1793" s="14"/>
    </row>
    <row r="1794">
      <c r="A1794" s="14">
        <v>602.0</v>
      </c>
      <c r="B1794" s="14">
        <v>1180944.0</v>
      </c>
      <c r="C1794" s="14">
        <v>5316121.0</v>
      </c>
      <c r="D1794" s="2" t="s">
        <v>4066</v>
      </c>
      <c r="E1794" s="1" t="s">
        <v>121</v>
      </c>
      <c r="F1794" s="14">
        <v>0.5964</v>
      </c>
      <c r="G1794" s="15"/>
      <c r="H1794" s="16"/>
      <c r="I1794" s="14"/>
    </row>
    <row r="1795">
      <c r="A1795" s="14">
        <v>401.0</v>
      </c>
      <c r="B1795" s="14">
        <v>3016833.0</v>
      </c>
      <c r="C1795" s="14">
        <v>1.2764205E7</v>
      </c>
      <c r="D1795" s="2" t="s">
        <v>4068</v>
      </c>
      <c r="E1795" s="1" t="s">
        <v>121</v>
      </c>
      <c r="F1795" s="14">
        <v>0.5956</v>
      </c>
      <c r="G1795" s="15"/>
      <c r="H1795" s="16"/>
      <c r="I1795" s="14"/>
    </row>
    <row r="1796">
      <c r="A1796" s="14">
        <v>408.0</v>
      </c>
      <c r="B1796" s="14">
        <v>4.1013341E7</v>
      </c>
      <c r="C1796" s="14">
        <v>1.6263469E8</v>
      </c>
      <c r="D1796" s="2" t="s">
        <v>3356</v>
      </c>
      <c r="E1796" s="1" t="s">
        <v>121</v>
      </c>
      <c r="F1796" s="14">
        <v>0.5956</v>
      </c>
      <c r="G1796" s="15"/>
      <c r="H1796" s="16"/>
      <c r="I1796" s="14"/>
    </row>
    <row r="1797">
      <c r="A1797" s="14">
        <v>353.0</v>
      </c>
      <c r="B1797" s="14">
        <v>7.238329E7</v>
      </c>
      <c r="C1797" s="14">
        <v>2.99224713E8</v>
      </c>
      <c r="D1797" s="2" t="s">
        <v>2116</v>
      </c>
      <c r="E1797" s="1" t="s">
        <v>121</v>
      </c>
      <c r="F1797" s="14">
        <v>0.5956</v>
      </c>
      <c r="G1797" s="15"/>
      <c r="H1797" s="16"/>
      <c r="I1797" s="14"/>
    </row>
    <row r="1798">
      <c r="A1798" s="14">
        <v>410.0</v>
      </c>
      <c r="B1798" s="14">
        <v>2.537637E7</v>
      </c>
      <c r="C1798" s="14">
        <v>1.0337534E8</v>
      </c>
      <c r="D1798" s="2" t="s">
        <v>3721</v>
      </c>
      <c r="E1798" s="1" t="s">
        <v>107</v>
      </c>
      <c r="F1798" s="14">
        <v>0.5954</v>
      </c>
      <c r="G1798" s="15"/>
      <c r="H1798" s="16"/>
      <c r="I1798" s="14"/>
    </row>
    <row r="1799">
      <c r="A1799" s="14">
        <v>410.0</v>
      </c>
      <c r="B1799" s="14">
        <v>4.8172186E7</v>
      </c>
      <c r="C1799" s="14">
        <v>1.90538445E8</v>
      </c>
      <c r="D1799" s="2" t="s">
        <v>3094</v>
      </c>
      <c r="E1799" s="1" t="s">
        <v>121</v>
      </c>
      <c r="F1799" s="14">
        <v>0.5936</v>
      </c>
      <c r="G1799" s="15"/>
      <c r="H1799" s="16"/>
      <c r="I1799" s="14"/>
    </row>
    <row r="1800">
      <c r="A1800" s="14">
        <v>471.0</v>
      </c>
      <c r="B1800" s="14">
        <v>9.7726187E7</v>
      </c>
      <c r="C1800" s="14">
        <v>4.17543681E8</v>
      </c>
      <c r="D1800" s="2" t="s">
        <v>729</v>
      </c>
      <c r="E1800" s="1" t="s">
        <v>107</v>
      </c>
      <c r="F1800" s="14">
        <v>0.5927</v>
      </c>
      <c r="G1800" s="15"/>
      <c r="H1800" s="16"/>
      <c r="I1800" s="14"/>
    </row>
    <row r="1801">
      <c r="A1801" s="14">
        <v>93.0</v>
      </c>
      <c r="B1801" s="14">
        <v>198129.0</v>
      </c>
      <c r="C1801" s="14">
        <v>809826.0</v>
      </c>
      <c r="D1801" s="2" t="s">
        <v>4076</v>
      </c>
      <c r="E1801" s="1" t="s">
        <v>699</v>
      </c>
      <c r="F1801" s="14">
        <v>0.5927</v>
      </c>
      <c r="G1801" s="15"/>
      <c r="H1801" s="16"/>
      <c r="I1801" s="14"/>
    </row>
    <row r="1802">
      <c r="A1802" s="14">
        <v>473.0</v>
      </c>
      <c r="B1802" s="14">
        <v>3.8844405E7</v>
      </c>
      <c r="C1802" s="14">
        <v>1.54112443E8</v>
      </c>
      <c r="D1802" s="2" t="s">
        <v>3413</v>
      </c>
      <c r="E1802" s="1" t="s">
        <v>699</v>
      </c>
      <c r="F1802" s="14">
        <v>0.5927</v>
      </c>
      <c r="G1802" s="15"/>
      <c r="H1802" s="16"/>
      <c r="I1802" s="14"/>
    </row>
    <row r="1803">
      <c r="A1803" s="14">
        <v>571.0</v>
      </c>
      <c r="B1803" s="14">
        <v>3846443.0</v>
      </c>
      <c r="C1803" s="14">
        <v>2.56315136E8</v>
      </c>
      <c r="D1803" s="2" t="s">
        <v>4080</v>
      </c>
      <c r="E1803" s="1" t="s">
        <v>121</v>
      </c>
      <c r="F1803" s="14">
        <v>0.5927</v>
      </c>
      <c r="G1803" s="15"/>
      <c r="H1803" s="16"/>
      <c r="I1803" s="14"/>
    </row>
    <row r="1804">
      <c r="A1804" s="14">
        <v>215.0</v>
      </c>
      <c r="B1804" s="14">
        <v>4269658.0</v>
      </c>
      <c r="C1804" s="14">
        <v>2.0057211E7</v>
      </c>
      <c r="D1804" s="2" t="s">
        <v>4083</v>
      </c>
      <c r="E1804" s="1" t="s">
        <v>121</v>
      </c>
      <c r="F1804" s="14">
        <v>0.5927</v>
      </c>
      <c r="G1804" s="15"/>
      <c r="H1804" s="16"/>
      <c r="I1804" s="14"/>
    </row>
    <row r="1805">
      <c r="A1805" s="14">
        <v>673.0</v>
      </c>
      <c r="B1805" s="14">
        <v>4276208.0</v>
      </c>
      <c r="C1805" s="14">
        <v>1.8136746E7</v>
      </c>
      <c r="D1805" s="2" t="s">
        <v>4085</v>
      </c>
      <c r="E1805" s="1" t="s">
        <v>121</v>
      </c>
      <c r="F1805" s="14">
        <v>0.5927</v>
      </c>
      <c r="G1805" s="15"/>
      <c r="H1805" s="16"/>
      <c r="I1805" s="14"/>
    </row>
    <row r="1806">
      <c r="A1806" s="14">
        <v>484.0</v>
      </c>
      <c r="B1806" s="14">
        <v>9129769.0</v>
      </c>
      <c r="C1806" s="14">
        <v>3.8681295E7</v>
      </c>
      <c r="D1806" s="2" t="s">
        <v>4088</v>
      </c>
      <c r="E1806" s="1" t="s">
        <v>121</v>
      </c>
      <c r="F1806" s="14">
        <v>0.5927</v>
      </c>
      <c r="G1806" s="15"/>
      <c r="H1806" s="16"/>
      <c r="I1806" s="14"/>
    </row>
    <row r="1807">
      <c r="A1807" s="14">
        <v>394.0</v>
      </c>
      <c r="B1807" s="14">
        <v>5.6722304E7</v>
      </c>
      <c r="C1807" s="14">
        <v>2.25513659E8</v>
      </c>
      <c r="D1807" s="2" t="s">
        <v>2799</v>
      </c>
      <c r="E1807" s="1" t="s">
        <v>121</v>
      </c>
      <c r="F1807" s="14">
        <v>0.5927</v>
      </c>
      <c r="G1807" s="15"/>
      <c r="H1807" s="16"/>
      <c r="I1807" s="14"/>
    </row>
    <row r="1808">
      <c r="A1808" s="14">
        <v>578.0</v>
      </c>
      <c r="B1808" s="14">
        <v>6.6450386E7</v>
      </c>
      <c r="C1808" s="14">
        <v>2.71659767E8</v>
      </c>
      <c r="D1808" s="2" t="s">
        <v>2417</v>
      </c>
      <c r="E1808" s="1" t="s">
        <v>121</v>
      </c>
      <c r="F1808" s="14">
        <v>0.5927</v>
      </c>
      <c r="G1808" s="15"/>
      <c r="H1808" s="16"/>
      <c r="I1808" s="14"/>
    </row>
    <row r="1809">
      <c r="A1809" s="14">
        <v>129.0</v>
      </c>
      <c r="B1809" s="14">
        <v>7.7797853E7</v>
      </c>
      <c r="C1809" s="14">
        <v>3.23718133E8</v>
      </c>
      <c r="D1809" s="2" t="s">
        <v>1875</v>
      </c>
      <c r="E1809" s="1" t="s">
        <v>121</v>
      </c>
      <c r="F1809" s="14">
        <v>0.5927</v>
      </c>
      <c r="G1809" s="15"/>
      <c r="H1809" s="16"/>
      <c r="I1809" s="14"/>
    </row>
    <row r="1810">
      <c r="A1810" s="14">
        <v>194.0</v>
      </c>
      <c r="B1810" s="14">
        <v>7.8786069E7</v>
      </c>
      <c r="C1810" s="14">
        <v>3.28408152E8</v>
      </c>
      <c r="D1810" s="2" t="s">
        <v>1814</v>
      </c>
      <c r="E1810" s="1" t="s">
        <v>121</v>
      </c>
      <c r="F1810" s="14">
        <v>0.5927</v>
      </c>
      <c r="G1810" s="15"/>
      <c r="H1810" s="16"/>
      <c r="I1810" s="14"/>
    </row>
    <row r="1811">
      <c r="A1811" s="14">
        <v>671.0</v>
      </c>
      <c r="B1811" s="14">
        <v>9617862.0</v>
      </c>
      <c r="C1811" s="14">
        <v>4.0792995E7</v>
      </c>
      <c r="D1811" s="2" t="s">
        <v>4093</v>
      </c>
      <c r="E1811" s="1" t="s">
        <v>121</v>
      </c>
      <c r="F1811" s="14">
        <v>0.5922</v>
      </c>
      <c r="G1811" s="15"/>
      <c r="H1811" s="16"/>
      <c r="I1811" s="14"/>
    </row>
    <row r="1812">
      <c r="A1812" s="14">
        <v>228.0</v>
      </c>
      <c r="B1812" s="14">
        <v>710562.0</v>
      </c>
      <c r="C1812" s="14">
        <v>3438978.0</v>
      </c>
      <c r="D1812" s="2" t="s">
        <v>4095</v>
      </c>
      <c r="E1812" s="1" t="s">
        <v>121</v>
      </c>
      <c r="F1812" s="14">
        <v>0.5868</v>
      </c>
      <c r="G1812" s="15"/>
      <c r="H1812" s="16"/>
      <c r="I1812" s="14"/>
    </row>
    <row r="1813">
      <c r="A1813" s="14">
        <v>120.0</v>
      </c>
      <c r="B1813" s="14">
        <v>417556.0</v>
      </c>
      <c r="C1813" s="14">
        <v>5691849.0</v>
      </c>
      <c r="D1813" s="2" t="s">
        <v>4096</v>
      </c>
      <c r="E1813" s="1" t="s">
        <v>107</v>
      </c>
      <c r="F1813" s="14">
        <v>0.5859</v>
      </c>
      <c r="G1813" s="15"/>
      <c r="H1813" s="16"/>
      <c r="I1813" s="14"/>
    </row>
    <row r="1814">
      <c r="A1814" s="14">
        <v>578.0</v>
      </c>
      <c r="B1814" s="14">
        <v>5.4852606E7</v>
      </c>
      <c r="C1814" s="14">
        <v>2.74590399E8</v>
      </c>
      <c r="D1814" s="2" t="s">
        <v>2845</v>
      </c>
      <c r="E1814" s="1" t="s">
        <v>107</v>
      </c>
      <c r="F1814" s="14">
        <v>0.5859</v>
      </c>
      <c r="G1814" s="15"/>
      <c r="H1814" s="16"/>
      <c r="I1814" s="14"/>
    </row>
    <row r="1815">
      <c r="A1815" s="14">
        <v>462.0</v>
      </c>
      <c r="B1815" s="14">
        <v>8.1890879E7</v>
      </c>
      <c r="C1815" s="14">
        <v>3.43007301E8</v>
      </c>
      <c r="D1815" s="2" t="s">
        <v>1641</v>
      </c>
      <c r="E1815" s="1" t="s">
        <v>107</v>
      </c>
      <c r="F1815" s="14">
        <v>0.5859</v>
      </c>
      <c r="G1815" s="15"/>
      <c r="H1815" s="16"/>
      <c r="I1815" s="14"/>
    </row>
    <row r="1816">
      <c r="A1816" s="14">
        <v>353.0</v>
      </c>
      <c r="B1816" s="14">
        <v>1.09907027E8</v>
      </c>
      <c r="C1816" s="14">
        <v>4.75958897E8</v>
      </c>
      <c r="D1816" s="2" t="s">
        <v>96</v>
      </c>
      <c r="E1816" s="1" t="s">
        <v>107</v>
      </c>
      <c r="F1816" s="14">
        <v>0.5859</v>
      </c>
      <c r="G1816" s="15"/>
      <c r="H1816" s="16"/>
      <c r="I1816" s="14"/>
    </row>
    <row r="1817">
      <c r="A1817" s="14">
        <v>401.0</v>
      </c>
      <c r="B1817" s="14">
        <v>1950190.0</v>
      </c>
      <c r="C1817" s="14">
        <v>8459104.0</v>
      </c>
      <c r="D1817" s="2" t="s">
        <v>4102</v>
      </c>
      <c r="E1817" s="1" t="s">
        <v>699</v>
      </c>
      <c r="F1817" s="14">
        <v>0.5859</v>
      </c>
      <c r="G1817" s="15"/>
      <c r="H1817" s="16"/>
      <c r="I1817" s="14"/>
    </row>
    <row r="1818">
      <c r="A1818" s="14">
        <v>403.0</v>
      </c>
      <c r="B1818" s="14">
        <v>2678696.0</v>
      </c>
      <c r="C1818" s="14">
        <v>2.84629284E8</v>
      </c>
      <c r="D1818" s="2" t="s">
        <v>4104</v>
      </c>
      <c r="E1818" s="1" t="s">
        <v>699</v>
      </c>
      <c r="F1818" s="14">
        <v>0.5859</v>
      </c>
      <c r="G1818" s="15"/>
      <c r="H1818" s="16"/>
      <c r="I1818" s="14"/>
    </row>
    <row r="1819">
      <c r="A1819" s="14">
        <v>414.0</v>
      </c>
      <c r="B1819" s="14">
        <v>7702516.0</v>
      </c>
      <c r="C1819" s="14">
        <v>3.2689773E7</v>
      </c>
      <c r="D1819" s="2" t="s">
        <v>4106</v>
      </c>
      <c r="E1819" s="1" t="s">
        <v>699</v>
      </c>
      <c r="F1819" s="14">
        <v>0.5859</v>
      </c>
      <c r="G1819" s="15"/>
      <c r="H1819" s="16"/>
      <c r="I1819" s="14"/>
    </row>
    <row r="1820">
      <c r="A1820" s="14">
        <v>675.0</v>
      </c>
      <c r="B1820" s="14">
        <v>1.1682474E7</v>
      </c>
      <c r="C1820" s="14">
        <v>4.9630074E7</v>
      </c>
      <c r="D1820" s="2" t="s">
        <v>4109</v>
      </c>
      <c r="E1820" s="1" t="s">
        <v>699</v>
      </c>
      <c r="F1820" s="14">
        <v>0.5859</v>
      </c>
      <c r="G1820" s="15"/>
      <c r="H1820" s="16"/>
      <c r="I1820" s="14"/>
    </row>
    <row r="1821">
      <c r="A1821" s="14">
        <v>664.0</v>
      </c>
      <c r="B1821" s="14">
        <v>1.6076968E7</v>
      </c>
      <c r="C1821" s="14">
        <v>6.8408553E7</v>
      </c>
      <c r="D1821" s="2" t="s">
        <v>4026</v>
      </c>
      <c r="E1821" s="1" t="s">
        <v>699</v>
      </c>
      <c r="F1821" s="14">
        <v>0.5859</v>
      </c>
      <c r="G1821" s="15"/>
      <c r="H1821" s="16"/>
      <c r="I1821" s="14"/>
    </row>
    <row r="1822">
      <c r="A1822" s="14">
        <v>665.0</v>
      </c>
      <c r="B1822" s="14">
        <v>4.6266521E7</v>
      </c>
      <c r="C1822" s="14">
        <v>1.82648402E8</v>
      </c>
      <c r="D1822" s="2" t="s">
        <v>3201</v>
      </c>
      <c r="E1822" s="1" t="s">
        <v>699</v>
      </c>
      <c r="F1822" s="14">
        <v>0.5859</v>
      </c>
      <c r="G1822" s="15"/>
      <c r="H1822" s="16"/>
      <c r="I1822" s="14"/>
    </row>
    <row r="1823">
      <c r="A1823" s="14">
        <v>215.0</v>
      </c>
      <c r="B1823" s="14">
        <v>4.9801694E7</v>
      </c>
      <c r="C1823" s="14">
        <v>1.98727612E8</v>
      </c>
      <c r="D1823" s="2" t="s">
        <v>3024</v>
      </c>
      <c r="E1823" s="1" t="s">
        <v>699</v>
      </c>
      <c r="F1823" s="14">
        <v>0.5859</v>
      </c>
      <c r="G1823" s="15"/>
      <c r="H1823" s="16"/>
      <c r="I1823" s="14"/>
    </row>
    <row r="1824">
      <c r="A1824" s="14">
        <v>610.0</v>
      </c>
      <c r="B1824" s="14">
        <v>5.6900217E7</v>
      </c>
      <c r="C1824" s="14">
        <v>3.47526801E8</v>
      </c>
      <c r="D1824" s="2" t="s">
        <v>2791</v>
      </c>
      <c r="E1824" s="1" t="s">
        <v>699</v>
      </c>
      <c r="F1824" s="14">
        <v>0.5859</v>
      </c>
      <c r="G1824" s="15"/>
      <c r="H1824" s="16"/>
      <c r="I1824" s="14"/>
    </row>
    <row r="1825">
      <c r="A1825" s="14">
        <v>498.0</v>
      </c>
      <c r="B1825" s="14">
        <v>5.7376826E7</v>
      </c>
      <c r="C1825" s="14">
        <v>2.28424682E8</v>
      </c>
      <c r="D1825" s="2" t="s">
        <v>2768</v>
      </c>
      <c r="E1825" s="1" t="s">
        <v>699</v>
      </c>
      <c r="F1825" s="14">
        <v>0.5859</v>
      </c>
      <c r="G1825" s="15"/>
      <c r="H1825" s="16"/>
      <c r="I1825" s="14"/>
    </row>
    <row r="1826">
      <c r="A1826" s="14">
        <v>215.0</v>
      </c>
      <c r="B1826" s="14">
        <v>6.1080059E7</v>
      </c>
      <c r="C1826" s="14">
        <v>2.45612465E8</v>
      </c>
      <c r="D1826" s="2" t="s">
        <v>2648</v>
      </c>
      <c r="E1826" s="1" t="s">
        <v>699</v>
      </c>
      <c r="F1826" s="14">
        <v>0.5859</v>
      </c>
      <c r="G1826" s="15"/>
      <c r="H1826" s="16"/>
      <c r="I1826" s="14"/>
    </row>
    <row r="1827">
      <c r="A1827" s="14">
        <v>571.0</v>
      </c>
      <c r="B1827" s="14">
        <v>6.5347285E7</v>
      </c>
      <c r="C1827" s="14">
        <v>2.6613699E8</v>
      </c>
      <c r="D1827" s="2" t="s">
        <v>2474</v>
      </c>
      <c r="E1827" s="1" t="s">
        <v>699</v>
      </c>
      <c r="F1827" s="14">
        <v>0.5859</v>
      </c>
      <c r="G1827" s="15"/>
      <c r="H1827" s="16"/>
      <c r="I1827" s="14"/>
    </row>
    <row r="1828">
      <c r="A1828" s="14">
        <v>504.0</v>
      </c>
      <c r="B1828" s="14">
        <v>6.576971E7</v>
      </c>
      <c r="C1828" s="14">
        <v>2.68375958E8</v>
      </c>
      <c r="D1828" s="2" t="s">
        <v>2450</v>
      </c>
      <c r="E1828" s="1" t="s">
        <v>699</v>
      </c>
      <c r="F1828" s="14">
        <v>0.5859</v>
      </c>
      <c r="G1828" s="15"/>
      <c r="H1828" s="16"/>
      <c r="I1828" s="14"/>
    </row>
    <row r="1829">
      <c r="A1829" s="14">
        <v>571.0</v>
      </c>
      <c r="B1829" s="14">
        <v>7.5478943E7</v>
      </c>
      <c r="C1829" s="14">
        <v>3.1287064E8</v>
      </c>
      <c r="D1829" s="2" t="s">
        <v>1994</v>
      </c>
      <c r="E1829" s="1" t="s">
        <v>699</v>
      </c>
      <c r="F1829" s="14">
        <v>0.5859</v>
      </c>
      <c r="G1829" s="15"/>
      <c r="H1829" s="16"/>
      <c r="I1829" s="14"/>
    </row>
    <row r="1830">
      <c r="A1830" s="14">
        <v>414.0</v>
      </c>
      <c r="B1830" s="14">
        <v>8.2088731E7</v>
      </c>
      <c r="C1830" s="14">
        <v>3.43944535E8</v>
      </c>
      <c r="D1830" s="2" t="s">
        <v>1624</v>
      </c>
      <c r="E1830" s="1" t="s">
        <v>699</v>
      </c>
      <c r="F1830" s="14">
        <v>0.5859</v>
      </c>
      <c r="G1830" s="15"/>
      <c r="H1830" s="16"/>
      <c r="I1830" s="14"/>
    </row>
    <row r="1831">
      <c r="A1831" s="14">
        <v>403.0</v>
      </c>
      <c r="B1831" s="14">
        <v>9.4501259E7</v>
      </c>
      <c r="C1831" s="14">
        <v>4.01877177E8</v>
      </c>
      <c r="D1831" s="2" t="s">
        <v>910</v>
      </c>
      <c r="E1831" s="1" t="s">
        <v>699</v>
      </c>
      <c r="F1831" s="14">
        <v>0.5859</v>
      </c>
      <c r="G1831" s="15"/>
      <c r="H1831" s="16"/>
      <c r="I1831" s="14"/>
    </row>
    <row r="1832">
      <c r="A1832" s="14">
        <v>602.0</v>
      </c>
      <c r="B1832" s="14">
        <v>1.05226664E8</v>
      </c>
      <c r="C1832" s="14">
        <v>4.53088876E8</v>
      </c>
      <c r="D1832" s="2" t="s">
        <v>338</v>
      </c>
      <c r="E1832" s="1" t="s">
        <v>699</v>
      </c>
      <c r="F1832" s="14">
        <v>0.5859</v>
      </c>
      <c r="G1832" s="15"/>
      <c r="H1832" s="16"/>
      <c r="I1832" s="14"/>
    </row>
    <row r="1833">
      <c r="A1833" s="14">
        <v>410.0</v>
      </c>
      <c r="B1833" s="14">
        <v>1217066.0</v>
      </c>
      <c r="C1833" s="14">
        <v>5447038.0</v>
      </c>
      <c r="D1833" s="2" t="s">
        <v>4122</v>
      </c>
      <c r="E1833" s="1" t="s">
        <v>121</v>
      </c>
      <c r="F1833" s="14">
        <v>0.5859</v>
      </c>
      <c r="G1833" s="15"/>
      <c r="H1833" s="16"/>
      <c r="I1833" s="14"/>
    </row>
    <row r="1834">
      <c r="A1834" s="14">
        <v>484.0</v>
      </c>
      <c r="B1834" s="14">
        <v>2821590.0</v>
      </c>
      <c r="C1834" s="14">
        <v>1.193263E7</v>
      </c>
      <c r="D1834" s="2" t="s">
        <v>4124</v>
      </c>
      <c r="E1834" s="1" t="s">
        <v>121</v>
      </c>
      <c r="F1834" s="14">
        <v>0.5859</v>
      </c>
      <c r="G1834" s="15"/>
      <c r="H1834" s="16"/>
      <c r="I1834" s="14"/>
    </row>
    <row r="1835">
      <c r="A1835" s="14">
        <v>244.0</v>
      </c>
      <c r="B1835" s="14">
        <v>4639524.0</v>
      </c>
      <c r="C1835" s="14">
        <v>1.9685686E7</v>
      </c>
      <c r="D1835" s="2" t="s">
        <v>4125</v>
      </c>
      <c r="E1835" s="1" t="s">
        <v>121</v>
      </c>
      <c r="F1835" s="14">
        <v>0.5859</v>
      </c>
      <c r="G1835" s="15"/>
      <c r="H1835" s="16"/>
      <c r="I1835" s="14"/>
    </row>
    <row r="1836">
      <c r="A1836" s="14">
        <v>392.0</v>
      </c>
      <c r="B1836" s="14">
        <v>7.1350957E7</v>
      </c>
      <c r="C1836" s="14">
        <v>2.9446812E8</v>
      </c>
      <c r="D1836" s="2" t="s">
        <v>2159</v>
      </c>
      <c r="E1836" s="1" t="s">
        <v>121</v>
      </c>
      <c r="F1836" s="14">
        <v>0.5859</v>
      </c>
      <c r="G1836" s="15"/>
      <c r="H1836" s="16"/>
      <c r="I1836" s="14"/>
    </row>
    <row r="1837">
      <c r="A1837" s="14">
        <v>602.0</v>
      </c>
      <c r="B1837" s="14">
        <v>8.2957076E7</v>
      </c>
      <c r="C1837" s="14">
        <v>3.48056417E8</v>
      </c>
      <c r="D1837" s="2" t="s">
        <v>1570</v>
      </c>
      <c r="E1837" s="1" t="s">
        <v>121</v>
      </c>
      <c r="F1837" s="14">
        <v>0.5859</v>
      </c>
      <c r="G1837" s="15"/>
      <c r="H1837" s="16"/>
      <c r="I1837" s="14"/>
    </row>
    <row r="1838">
      <c r="A1838" s="14">
        <v>129.0</v>
      </c>
      <c r="B1838" s="14">
        <v>9.0097988E7</v>
      </c>
      <c r="C1838" s="14">
        <v>4.58217141E8</v>
      </c>
      <c r="D1838" s="2" t="s">
        <v>1137</v>
      </c>
      <c r="E1838" s="1" t="s">
        <v>121</v>
      </c>
      <c r="F1838" s="14">
        <v>0.5859</v>
      </c>
      <c r="G1838" s="15"/>
      <c r="H1838" s="16"/>
      <c r="I1838" s="14"/>
    </row>
    <row r="1839">
      <c r="A1839" s="14">
        <v>678.0</v>
      </c>
      <c r="B1839" s="14">
        <v>3.2276875E7</v>
      </c>
      <c r="C1839" s="14">
        <v>1.29219804E8</v>
      </c>
      <c r="D1839" s="2" t="s">
        <v>3531</v>
      </c>
      <c r="E1839" s="1" t="s">
        <v>121</v>
      </c>
      <c r="F1839" s="14">
        <v>0.5849</v>
      </c>
      <c r="G1839" s="15"/>
      <c r="H1839" s="16"/>
      <c r="I1839" s="14"/>
    </row>
    <row r="1840">
      <c r="A1840" s="14">
        <v>715.0</v>
      </c>
      <c r="B1840" s="14">
        <v>4722272.0</v>
      </c>
      <c r="C1840" s="14">
        <v>2.8126257E7</v>
      </c>
      <c r="D1840" s="2" t="s">
        <v>4134</v>
      </c>
      <c r="E1840" s="1" t="s">
        <v>121</v>
      </c>
      <c r="F1840" s="14">
        <v>0.5842</v>
      </c>
      <c r="G1840" s="15"/>
      <c r="H1840" s="16"/>
      <c r="I1840" s="14"/>
    </row>
    <row r="1841">
      <c r="A1841" s="14">
        <v>665.0</v>
      </c>
      <c r="B1841" s="14">
        <v>2.4715284E7</v>
      </c>
      <c r="C1841" s="14">
        <v>1.0076496E8</v>
      </c>
      <c r="D1841" s="2" t="s">
        <v>3732</v>
      </c>
      <c r="E1841" s="1" t="s">
        <v>107</v>
      </c>
      <c r="F1841" s="14">
        <v>0.5838</v>
      </c>
      <c r="G1841" s="15"/>
      <c r="H1841" s="16"/>
      <c r="I1841" s="14"/>
    </row>
    <row r="1842">
      <c r="A1842" s="14">
        <v>575.0</v>
      </c>
      <c r="B1842" s="14">
        <v>6.5325068E7</v>
      </c>
      <c r="C1842" s="14">
        <v>2.65962614E8</v>
      </c>
      <c r="D1842" s="2" t="s">
        <v>2476</v>
      </c>
      <c r="E1842" s="1" t="s">
        <v>699</v>
      </c>
      <c r="F1842" s="14">
        <v>0.5829</v>
      </c>
      <c r="G1842" s="15"/>
      <c r="H1842" s="16"/>
      <c r="I1842" s="14"/>
    </row>
    <row r="1843">
      <c r="A1843" s="14">
        <v>672.0</v>
      </c>
      <c r="B1843" s="14">
        <v>3174226.0</v>
      </c>
      <c r="C1843" s="14">
        <v>1.3549068E7</v>
      </c>
      <c r="D1843" s="2" t="s">
        <v>4139</v>
      </c>
      <c r="E1843" s="1" t="s">
        <v>107</v>
      </c>
      <c r="F1843" s="14">
        <v>0.5826</v>
      </c>
      <c r="G1843" s="15"/>
      <c r="H1843" s="16"/>
      <c r="I1843" s="14"/>
    </row>
    <row r="1844">
      <c r="A1844" s="14">
        <v>228.0</v>
      </c>
      <c r="B1844" s="14">
        <v>3156305.0</v>
      </c>
      <c r="C1844" s="14">
        <v>1.3414585E7</v>
      </c>
      <c r="D1844" s="2" t="s">
        <v>4142</v>
      </c>
      <c r="E1844" s="1" t="s">
        <v>699</v>
      </c>
      <c r="F1844" s="14">
        <v>0.5826</v>
      </c>
      <c r="G1844" s="15"/>
      <c r="H1844" s="16"/>
      <c r="I1844" s="14"/>
    </row>
    <row r="1845">
      <c r="A1845" s="14">
        <v>661.0</v>
      </c>
      <c r="B1845" s="14">
        <v>4.0184529E7</v>
      </c>
      <c r="C1845" s="14">
        <v>1.59326187E8</v>
      </c>
      <c r="D1845" s="2" t="s">
        <v>3375</v>
      </c>
      <c r="E1845" s="1" t="s">
        <v>699</v>
      </c>
      <c r="F1845" s="14">
        <v>0.5826</v>
      </c>
      <c r="G1845" s="15"/>
      <c r="H1845" s="16"/>
      <c r="I1845" s="14"/>
    </row>
    <row r="1846">
      <c r="A1846" s="14">
        <v>403.0</v>
      </c>
      <c r="B1846" s="14">
        <v>9.3147861E7</v>
      </c>
      <c r="C1846" s="14">
        <v>4.09704636E8</v>
      </c>
      <c r="D1846" s="2" t="s">
        <v>978</v>
      </c>
      <c r="E1846" s="1" t="s">
        <v>699</v>
      </c>
      <c r="F1846" s="14">
        <v>0.5826</v>
      </c>
      <c r="G1846" s="15"/>
      <c r="H1846" s="16"/>
      <c r="I1846" s="14"/>
    </row>
    <row r="1847">
      <c r="A1847" s="14">
        <v>244.0</v>
      </c>
      <c r="B1847" s="14">
        <v>2.2054861E7</v>
      </c>
      <c r="C1847" s="14">
        <v>9.1293008E7</v>
      </c>
      <c r="D1847" s="2" t="s">
        <v>3803</v>
      </c>
      <c r="E1847" s="1" t="s">
        <v>121</v>
      </c>
      <c r="F1847" s="14">
        <v>0.5826</v>
      </c>
      <c r="G1847" s="15"/>
      <c r="H1847" s="16"/>
      <c r="I1847" s="14"/>
    </row>
    <row r="1848">
      <c r="A1848" s="14">
        <v>531.0</v>
      </c>
      <c r="B1848" s="14">
        <v>1.5274135E7</v>
      </c>
      <c r="C1848" s="14">
        <v>6.493696E7</v>
      </c>
      <c r="D1848" s="2" t="s">
        <v>4075</v>
      </c>
      <c r="E1848" s="1" t="s">
        <v>121</v>
      </c>
      <c r="F1848" s="14">
        <v>0.5798</v>
      </c>
      <c r="G1848" s="15"/>
      <c r="H1848" s="16"/>
      <c r="I1848" s="14"/>
    </row>
    <row r="1849">
      <c r="A1849" s="14">
        <v>565.0</v>
      </c>
      <c r="B1849" s="14">
        <v>1.974008E7</v>
      </c>
      <c r="C1849" s="14">
        <v>8.2934817E7</v>
      </c>
      <c r="D1849" s="2" t="s">
        <v>3885</v>
      </c>
      <c r="E1849" s="1" t="s">
        <v>699</v>
      </c>
      <c r="F1849" s="14">
        <v>0.5796</v>
      </c>
      <c r="G1849" s="15"/>
      <c r="H1849" s="16"/>
      <c r="I1849" s="14"/>
    </row>
    <row r="1850">
      <c r="A1850" s="14">
        <v>172.0</v>
      </c>
      <c r="B1850" s="14">
        <v>7155991.0</v>
      </c>
      <c r="C1850" s="14">
        <v>3.0551163E7</v>
      </c>
      <c r="D1850" s="2" t="s">
        <v>4148</v>
      </c>
      <c r="E1850" s="1" t="s">
        <v>107</v>
      </c>
      <c r="F1850" s="14">
        <v>0.5792</v>
      </c>
      <c r="G1850" s="15"/>
      <c r="H1850" s="16"/>
      <c r="I1850" s="14"/>
    </row>
    <row r="1851">
      <c r="A1851" s="14">
        <v>676.0</v>
      </c>
      <c r="B1851" s="14">
        <v>2602314.0</v>
      </c>
      <c r="C1851" s="14">
        <v>1.102673E7</v>
      </c>
      <c r="D1851" s="2" t="s">
        <v>4151</v>
      </c>
      <c r="E1851" s="1" t="s">
        <v>121</v>
      </c>
      <c r="F1851" s="14">
        <v>0.5789</v>
      </c>
      <c r="G1851" s="15"/>
      <c r="H1851" s="16"/>
      <c r="I1851" s="14"/>
    </row>
    <row r="1852">
      <c r="A1852" s="14">
        <v>531.0</v>
      </c>
      <c r="B1852" s="14">
        <v>6940696.0</v>
      </c>
      <c r="C1852" s="14">
        <v>2.9539383E7</v>
      </c>
      <c r="D1852" s="2" t="s">
        <v>4152</v>
      </c>
      <c r="E1852" s="1" t="s">
        <v>121</v>
      </c>
      <c r="F1852" s="14">
        <v>0.5789</v>
      </c>
      <c r="G1852" s="15"/>
      <c r="H1852" s="16"/>
      <c r="I1852" s="14"/>
    </row>
    <row r="1853">
      <c r="A1853" s="14">
        <v>488.0</v>
      </c>
      <c r="B1853" s="14">
        <v>6961135.0</v>
      </c>
      <c r="C1853" s="14">
        <v>2.9618342E7</v>
      </c>
      <c r="D1853" s="2" t="s">
        <v>4155</v>
      </c>
      <c r="E1853" s="1" t="s">
        <v>121</v>
      </c>
      <c r="F1853" s="14">
        <v>0.5789</v>
      </c>
      <c r="G1853" s="15"/>
      <c r="H1853" s="16"/>
      <c r="I1853" s="14"/>
    </row>
    <row r="1854">
      <c r="A1854" s="14">
        <v>492.0</v>
      </c>
      <c r="B1854" s="14">
        <v>2.6412646E7</v>
      </c>
      <c r="C1854" s="14">
        <v>1.90245523E8</v>
      </c>
      <c r="D1854" s="2" t="s">
        <v>3694</v>
      </c>
      <c r="E1854" s="1" t="s">
        <v>121</v>
      </c>
      <c r="F1854" s="14">
        <v>0.5788</v>
      </c>
      <c r="G1854" s="15"/>
      <c r="H1854" s="16"/>
      <c r="I1854" s="14"/>
    </row>
    <row r="1855">
      <c r="A1855" s="14">
        <v>608.0</v>
      </c>
      <c r="B1855" s="14">
        <v>5.0079525E7</v>
      </c>
      <c r="C1855" s="14">
        <v>1.98068642E8</v>
      </c>
      <c r="D1855" s="2" t="s">
        <v>3021</v>
      </c>
      <c r="E1855" s="1" t="s">
        <v>121</v>
      </c>
      <c r="F1855" s="14">
        <v>0.5787</v>
      </c>
      <c r="G1855" s="15"/>
      <c r="H1855" s="16"/>
      <c r="I1855" s="14"/>
    </row>
    <row r="1856">
      <c r="A1856" s="14">
        <v>569.0</v>
      </c>
      <c r="B1856" s="14">
        <v>5.0960883E7</v>
      </c>
      <c r="C1856" s="14">
        <v>2.01856611E8</v>
      </c>
      <c r="D1856" s="2" t="s">
        <v>2989</v>
      </c>
      <c r="E1856" s="1" t="s">
        <v>699</v>
      </c>
      <c r="F1856" s="14">
        <v>0.5766</v>
      </c>
      <c r="G1856" s="15"/>
      <c r="H1856" s="16"/>
      <c r="I1856" s="14"/>
    </row>
    <row r="1857">
      <c r="A1857" s="14">
        <v>665.0</v>
      </c>
      <c r="B1857" s="14">
        <v>5.4031435E7</v>
      </c>
      <c r="C1857" s="14">
        <v>2.14511481E8</v>
      </c>
      <c r="D1857" s="2" t="s">
        <v>2880</v>
      </c>
      <c r="E1857" s="1" t="s">
        <v>121</v>
      </c>
      <c r="F1857" s="14">
        <v>0.5749</v>
      </c>
      <c r="G1857" s="15"/>
      <c r="H1857" s="16"/>
      <c r="I1857" s="14"/>
    </row>
    <row r="1858">
      <c r="A1858" s="14">
        <v>531.0</v>
      </c>
      <c r="B1858" s="14">
        <v>2.4692133E7</v>
      </c>
      <c r="C1858" s="14">
        <v>1.00749364E8</v>
      </c>
      <c r="D1858" s="2" t="s">
        <v>3733</v>
      </c>
      <c r="E1858" s="1" t="s">
        <v>121</v>
      </c>
      <c r="F1858" s="14">
        <v>0.5734</v>
      </c>
      <c r="G1858" s="15"/>
      <c r="H1858" s="16"/>
      <c r="I1858" s="14"/>
    </row>
    <row r="1859">
      <c r="A1859" s="14">
        <v>249.0</v>
      </c>
      <c r="B1859" s="14">
        <v>362720.0</v>
      </c>
      <c r="C1859" s="14">
        <v>1580943.0</v>
      </c>
      <c r="D1859" s="2" t="s">
        <v>4161</v>
      </c>
      <c r="E1859" s="1" t="s">
        <v>107</v>
      </c>
      <c r="F1859" s="14">
        <v>0.5719</v>
      </c>
      <c r="G1859" s="15"/>
      <c r="H1859" s="16"/>
      <c r="I1859" s="14"/>
    </row>
    <row r="1860">
      <c r="A1860" s="14">
        <v>120.0</v>
      </c>
      <c r="B1860" s="14">
        <v>404684.0</v>
      </c>
      <c r="C1860" s="14">
        <v>1825987.0</v>
      </c>
      <c r="D1860" s="2" t="s">
        <v>4164</v>
      </c>
      <c r="E1860" s="1" t="s">
        <v>107</v>
      </c>
      <c r="F1860" s="14">
        <v>0.5719</v>
      </c>
      <c r="G1860" s="15"/>
      <c r="H1860" s="16"/>
      <c r="I1860" s="14"/>
    </row>
    <row r="1861">
      <c r="A1861" s="14">
        <v>142.0</v>
      </c>
      <c r="B1861" s="14">
        <v>1322422.0</v>
      </c>
      <c r="C1861" s="14">
        <v>1.9375196E7</v>
      </c>
      <c r="D1861" s="2" t="s">
        <v>4165</v>
      </c>
      <c r="E1861" s="1" t="s">
        <v>107</v>
      </c>
      <c r="F1861" s="14">
        <v>0.5719</v>
      </c>
      <c r="G1861" s="15"/>
      <c r="H1861" s="16"/>
      <c r="I1861" s="14"/>
    </row>
    <row r="1862">
      <c r="A1862" s="14">
        <v>120.0</v>
      </c>
      <c r="B1862" s="14">
        <v>3142307.0</v>
      </c>
      <c r="C1862" s="14">
        <v>1.3305986E7</v>
      </c>
      <c r="D1862" s="2" t="s">
        <v>4167</v>
      </c>
      <c r="E1862" s="1" t="s">
        <v>107</v>
      </c>
      <c r="F1862" s="14">
        <v>0.5719</v>
      </c>
      <c r="G1862" s="15"/>
      <c r="H1862" s="16"/>
      <c r="I1862" s="14"/>
    </row>
    <row r="1863">
      <c r="A1863" s="14">
        <v>663.0</v>
      </c>
      <c r="B1863" s="14">
        <v>8311311.0</v>
      </c>
      <c r="C1863" s="14">
        <v>3.5218083E7</v>
      </c>
      <c r="D1863" s="2" t="s">
        <v>4168</v>
      </c>
      <c r="E1863" s="1" t="s">
        <v>107</v>
      </c>
      <c r="F1863" s="14">
        <v>0.5719</v>
      </c>
      <c r="G1863" s="15"/>
      <c r="H1863" s="16"/>
      <c r="I1863" s="14"/>
    </row>
    <row r="1864">
      <c r="A1864" s="14">
        <v>609.0</v>
      </c>
      <c r="B1864" s="14">
        <v>8366404.0</v>
      </c>
      <c r="C1864" s="14">
        <v>3.5441346E7</v>
      </c>
      <c r="D1864" s="2" t="s">
        <v>4170</v>
      </c>
      <c r="E1864" s="1" t="s">
        <v>107</v>
      </c>
      <c r="F1864" s="14">
        <v>0.5719</v>
      </c>
      <c r="G1864" s="15"/>
      <c r="H1864" s="16"/>
      <c r="I1864" s="14"/>
    </row>
    <row r="1865">
      <c r="A1865" s="14">
        <v>142.0</v>
      </c>
      <c r="B1865" s="14">
        <v>1.0913386E7</v>
      </c>
      <c r="C1865" s="14">
        <v>4.647233E7</v>
      </c>
      <c r="D1865" s="2" t="s">
        <v>4173</v>
      </c>
      <c r="E1865" s="1" t="s">
        <v>107</v>
      </c>
      <c r="F1865" s="14">
        <v>0.5719</v>
      </c>
      <c r="G1865" s="15"/>
      <c r="H1865" s="16"/>
      <c r="I1865" s="14"/>
    </row>
    <row r="1866">
      <c r="A1866" s="14">
        <v>142.0</v>
      </c>
      <c r="B1866" s="14">
        <v>1.5596999E7</v>
      </c>
      <c r="C1866" s="14">
        <v>6.6336832E7</v>
      </c>
      <c r="D1866" s="2" t="s">
        <v>4062</v>
      </c>
      <c r="E1866" s="1" t="s">
        <v>107</v>
      </c>
      <c r="F1866" s="14">
        <v>0.5719</v>
      </c>
      <c r="G1866" s="15"/>
      <c r="H1866" s="16"/>
      <c r="I1866" s="14"/>
    </row>
    <row r="1867">
      <c r="A1867" s="14">
        <v>601.0</v>
      </c>
      <c r="B1867" s="14">
        <v>1.80316E7</v>
      </c>
      <c r="C1867" s="14">
        <v>1.76713332E8</v>
      </c>
      <c r="D1867" s="2" t="s">
        <v>3935</v>
      </c>
      <c r="E1867" s="1" t="s">
        <v>107</v>
      </c>
      <c r="F1867" s="14">
        <v>0.5719</v>
      </c>
      <c r="G1867" s="15"/>
      <c r="H1867" s="16"/>
      <c r="I1867" s="14"/>
    </row>
    <row r="1868">
      <c r="A1868" s="14">
        <v>473.0</v>
      </c>
      <c r="B1868" s="14">
        <v>1.8325612E7</v>
      </c>
      <c r="C1868" s="14">
        <v>7.6983985E7</v>
      </c>
      <c r="D1868" s="2" t="s">
        <v>3923</v>
      </c>
      <c r="E1868" s="1" t="s">
        <v>107</v>
      </c>
      <c r="F1868" s="14">
        <v>0.5719</v>
      </c>
      <c r="G1868" s="15"/>
      <c r="H1868" s="16"/>
      <c r="I1868" s="14"/>
    </row>
    <row r="1869">
      <c r="A1869" s="14">
        <v>228.0</v>
      </c>
      <c r="B1869" s="14">
        <v>1.855152E7</v>
      </c>
      <c r="C1869" s="14">
        <v>7.7969942E7</v>
      </c>
      <c r="D1869" s="2" t="s">
        <v>3914</v>
      </c>
      <c r="E1869" s="1" t="s">
        <v>107</v>
      </c>
      <c r="F1869" s="14">
        <v>0.5719</v>
      </c>
      <c r="G1869" s="15"/>
      <c r="H1869" s="16"/>
      <c r="I1869" s="14"/>
    </row>
    <row r="1870">
      <c r="A1870" s="14">
        <v>671.0</v>
      </c>
      <c r="B1870" s="14">
        <v>2.1723933E7</v>
      </c>
      <c r="C1870" s="14">
        <v>8.9860316E7</v>
      </c>
      <c r="D1870" s="2" t="s">
        <v>3815</v>
      </c>
      <c r="E1870" s="1" t="s">
        <v>107</v>
      </c>
      <c r="F1870" s="14">
        <v>0.5719</v>
      </c>
      <c r="G1870" s="15"/>
      <c r="H1870" s="16"/>
      <c r="I1870" s="14"/>
    </row>
    <row r="1871">
      <c r="A1871" s="14">
        <v>203.0</v>
      </c>
      <c r="B1871" s="14">
        <v>4.3035037E7</v>
      </c>
      <c r="C1871" s="14">
        <v>2.00596846E8</v>
      </c>
      <c r="D1871" s="2" t="s">
        <v>3294</v>
      </c>
      <c r="E1871" s="1" t="s">
        <v>107</v>
      </c>
      <c r="F1871" s="14">
        <v>0.5719</v>
      </c>
      <c r="G1871" s="15"/>
      <c r="H1871" s="16"/>
      <c r="I1871" s="14"/>
    </row>
    <row r="1872">
      <c r="A1872" s="14">
        <v>455.0</v>
      </c>
      <c r="B1872" s="14">
        <v>4.5063372E7</v>
      </c>
      <c r="C1872" s="14">
        <v>1.77917196E8</v>
      </c>
      <c r="D1872" s="2" t="s">
        <v>3243</v>
      </c>
      <c r="E1872" s="1" t="s">
        <v>107</v>
      </c>
      <c r="F1872" s="14">
        <v>0.5719</v>
      </c>
      <c r="G1872" s="15"/>
      <c r="H1872" s="16"/>
      <c r="I1872" s="14"/>
    </row>
    <row r="1873">
      <c r="A1873" s="14">
        <v>410.0</v>
      </c>
      <c r="B1873" s="14">
        <v>4.6753128E7</v>
      </c>
      <c r="C1873" s="14">
        <v>1.84853049E8</v>
      </c>
      <c r="D1873" s="2" t="s">
        <v>3167</v>
      </c>
      <c r="E1873" s="1" t="s">
        <v>107</v>
      </c>
      <c r="F1873" s="14">
        <v>0.5719</v>
      </c>
      <c r="G1873" s="15"/>
      <c r="H1873" s="16"/>
      <c r="I1873" s="14"/>
    </row>
    <row r="1874">
      <c r="A1874" s="14">
        <v>380.0</v>
      </c>
      <c r="B1874" s="14">
        <v>4.7866685E7</v>
      </c>
      <c r="C1874" s="14">
        <v>1.89277155E8</v>
      </c>
      <c r="D1874" s="2" t="s">
        <v>3117</v>
      </c>
      <c r="E1874" s="1" t="s">
        <v>107</v>
      </c>
      <c r="F1874" s="14">
        <v>0.5719</v>
      </c>
      <c r="G1874" s="15"/>
      <c r="H1874" s="16"/>
      <c r="I1874" s="14"/>
    </row>
    <row r="1875">
      <c r="A1875" s="14">
        <v>602.0</v>
      </c>
      <c r="B1875" s="14">
        <v>5.5686794E7</v>
      </c>
      <c r="C1875" s="14">
        <v>2.2119851E8</v>
      </c>
      <c r="D1875" s="2" t="s">
        <v>2822</v>
      </c>
      <c r="E1875" s="1" t="s">
        <v>107</v>
      </c>
      <c r="F1875" s="14">
        <v>0.5719</v>
      </c>
      <c r="G1875" s="15"/>
      <c r="H1875" s="16"/>
      <c r="I1875" s="14"/>
    </row>
    <row r="1876">
      <c r="A1876" s="14">
        <v>587.0</v>
      </c>
      <c r="B1876" s="14">
        <v>6.6290157E7</v>
      </c>
      <c r="C1876" s="14">
        <v>2.70700801E8</v>
      </c>
      <c r="D1876" s="2" t="s">
        <v>2421</v>
      </c>
      <c r="E1876" s="1" t="s">
        <v>107</v>
      </c>
      <c r="F1876" s="14">
        <v>0.5719</v>
      </c>
      <c r="G1876" s="15"/>
      <c r="H1876" s="16"/>
      <c r="I1876" s="14"/>
    </row>
    <row r="1877">
      <c r="A1877" s="14">
        <v>654.0</v>
      </c>
      <c r="B1877" s="14">
        <v>8.1064823E7</v>
      </c>
      <c r="C1877" s="14">
        <v>3.39286079E8</v>
      </c>
      <c r="D1877" s="2" t="s">
        <v>1690</v>
      </c>
      <c r="E1877" s="1" t="s">
        <v>107</v>
      </c>
      <c r="F1877" s="14">
        <v>0.5719</v>
      </c>
      <c r="G1877" s="15"/>
      <c r="H1877" s="16"/>
      <c r="I1877" s="14"/>
    </row>
    <row r="1878">
      <c r="A1878" s="14">
        <v>667.0</v>
      </c>
      <c r="B1878" s="14">
        <v>8.210741E7</v>
      </c>
      <c r="C1878" s="14">
        <v>3.44189202E8</v>
      </c>
      <c r="D1878" s="2" t="s">
        <v>1622</v>
      </c>
      <c r="E1878" s="1" t="s">
        <v>107</v>
      </c>
      <c r="F1878" s="14">
        <v>0.5719</v>
      </c>
      <c r="G1878" s="15"/>
      <c r="H1878" s="16"/>
      <c r="I1878" s="14"/>
    </row>
    <row r="1879">
      <c r="A1879" s="14">
        <v>504.0</v>
      </c>
      <c r="B1879" s="14">
        <v>8.2940345E7</v>
      </c>
      <c r="C1879" s="14">
        <v>3.48029327E8</v>
      </c>
      <c r="D1879" s="2" t="s">
        <v>1571</v>
      </c>
      <c r="E1879" s="1" t="s">
        <v>107</v>
      </c>
      <c r="F1879" s="14">
        <v>0.5719</v>
      </c>
      <c r="G1879" s="15"/>
      <c r="H1879" s="16"/>
      <c r="I1879" s="14"/>
    </row>
    <row r="1880">
      <c r="A1880" s="14">
        <v>571.0</v>
      </c>
      <c r="B1880" s="14">
        <v>9.0502705E7</v>
      </c>
      <c r="C1880" s="14">
        <v>3.84053311E8</v>
      </c>
      <c r="D1880" s="2" t="s">
        <v>1108</v>
      </c>
      <c r="E1880" s="1" t="s">
        <v>107</v>
      </c>
      <c r="F1880" s="14">
        <v>0.5719</v>
      </c>
      <c r="G1880" s="15"/>
      <c r="H1880" s="16"/>
      <c r="I1880" s="14"/>
    </row>
    <row r="1881">
      <c r="A1881" s="14">
        <v>578.0</v>
      </c>
      <c r="B1881" s="14">
        <v>9.8977647E7</v>
      </c>
      <c r="C1881" s="14">
        <v>4.23757262E8</v>
      </c>
      <c r="D1881" s="2" t="s">
        <v>653</v>
      </c>
      <c r="E1881" s="1" t="s">
        <v>107</v>
      </c>
      <c r="F1881" s="14">
        <v>0.5719</v>
      </c>
      <c r="G1881" s="15"/>
      <c r="H1881" s="16"/>
      <c r="I1881" s="14"/>
    </row>
    <row r="1882">
      <c r="A1882" s="14">
        <v>481.0</v>
      </c>
      <c r="B1882" s="14">
        <v>1718662.0</v>
      </c>
      <c r="C1882" s="14">
        <v>7502827.0</v>
      </c>
      <c r="D1882" s="2" t="s">
        <v>4190</v>
      </c>
      <c r="E1882" s="1" t="s">
        <v>699</v>
      </c>
      <c r="F1882" s="14">
        <v>0.5719</v>
      </c>
      <c r="G1882" s="15"/>
      <c r="H1882" s="16"/>
      <c r="I1882" s="14"/>
    </row>
    <row r="1883">
      <c r="A1883" s="14">
        <v>526.0</v>
      </c>
      <c r="B1883" s="14">
        <v>7929813.0</v>
      </c>
      <c r="C1883" s="14">
        <v>3.359925E7</v>
      </c>
      <c r="D1883" s="2" t="s">
        <v>4193</v>
      </c>
      <c r="E1883" s="1" t="s">
        <v>699</v>
      </c>
      <c r="F1883" s="14">
        <v>0.5719</v>
      </c>
      <c r="G1883" s="15"/>
      <c r="H1883" s="16"/>
      <c r="I1883" s="14"/>
    </row>
    <row r="1884">
      <c r="A1884" s="14">
        <v>355.0</v>
      </c>
      <c r="B1884" s="14">
        <v>1.4824589E7</v>
      </c>
      <c r="C1884" s="14">
        <v>6.3073434E7</v>
      </c>
      <c r="D1884" s="2" t="s">
        <v>4116</v>
      </c>
      <c r="E1884" s="1" t="s">
        <v>699</v>
      </c>
      <c r="F1884" s="14">
        <v>0.5719</v>
      </c>
      <c r="G1884" s="15"/>
      <c r="H1884" s="16"/>
      <c r="I1884" s="14"/>
    </row>
    <row r="1885">
      <c r="A1885" s="14">
        <v>215.0</v>
      </c>
      <c r="B1885" s="14">
        <v>4.7225473E7</v>
      </c>
      <c r="C1885" s="14">
        <v>1.86850528E8</v>
      </c>
      <c r="D1885" s="2" t="s">
        <v>3142</v>
      </c>
      <c r="E1885" s="1" t="s">
        <v>699</v>
      </c>
      <c r="F1885" s="14">
        <v>0.5719</v>
      </c>
      <c r="G1885" s="15"/>
      <c r="H1885" s="16"/>
      <c r="I1885" s="14"/>
    </row>
    <row r="1886">
      <c r="A1886" s="14">
        <v>676.0</v>
      </c>
      <c r="B1886" s="14">
        <v>6.9974331E7</v>
      </c>
      <c r="C1886" s="14">
        <v>2.88423764E8</v>
      </c>
      <c r="D1886" s="2" t="s">
        <v>2225</v>
      </c>
      <c r="E1886" s="1" t="s">
        <v>699</v>
      </c>
      <c r="F1886" s="14">
        <v>0.5719</v>
      </c>
      <c r="G1886" s="15"/>
      <c r="H1886" s="16"/>
      <c r="I1886" s="14"/>
    </row>
    <row r="1887">
      <c r="A1887" s="14">
        <v>645.0</v>
      </c>
      <c r="B1887" s="14">
        <v>7.1982756E7</v>
      </c>
      <c r="C1887" s="14">
        <v>2.98312016E8</v>
      </c>
      <c r="D1887" s="2" t="s">
        <v>2130</v>
      </c>
      <c r="E1887" s="1" t="s">
        <v>699</v>
      </c>
      <c r="F1887" s="14">
        <v>0.5719</v>
      </c>
      <c r="G1887" s="15"/>
      <c r="H1887" s="16"/>
      <c r="I1887" s="14"/>
    </row>
    <row r="1888">
      <c r="A1888" s="14">
        <v>630.0</v>
      </c>
      <c r="B1888" s="14">
        <v>7.4102778E7</v>
      </c>
      <c r="C1888" s="14">
        <v>4.22891514E8</v>
      </c>
      <c r="D1888" s="2" t="s">
        <v>2059</v>
      </c>
      <c r="E1888" s="1" t="s">
        <v>699</v>
      </c>
      <c r="F1888" s="14">
        <v>0.5719</v>
      </c>
      <c r="G1888" s="15"/>
      <c r="H1888" s="16"/>
      <c r="I1888" s="14"/>
    </row>
    <row r="1889">
      <c r="A1889" s="14">
        <v>173.0</v>
      </c>
      <c r="B1889" s="14">
        <v>8.4261269E7</v>
      </c>
      <c r="C1889" s="14">
        <v>3.54241973E8</v>
      </c>
      <c r="D1889" s="2" t="s">
        <v>1482</v>
      </c>
      <c r="E1889" s="1" t="s">
        <v>699</v>
      </c>
      <c r="F1889" s="14">
        <v>0.5719</v>
      </c>
      <c r="G1889" s="15"/>
      <c r="H1889" s="16"/>
      <c r="I1889" s="14"/>
    </row>
    <row r="1890">
      <c r="A1890" s="14">
        <v>504.0</v>
      </c>
      <c r="B1890" s="14">
        <v>8.6703539E7</v>
      </c>
      <c r="C1890" s="14">
        <v>3.66089947E8</v>
      </c>
      <c r="D1890" s="2" t="s">
        <v>1309</v>
      </c>
      <c r="E1890" s="1" t="s">
        <v>699</v>
      </c>
      <c r="F1890" s="14">
        <v>0.5719</v>
      </c>
      <c r="G1890" s="15"/>
      <c r="H1890" s="16"/>
      <c r="I1890" s="14"/>
    </row>
    <row r="1891">
      <c r="A1891" s="14">
        <v>656.0</v>
      </c>
      <c r="B1891" s="14">
        <v>1.10625058E8</v>
      </c>
      <c r="C1891" s="14">
        <v>4.79773472E8</v>
      </c>
      <c r="D1891" s="2" t="s">
        <v>66</v>
      </c>
      <c r="E1891" s="1" t="s">
        <v>699</v>
      </c>
      <c r="F1891" s="14">
        <v>0.5719</v>
      </c>
      <c r="G1891" s="15"/>
      <c r="H1891" s="16"/>
      <c r="I1891" s="14"/>
    </row>
    <row r="1892">
      <c r="A1892" s="14">
        <v>671.0</v>
      </c>
      <c r="B1892" s="14">
        <v>5287243.0</v>
      </c>
      <c r="C1892" s="14">
        <v>2.2595191E7</v>
      </c>
      <c r="D1892" s="2" t="s">
        <v>4203</v>
      </c>
      <c r="E1892" s="1" t="s">
        <v>121</v>
      </c>
      <c r="F1892" s="14">
        <v>0.5719</v>
      </c>
      <c r="G1892" s="15"/>
      <c r="H1892" s="16"/>
      <c r="I1892" s="14"/>
    </row>
    <row r="1893">
      <c r="A1893" s="14">
        <v>671.0</v>
      </c>
      <c r="B1893" s="14">
        <v>8468671.0</v>
      </c>
      <c r="C1893" s="14">
        <v>3.5925309E7</v>
      </c>
      <c r="D1893" s="2" t="s">
        <v>4207</v>
      </c>
      <c r="E1893" s="1" t="s">
        <v>121</v>
      </c>
      <c r="F1893" s="14">
        <v>0.5719</v>
      </c>
      <c r="G1893" s="15"/>
      <c r="H1893" s="16"/>
      <c r="I1893" s="14"/>
    </row>
    <row r="1894">
      <c r="A1894" s="14">
        <v>531.0</v>
      </c>
      <c r="B1894" s="14">
        <v>1.154709E7</v>
      </c>
      <c r="C1894" s="14">
        <v>4.905237E7</v>
      </c>
      <c r="D1894" s="2" t="s">
        <v>4210</v>
      </c>
      <c r="E1894" s="1" t="s">
        <v>121</v>
      </c>
      <c r="F1894" s="14">
        <v>0.5719</v>
      </c>
      <c r="G1894" s="15"/>
      <c r="H1894" s="16"/>
      <c r="I1894" s="14"/>
    </row>
    <row r="1895">
      <c r="A1895" s="14">
        <v>531.0</v>
      </c>
      <c r="B1895" s="14">
        <v>1.3824941E7</v>
      </c>
      <c r="C1895" s="14">
        <v>5.8726655E7</v>
      </c>
      <c r="D1895" s="2" t="s">
        <v>4171</v>
      </c>
      <c r="E1895" s="1" t="s">
        <v>121</v>
      </c>
      <c r="F1895" s="14">
        <v>0.5719</v>
      </c>
      <c r="G1895" s="15"/>
      <c r="H1895" s="16"/>
      <c r="I1895" s="14"/>
    </row>
    <row r="1896">
      <c r="A1896" s="14">
        <v>531.0</v>
      </c>
      <c r="B1896" s="14">
        <v>1.4006057E7</v>
      </c>
      <c r="C1896" s="14">
        <v>5.9567447E7</v>
      </c>
      <c r="D1896" s="2" t="s">
        <v>4156</v>
      </c>
      <c r="E1896" s="1" t="s">
        <v>121</v>
      </c>
      <c r="F1896" s="14">
        <v>0.5719</v>
      </c>
      <c r="G1896" s="15"/>
      <c r="H1896" s="16"/>
      <c r="I1896" s="14"/>
    </row>
    <row r="1897">
      <c r="A1897" s="14">
        <v>601.0</v>
      </c>
      <c r="B1897" s="14">
        <v>1.5146648E7</v>
      </c>
      <c r="C1897" s="14">
        <v>6.4489292E7</v>
      </c>
      <c r="D1897" s="2" t="s">
        <v>4097</v>
      </c>
      <c r="E1897" s="1" t="s">
        <v>121</v>
      </c>
      <c r="F1897" s="14">
        <v>0.5719</v>
      </c>
      <c r="G1897" s="15"/>
      <c r="H1897" s="16"/>
      <c r="I1897" s="14"/>
    </row>
    <row r="1898">
      <c r="A1898" s="14">
        <v>602.0</v>
      </c>
      <c r="B1898" s="14">
        <v>1.683133E7</v>
      </c>
      <c r="C1898" s="14">
        <v>7.1331251E7</v>
      </c>
      <c r="D1898" s="2" t="s">
        <v>3979</v>
      </c>
      <c r="E1898" s="1" t="s">
        <v>121</v>
      </c>
      <c r="F1898" s="14">
        <v>0.5719</v>
      </c>
      <c r="G1898" s="15"/>
      <c r="H1898" s="16"/>
      <c r="I1898" s="14"/>
    </row>
    <row r="1899">
      <c r="A1899" s="14">
        <v>644.0</v>
      </c>
      <c r="B1899" s="14">
        <v>3.9835545E7</v>
      </c>
      <c r="C1899" s="14">
        <v>1.58225866E8</v>
      </c>
      <c r="D1899" s="2" t="s">
        <v>3383</v>
      </c>
      <c r="E1899" s="1" t="s">
        <v>121</v>
      </c>
      <c r="F1899" s="14">
        <v>0.5719</v>
      </c>
      <c r="G1899" s="15"/>
      <c r="H1899" s="16"/>
      <c r="I1899" s="14"/>
    </row>
    <row r="1900">
      <c r="A1900" s="14">
        <v>665.0</v>
      </c>
      <c r="B1900" s="14">
        <v>4.3709869E7</v>
      </c>
      <c r="C1900" s="14">
        <v>2.00170026E8</v>
      </c>
      <c r="D1900" s="2" t="s">
        <v>3280</v>
      </c>
      <c r="E1900" s="1" t="s">
        <v>121</v>
      </c>
      <c r="F1900" s="14">
        <v>0.5719</v>
      </c>
      <c r="G1900" s="15"/>
      <c r="H1900" s="16"/>
      <c r="I1900" s="14"/>
    </row>
    <row r="1901">
      <c r="A1901" s="14">
        <v>671.0</v>
      </c>
      <c r="B1901" s="14">
        <v>5.4719333E7</v>
      </c>
      <c r="C1901" s="14">
        <v>2.17252407E8</v>
      </c>
      <c r="D1901" s="2" t="s">
        <v>2848</v>
      </c>
      <c r="E1901" s="1" t="s">
        <v>121</v>
      </c>
      <c r="F1901" s="14">
        <v>0.5719</v>
      </c>
      <c r="G1901" s="15"/>
      <c r="H1901" s="16"/>
      <c r="I1901" s="14"/>
    </row>
    <row r="1902">
      <c r="A1902" s="14">
        <v>715.0</v>
      </c>
      <c r="B1902" s="14">
        <v>6.6777486E7</v>
      </c>
      <c r="C1902" s="14">
        <v>2.73249341E8</v>
      </c>
      <c r="D1902" s="2" t="s">
        <v>2403</v>
      </c>
      <c r="E1902" s="1" t="s">
        <v>121</v>
      </c>
      <c r="F1902" s="14">
        <v>0.5719</v>
      </c>
      <c r="G1902" s="15"/>
      <c r="H1902" s="16"/>
      <c r="I1902" s="14"/>
    </row>
    <row r="1903">
      <c r="A1903" s="14">
        <v>597.0</v>
      </c>
      <c r="B1903" s="14">
        <v>6.9035041E7</v>
      </c>
      <c r="C1903" s="14">
        <v>2.83975767E8</v>
      </c>
      <c r="D1903" s="2" t="s">
        <v>2283</v>
      </c>
      <c r="E1903" s="1" t="s">
        <v>121</v>
      </c>
      <c r="F1903" s="14">
        <v>0.5719</v>
      </c>
      <c r="G1903" s="15"/>
      <c r="H1903" s="16"/>
      <c r="I1903" s="14"/>
    </row>
    <row r="1904">
      <c r="A1904" s="14">
        <v>667.0</v>
      </c>
      <c r="B1904" s="14">
        <v>7.8016029E7</v>
      </c>
      <c r="C1904" s="14">
        <v>3.24866321E8</v>
      </c>
      <c r="D1904" s="2" t="s">
        <v>1856</v>
      </c>
      <c r="E1904" s="1" t="s">
        <v>121</v>
      </c>
      <c r="F1904" s="14">
        <v>0.5719</v>
      </c>
      <c r="G1904" s="15"/>
      <c r="H1904" s="16"/>
      <c r="I1904" s="14"/>
    </row>
    <row r="1905">
      <c r="A1905" s="14">
        <v>630.0</v>
      </c>
      <c r="B1905" s="14">
        <v>8.3169308E7</v>
      </c>
      <c r="C1905" s="14">
        <v>3.4907821E8</v>
      </c>
      <c r="D1905" s="2" t="s">
        <v>1559</v>
      </c>
      <c r="E1905" s="1" t="s">
        <v>121</v>
      </c>
      <c r="F1905" s="14">
        <v>0.5719</v>
      </c>
      <c r="G1905" s="15"/>
      <c r="H1905" s="16"/>
      <c r="I1905" s="14"/>
    </row>
    <row r="1906">
      <c r="A1906" s="14">
        <v>719.0</v>
      </c>
      <c r="B1906" s="14">
        <v>9.2137421E7</v>
      </c>
      <c r="C1906" s="14">
        <v>3.90940894E8</v>
      </c>
      <c r="D1906" s="2" t="s">
        <v>1026</v>
      </c>
      <c r="E1906" s="1" t="s">
        <v>121</v>
      </c>
      <c r="F1906" s="14">
        <v>0.5719</v>
      </c>
      <c r="G1906" s="15"/>
      <c r="H1906" s="16"/>
      <c r="I1906" s="14"/>
    </row>
    <row r="1907">
      <c r="A1907" s="14">
        <v>173.0</v>
      </c>
      <c r="B1907" s="14">
        <v>1.03350976E8</v>
      </c>
      <c r="C1907" s="14">
        <v>4.44489502E8</v>
      </c>
      <c r="D1907" s="2" t="s">
        <v>405</v>
      </c>
      <c r="E1907" s="1" t="s">
        <v>107</v>
      </c>
      <c r="F1907" s="14">
        <v>0.5709</v>
      </c>
      <c r="G1907" s="15"/>
      <c r="H1907" s="16"/>
      <c r="I1907" s="14"/>
    </row>
    <row r="1908">
      <c r="A1908" s="14">
        <v>142.0</v>
      </c>
      <c r="B1908" s="14">
        <v>4681358.0</v>
      </c>
      <c r="C1908" s="14">
        <v>1.9835369E7</v>
      </c>
      <c r="D1908" s="2" t="s">
        <v>4222</v>
      </c>
      <c r="E1908" s="1" t="s">
        <v>107</v>
      </c>
      <c r="F1908" s="14">
        <v>0.5707</v>
      </c>
      <c r="G1908" s="15"/>
      <c r="H1908" s="16"/>
      <c r="I1908" s="14"/>
    </row>
    <row r="1909">
      <c r="A1909" s="14">
        <v>410.0</v>
      </c>
      <c r="B1909" s="14">
        <v>4.7817703E7</v>
      </c>
      <c r="C1909" s="14">
        <v>1.89334236E8</v>
      </c>
      <c r="D1909" s="2" t="s">
        <v>3122</v>
      </c>
      <c r="E1909" s="1" t="s">
        <v>107</v>
      </c>
      <c r="F1909" s="14">
        <v>0.5707</v>
      </c>
      <c r="G1909" s="15"/>
      <c r="H1909" s="16"/>
      <c r="I1909" s="14"/>
    </row>
    <row r="1910">
      <c r="A1910" s="14">
        <v>215.0</v>
      </c>
      <c r="B1910" s="14">
        <v>1.01959375E8</v>
      </c>
      <c r="C1910" s="14">
        <v>4.38286923E8</v>
      </c>
      <c r="D1910" s="2" t="s">
        <v>469</v>
      </c>
      <c r="E1910" s="1" t="s">
        <v>107</v>
      </c>
      <c r="F1910" s="14">
        <v>0.5707</v>
      </c>
      <c r="G1910" s="15"/>
      <c r="H1910" s="16"/>
      <c r="I1910" s="14"/>
    </row>
    <row r="1911">
      <c r="A1911" s="14">
        <v>157.0</v>
      </c>
      <c r="B1911" s="14">
        <v>229997.0</v>
      </c>
      <c r="C1911" s="14">
        <v>964968.0</v>
      </c>
      <c r="D1911" s="2" t="s">
        <v>4225</v>
      </c>
      <c r="E1911" s="1" t="s">
        <v>121</v>
      </c>
      <c r="F1911" s="14">
        <v>0.5707</v>
      </c>
      <c r="G1911" s="15"/>
      <c r="H1911" s="16"/>
      <c r="I1911" s="14"/>
    </row>
    <row r="1912">
      <c r="A1912" s="14">
        <v>353.0</v>
      </c>
      <c r="B1912" s="14">
        <v>1304368.0</v>
      </c>
      <c r="C1912" s="14">
        <v>2.7742918E7</v>
      </c>
      <c r="D1912" s="2" t="s">
        <v>4226</v>
      </c>
      <c r="E1912" s="1" t="s">
        <v>121</v>
      </c>
      <c r="F1912" s="14">
        <v>0.57</v>
      </c>
      <c r="G1912" s="15"/>
      <c r="H1912" s="16"/>
      <c r="I1912" s="14"/>
    </row>
    <row r="1913">
      <c r="A1913" s="14">
        <v>671.0</v>
      </c>
      <c r="B1913" s="14">
        <v>3104291.0</v>
      </c>
      <c r="C1913" s="14">
        <v>1.3138598E7</v>
      </c>
      <c r="D1913" s="2" t="s">
        <v>4227</v>
      </c>
      <c r="E1913" s="1" t="s">
        <v>107</v>
      </c>
      <c r="F1913" s="14">
        <v>0.5676</v>
      </c>
      <c r="G1913" s="15"/>
      <c r="H1913" s="16"/>
      <c r="I1913" s="14"/>
    </row>
    <row r="1914">
      <c r="A1914" s="14">
        <v>630.0</v>
      </c>
      <c r="B1914" s="14">
        <v>8877494.0</v>
      </c>
      <c r="C1914" s="14">
        <v>3.8220275E7</v>
      </c>
      <c r="D1914" s="2" t="s">
        <v>4230</v>
      </c>
      <c r="E1914" s="1" t="s">
        <v>699</v>
      </c>
      <c r="F1914" s="14">
        <v>0.5673</v>
      </c>
      <c r="G1914" s="15"/>
      <c r="H1914" s="16"/>
      <c r="I1914" s="14"/>
    </row>
    <row r="1915">
      <c r="A1915" s="14">
        <v>602.0</v>
      </c>
      <c r="B1915" s="14">
        <v>3.7234913E7</v>
      </c>
      <c r="C1915" s="14">
        <v>1.48110007E8</v>
      </c>
      <c r="D1915" s="2" t="s">
        <v>3443</v>
      </c>
      <c r="E1915" s="1" t="s">
        <v>699</v>
      </c>
      <c r="F1915" s="14">
        <v>0.5673</v>
      </c>
      <c r="G1915" s="15"/>
      <c r="H1915" s="16"/>
      <c r="I1915" s="14"/>
    </row>
    <row r="1916">
      <c r="A1916" s="14">
        <v>120.0</v>
      </c>
      <c r="B1916" s="14">
        <v>52089.0</v>
      </c>
      <c r="C1916" s="14">
        <v>183751.0</v>
      </c>
      <c r="D1916" s="2" t="s">
        <v>4231</v>
      </c>
      <c r="E1916" s="1" t="s">
        <v>121</v>
      </c>
      <c r="F1916" s="14">
        <v>0.5673</v>
      </c>
      <c r="G1916" s="15"/>
      <c r="H1916" s="16"/>
      <c r="I1916" s="14"/>
    </row>
    <row r="1917">
      <c r="A1917" s="14">
        <v>601.0</v>
      </c>
      <c r="B1917" s="14">
        <v>3036060.0</v>
      </c>
      <c r="C1917" s="14">
        <v>1.2877326E7</v>
      </c>
      <c r="D1917" s="2" t="s">
        <v>4234</v>
      </c>
      <c r="E1917" s="1" t="s">
        <v>121</v>
      </c>
      <c r="F1917" s="14">
        <v>0.5659</v>
      </c>
      <c r="G1917" s="15"/>
      <c r="H1917" s="16"/>
      <c r="I1917" s="14"/>
    </row>
    <row r="1918">
      <c r="A1918" s="14">
        <v>602.0</v>
      </c>
      <c r="B1918" s="14">
        <v>2046046.0</v>
      </c>
      <c r="C1918" s="14">
        <v>6.0472398E7</v>
      </c>
      <c r="D1918" s="2" t="s">
        <v>4236</v>
      </c>
      <c r="E1918" s="1" t="s">
        <v>107</v>
      </c>
      <c r="F1918" s="14">
        <v>0.5647</v>
      </c>
      <c r="G1918" s="15"/>
      <c r="H1918" s="16"/>
      <c r="I1918" s="14"/>
    </row>
    <row r="1919">
      <c r="A1919" s="14">
        <v>571.0</v>
      </c>
      <c r="B1919" s="14">
        <v>1.6861934E7</v>
      </c>
      <c r="C1919" s="14">
        <v>7.1638474E7</v>
      </c>
      <c r="D1919" s="2" t="s">
        <v>3978</v>
      </c>
      <c r="E1919" s="1" t="s">
        <v>121</v>
      </c>
      <c r="F1919" s="14">
        <v>0.5647</v>
      </c>
      <c r="G1919" s="15"/>
      <c r="H1919" s="16"/>
      <c r="I1919" s="14"/>
    </row>
    <row r="1920">
      <c r="A1920" s="14">
        <v>602.0</v>
      </c>
      <c r="B1920" s="14">
        <v>4.346007E7</v>
      </c>
      <c r="C1920" s="14">
        <v>1.71868767E8</v>
      </c>
      <c r="D1920" s="2" t="s">
        <v>3284</v>
      </c>
      <c r="E1920" s="1" t="s">
        <v>121</v>
      </c>
      <c r="F1920" s="14">
        <v>0.5643</v>
      </c>
      <c r="G1920" s="15"/>
      <c r="H1920" s="16"/>
      <c r="I1920" s="14"/>
    </row>
    <row r="1921">
      <c r="A1921" s="14">
        <v>696.0</v>
      </c>
      <c r="B1921" s="14">
        <v>1.6018734E7</v>
      </c>
      <c r="C1921" s="14">
        <v>6.802875E7</v>
      </c>
      <c r="D1921" s="2" t="s">
        <v>4030</v>
      </c>
      <c r="E1921" s="1" t="s">
        <v>107</v>
      </c>
      <c r="F1921" s="14">
        <v>0.5642</v>
      </c>
      <c r="G1921" s="15"/>
      <c r="H1921" s="16"/>
      <c r="I1921" s="14"/>
    </row>
    <row r="1922">
      <c r="A1922" s="14">
        <v>671.0</v>
      </c>
      <c r="B1922" s="14">
        <v>1.1087744E8</v>
      </c>
      <c r="C1922" s="14">
        <v>4.80631967E8</v>
      </c>
      <c r="D1922" s="2" t="s">
        <v>57</v>
      </c>
      <c r="E1922" s="1" t="s">
        <v>699</v>
      </c>
      <c r="F1922" s="14">
        <v>0.564</v>
      </c>
      <c r="G1922" s="15"/>
      <c r="H1922" s="16"/>
      <c r="I1922" s="14"/>
    </row>
    <row r="1923">
      <c r="A1923" s="14">
        <v>578.0</v>
      </c>
      <c r="B1923" s="14">
        <v>9636875.0</v>
      </c>
      <c r="C1923" s="14">
        <v>4.0881458E7</v>
      </c>
      <c r="D1923" s="2" t="s">
        <v>4244</v>
      </c>
      <c r="E1923" s="1" t="s">
        <v>121</v>
      </c>
      <c r="F1923" s="14">
        <v>0.564</v>
      </c>
      <c r="G1923" s="15"/>
      <c r="H1923" s="16"/>
      <c r="I1923" s="14"/>
    </row>
    <row r="1924">
      <c r="A1924" s="14">
        <v>53.0</v>
      </c>
      <c r="B1924" s="14">
        <v>269256.0</v>
      </c>
      <c r="C1924" s="14">
        <v>1148658.0</v>
      </c>
      <c r="D1924" s="2" t="s">
        <v>4245</v>
      </c>
      <c r="E1924" s="1" t="s">
        <v>121</v>
      </c>
      <c r="F1924" s="14">
        <v>0.5615</v>
      </c>
      <c r="G1924" s="15"/>
      <c r="H1924" s="16"/>
      <c r="I1924" s="14"/>
    </row>
    <row r="1925">
      <c r="A1925" s="14">
        <v>225.0</v>
      </c>
      <c r="B1925" s="14">
        <v>1.2113472E7</v>
      </c>
      <c r="C1925" s="14">
        <v>5.1488925E7</v>
      </c>
      <c r="D1925" s="2" t="s">
        <v>4246</v>
      </c>
      <c r="E1925" s="1" t="s">
        <v>121</v>
      </c>
      <c r="F1925" s="14">
        <v>0.5584</v>
      </c>
      <c r="G1925" s="15"/>
      <c r="H1925" s="16"/>
      <c r="I1925" s="14"/>
    </row>
    <row r="1926">
      <c r="A1926" s="14">
        <v>395.0</v>
      </c>
      <c r="B1926" s="14">
        <v>4.144527E7</v>
      </c>
      <c r="C1926" s="14">
        <v>1.64115201E8</v>
      </c>
      <c r="D1926" s="2" t="s">
        <v>3339</v>
      </c>
      <c r="E1926" s="1" t="s">
        <v>121</v>
      </c>
      <c r="F1926" s="14">
        <v>0.5577</v>
      </c>
      <c r="G1926" s="15"/>
      <c r="H1926" s="16"/>
      <c r="I1926" s="14"/>
    </row>
    <row r="1927">
      <c r="A1927" s="14">
        <v>665.0</v>
      </c>
      <c r="B1927" s="14">
        <v>1.573305E7</v>
      </c>
      <c r="C1927" s="14">
        <v>3.2425E8</v>
      </c>
      <c r="D1927" s="2" t="s">
        <v>4051</v>
      </c>
      <c r="E1927" s="1" t="s">
        <v>107</v>
      </c>
      <c r="F1927" s="14">
        <v>0.5574</v>
      </c>
      <c r="G1927" s="15"/>
      <c r="H1927" s="16"/>
      <c r="I1927" s="14"/>
    </row>
    <row r="1928">
      <c r="A1928" s="14">
        <v>194.0</v>
      </c>
      <c r="B1928" s="14">
        <v>2.8129236E7</v>
      </c>
      <c r="C1928" s="14">
        <v>1.13348687E8</v>
      </c>
      <c r="D1928" s="2" t="s">
        <v>3641</v>
      </c>
      <c r="E1928" s="1" t="s">
        <v>107</v>
      </c>
      <c r="F1928" s="14">
        <v>0.5574</v>
      </c>
      <c r="G1928" s="15"/>
      <c r="H1928" s="16"/>
      <c r="I1928" s="14"/>
    </row>
    <row r="1929">
      <c r="A1929" s="14">
        <v>194.0</v>
      </c>
      <c r="B1929" s="14">
        <v>3.9547766E7</v>
      </c>
      <c r="C1929" s="14">
        <v>1.56773665E8</v>
      </c>
      <c r="D1929" s="2" t="s">
        <v>3388</v>
      </c>
      <c r="E1929" s="1" t="s">
        <v>107</v>
      </c>
      <c r="F1929" s="14">
        <v>0.5574</v>
      </c>
      <c r="G1929" s="15"/>
      <c r="H1929" s="16"/>
      <c r="I1929" s="14"/>
    </row>
    <row r="1930">
      <c r="A1930" s="14">
        <v>484.0</v>
      </c>
      <c r="B1930" s="14">
        <v>5.4527183E7</v>
      </c>
      <c r="C1930" s="14">
        <v>2.16667026E8</v>
      </c>
      <c r="D1930" s="2" t="s">
        <v>2858</v>
      </c>
      <c r="E1930" s="1" t="s">
        <v>107</v>
      </c>
      <c r="F1930" s="14">
        <v>0.5574</v>
      </c>
      <c r="G1930" s="15"/>
      <c r="H1930" s="16"/>
      <c r="I1930" s="14"/>
    </row>
    <row r="1931">
      <c r="A1931" s="14">
        <v>484.0</v>
      </c>
      <c r="B1931" s="14">
        <v>6.5157937E7</v>
      </c>
      <c r="C1931" s="14">
        <v>2.65205789E8</v>
      </c>
      <c r="D1931" s="2" t="s">
        <v>2484</v>
      </c>
      <c r="E1931" s="1" t="s">
        <v>107</v>
      </c>
      <c r="F1931" s="14">
        <v>0.5574</v>
      </c>
      <c r="G1931" s="15"/>
      <c r="H1931" s="16"/>
      <c r="I1931" s="14"/>
    </row>
    <row r="1932">
      <c r="A1932" s="14">
        <v>210.0</v>
      </c>
      <c r="B1932" s="14">
        <v>7.3454257E7</v>
      </c>
      <c r="C1932" s="14">
        <v>3.04180329E8</v>
      </c>
      <c r="D1932" s="2" t="s">
        <v>2080</v>
      </c>
      <c r="E1932" s="1" t="s">
        <v>107</v>
      </c>
      <c r="F1932" s="14">
        <v>0.5574</v>
      </c>
      <c r="G1932" s="15"/>
      <c r="H1932" s="16"/>
      <c r="I1932" s="14"/>
    </row>
    <row r="1933">
      <c r="A1933" s="14">
        <v>173.0</v>
      </c>
      <c r="B1933" s="14">
        <v>9.4635113E7</v>
      </c>
      <c r="C1933" s="14">
        <v>4.02533777E8</v>
      </c>
      <c r="D1933" s="2" t="s">
        <v>898</v>
      </c>
      <c r="E1933" s="1" t="s">
        <v>107</v>
      </c>
      <c r="F1933" s="14">
        <v>0.5574</v>
      </c>
      <c r="G1933" s="15"/>
      <c r="H1933" s="16"/>
      <c r="I1933" s="14"/>
    </row>
    <row r="1934">
      <c r="A1934" s="14">
        <v>455.0</v>
      </c>
      <c r="B1934" s="14">
        <v>1.13113571E8</v>
      </c>
      <c r="C1934" s="14">
        <v>4.91691324E8</v>
      </c>
      <c r="D1934" s="2" t="s">
        <v>8</v>
      </c>
      <c r="E1934" s="1" t="s">
        <v>107</v>
      </c>
      <c r="F1934" s="14">
        <v>0.5574</v>
      </c>
      <c r="G1934" s="15"/>
      <c r="H1934" s="16"/>
      <c r="I1934" s="14"/>
    </row>
    <row r="1935">
      <c r="A1935" s="14">
        <v>461.0</v>
      </c>
      <c r="B1935" s="14">
        <v>4.8094235E7</v>
      </c>
      <c r="C1935" s="14">
        <v>1.89997686E8</v>
      </c>
      <c r="D1935" s="2" t="s">
        <v>3101</v>
      </c>
      <c r="E1935" s="1" t="s">
        <v>699</v>
      </c>
      <c r="F1935" s="14">
        <v>0.5574</v>
      </c>
      <c r="G1935" s="15"/>
      <c r="H1935" s="16"/>
      <c r="I1935" s="14"/>
    </row>
    <row r="1936">
      <c r="A1936" s="14">
        <v>576.0</v>
      </c>
      <c r="B1936" s="14">
        <v>6.6213118E7</v>
      </c>
      <c r="C1936" s="14">
        <v>2.70276934E8</v>
      </c>
      <c r="D1936" s="2" t="s">
        <v>2425</v>
      </c>
      <c r="E1936" s="1" t="s">
        <v>699</v>
      </c>
      <c r="F1936" s="14">
        <v>0.5574</v>
      </c>
      <c r="G1936" s="15"/>
      <c r="H1936" s="16"/>
      <c r="I1936" s="14"/>
    </row>
    <row r="1937">
      <c r="A1937" s="14">
        <v>392.0</v>
      </c>
      <c r="B1937" s="14">
        <v>9.2318194E7</v>
      </c>
      <c r="C1937" s="14">
        <v>3.92258015E8</v>
      </c>
      <c r="D1937" s="2" t="s">
        <v>1014</v>
      </c>
      <c r="E1937" s="1" t="s">
        <v>699</v>
      </c>
      <c r="F1937" s="14">
        <v>0.5574</v>
      </c>
      <c r="G1937" s="15"/>
      <c r="H1937" s="16"/>
      <c r="I1937" s="14"/>
    </row>
    <row r="1938">
      <c r="A1938" s="14">
        <v>380.0</v>
      </c>
      <c r="B1938" s="14">
        <v>1.07730475E8</v>
      </c>
      <c r="C1938" s="14">
        <v>4.65040717E8</v>
      </c>
      <c r="D1938" s="2" t="s">
        <v>225</v>
      </c>
      <c r="E1938" s="1" t="s">
        <v>699</v>
      </c>
      <c r="F1938" s="14">
        <v>0.5574</v>
      </c>
      <c r="G1938" s="15"/>
      <c r="H1938" s="16"/>
      <c r="I1938" s="14"/>
    </row>
    <row r="1939">
      <c r="A1939" s="14">
        <v>481.0</v>
      </c>
      <c r="B1939" s="14">
        <v>4301153.0</v>
      </c>
      <c r="C1939" s="14">
        <v>1.8255078E7</v>
      </c>
      <c r="D1939" s="2" t="s">
        <v>4259</v>
      </c>
      <c r="E1939" s="1" t="s">
        <v>121</v>
      </c>
      <c r="F1939" s="14">
        <v>0.5574</v>
      </c>
      <c r="G1939" s="15"/>
      <c r="H1939" s="16"/>
      <c r="I1939" s="14"/>
    </row>
    <row r="1940">
      <c r="A1940" s="14">
        <v>601.0</v>
      </c>
      <c r="B1940" s="14">
        <v>8340982.0</v>
      </c>
      <c r="C1940" s="14">
        <v>3.5309406E7</v>
      </c>
      <c r="D1940" s="2" t="s">
        <v>4262</v>
      </c>
      <c r="E1940" s="1" t="s">
        <v>121</v>
      </c>
      <c r="F1940" s="14">
        <v>0.5574</v>
      </c>
      <c r="G1940" s="15"/>
      <c r="H1940" s="16"/>
      <c r="I1940" s="14"/>
    </row>
    <row r="1941">
      <c r="A1941" s="14">
        <v>570.0</v>
      </c>
      <c r="B1941" s="14">
        <v>1.0880458E7</v>
      </c>
      <c r="C1941" s="14">
        <v>4.6231055E7</v>
      </c>
      <c r="D1941" s="2" t="s">
        <v>4264</v>
      </c>
      <c r="E1941" s="1" t="s">
        <v>121</v>
      </c>
      <c r="F1941" s="14">
        <v>0.5574</v>
      </c>
      <c r="G1941" s="15"/>
      <c r="H1941" s="16"/>
      <c r="I1941" s="14"/>
    </row>
    <row r="1942">
      <c r="A1942" s="14">
        <v>471.0</v>
      </c>
      <c r="B1942" s="14">
        <v>3.2493941E7</v>
      </c>
      <c r="C1942" s="14">
        <v>1.30546672E8</v>
      </c>
      <c r="D1942" s="2" t="s">
        <v>3525</v>
      </c>
      <c r="E1942" s="1" t="s">
        <v>121</v>
      </c>
      <c r="F1942" s="14">
        <v>0.5574</v>
      </c>
      <c r="G1942" s="15"/>
      <c r="H1942" s="16"/>
      <c r="I1942" s="14"/>
    </row>
    <row r="1943">
      <c r="A1943" s="14">
        <v>664.0</v>
      </c>
      <c r="B1943" s="14">
        <v>3.8807157E7</v>
      </c>
      <c r="C1943" s="14">
        <v>1.53873698E8</v>
      </c>
      <c r="D1943" s="2" t="s">
        <v>3415</v>
      </c>
      <c r="E1943" s="1" t="s">
        <v>121</v>
      </c>
      <c r="F1943" s="14">
        <v>0.5574</v>
      </c>
      <c r="G1943" s="15"/>
      <c r="H1943" s="16"/>
      <c r="I1943" s="14"/>
    </row>
    <row r="1944">
      <c r="A1944" s="14">
        <v>380.0</v>
      </c>
      <c r="B1944" s="14">
        <v>4.2173422E7</v>
      </c>
      <c r="C1944" s="14">
        <v>1.66842787E8</v>
      </c>
      <c r="D1944" s="2" t="s">
        <v>3316</v>
      </c>
      <c r="E1944" s="1" t="s">
        <v>121</v>
      </c>
      <c r="F1944" s="14">
        <v>0.5574</v>
      </c>
      <c r="G1944" s="15"/>
      <c r="H1944" s="16"/>
      <c r="I1944" s="14"/>
    </row>
    <row r="1945">
      <c r="A1945" s="14">
        <v>673.0</v>
      </c>
      <c r="B1945" s="14">
        <v>4.2559343E7</v>
      </c>
      <c r="C1945" s="14">
        <v>1.6877656E8</v>
      </c>
      <c r="D1945" s="2" t="s">
        <v>3310</v>
      </c>
      <c r="E1945" s="1" t="s">
        <v>121</v>
      </c>
      <c r="F1945" s="14">
        <v>0.5574</v>
      </c>
      <c r="G1945" s="15"/>
      <c r="H1945" s="16"/>
      <c r="I1945" s="14"/>
    </row>
    <row r="1946">
      <c r="A1946" s="14">
        <v>664.0</v>
      </c>
      <c r="B1946" s="14">
        <v>9.3659147E7</v>
      </c>
      <c r="C1946" s="14">
        <v>3.97869493E8</v>
      </c>
      <c r="D1946" s="2" t="s">
        <v>956</v>
      </c>
      <c r="E1946" s="1" t="s">
        <v>121</v>
      </c>
      <c r="F1946" s="14">
        <v>0.5574</v>
      </c>
      <c r="G1946" s="15"/>
      <c r="H1946" s="16"/>
      <c r="I1946" s="14"/>
    </row>
    <row r="1947">
      <c r="A1947" s="14">
        <v>173.0</v>
      </c>
      <c r="B1947" s="14">
        <v>9.9953324E7</v>
      </c>
      <c r="C1947" s="14">
        <v>4.27948771E8</v>
      </c>
      <c r="D1947" s="2" t="s">
        <v>594</v>
      </c>
      <c r="E1947" s="1" t="s">
        <v>121</v>
      </c>
      <c r="F1947" s="14">
        <v>0.5574</v>
      </c>
      <c r="G1947" s="15"/>
      <c r="H1947" s="16"/>
      <c r="I1947" s="14"/>
    </row>
    <row r="1948">
      <c r="A1948" s="14">
        <v>194.0</v>
      </c>
      <c r="B1948" s="14">
        <v>6.3002612E7</v>
      </c>
      <c r="C1948" s="14">
        <v>2.54993096E8</v>
      </c>
      <c r="D1948" s="2" t="s">
        <v>2567</v>
      </c>
      <c r="E1948" s="1" t="s">
        <v>107</v>
      </c>
      <c r="F1948" s="14">
        <v>0.5566</v>
      </c>
      <c r="G1948" s="15"/>
      <c r="H1948" s="16"/>
      <c r="I1948" s="14"/>
    </row>
    <row r="1949">
      <c r="A1949" s="14">
        <v>571.0</v>
      </c>
      <c r="B1949" s="14">
        <v>5499732.0</v>
      </c>
      <c r="C1949" s="14">
        <v>2.07212788E8</v>
      </c>
      <c r="D1949" s="2" t="s">
        <v>4273</v>
      </c>
      <c r="E1949" s="1" t="s">
        <v>107</v>
      </c>
      <c r="F1949" s="14">
        <v>0.5563</v>
      </c>
      <c r="G1949" s="15"/>
      <c r="H1949" s="16"/>
      <c r="I1949" s="14"/>
    </row>
    <row r="1950">
      <c r="A1950" s="14">
        <v>212.0</v>
      </c>
      <c r="B1950" s="14">
        <v>1741715.0</v>
      </c>
      <c r="C1950" s="14">
        <v>7591599.0</v>
      </c>
      <c r="D1950" s="2" t="s">
        <v>4275</v>
      </c>
      <c r="E1950" s="1" t="s">
        <v>121</v>
      </c>
      <c r="F1950" s="14">
        <v>0.5563</v>
      </c>
      <c r="G1950" s="15"/>
      <c r="H1950" s="16"/>
      <c r="I1950" s="14"/>
    </row>
    <row r="1951">
      <c r="A1951" s="14">
        <v>173.0</v>
      </c>
      <c r="B1951" s="14">
        <v>6.4366373E7</v>
      </c>
      <c r="C1951" s="14">
        <v>2.61719439E8</v>
      </c>
      <c r="D1951" s="2" t="s">
        <v>2519</v>
      </c>
      <c r="E1951" s="1" t="s">
        <v>107</v>
      </c>
      <c r="F1951" s="14">
        <v>0.5562</v>
      </c>
      <c r="G1951" s="15"/>
      <c r="H1951" s="16"/>
      <c r="I1951" s="14"/>
    </row>
    <row r="1952">
      <c r="A1952" s="14">
        <v>471.0</v>
      </c>
      <c r="B1952" s="14">
        <v>1.12338961E8</v>
      </c>
      <c r="C1952" s="14">
        <v>4.87815647E8</v>
      </c>
      <c r="D1952" s="2" t="s">
        <v>30</v>
      </c>
      <c r="E1952" s="1" t="s">
        <v>107</v>
      </c>
      <c r="F1952" s="14">
        <v>0.5562</v>
      </c>
      <c r="G1952" s="15"/>
      <c r="H1952" s="16"/>
      <c r="I1952" s="14"/>
    </row>
    <row r="1953">
      <c r="A1953" s="14">
        <v>378.0</v>
      </c>
      <c r="B1953" s="14">
        <v>1.6553008E7</v>
      </c>
      <c r="C1953" s="14">
        <v>7.0236572E7</v>
      </c>
      <c r="D1953" s="2" t="s">
        <v>3997</v>
      </c>
      <c r="E1953" s="1" t="s">
        <v>699</v>
      </c>
      <c r="F1953" s="14">
        <v>0.5562</v>
      </c>
      <c r="G1953" s="15"/>
      <c r="H1953" s="16"/>
      <c r="I1953" s="14"/>
    </row>
    <row r="1954">
      <c r="A1954" s="14">
        <v>578.0</v>
      </c>
      <c r="B1954" s="14">
        <v>7.9694524E7</v>
      </c>
      <c r="C1954" s="14">
        <v>3.3266381E8</v>
      </c>
      <c r="D1954" s="2" t="s">
        <v>1755</v>
      </c>
      <c r="E1954" s="1" t="s">
        <v>699</v>
      </c>
      <c r="F1954" s="14">
        <v>0.5562</v>
      </c>
      <c r="G1954" s="15"/>
      <c r="H1954" s="16"/>
      <c r="I1954" s="14"/>
    </row>
    <row r="1955">
      <c r="A1955" s="14">
        <v>410.0</v>
      </c>
      <c r="B1955" s="14">
        <v>2.758148E7</v>
      </c>
      <c r="C1955" s="14">
        <v>1.11329306E8</v>
      </c>
      <c r="D1955" s="2" t="s">
        <v>3657</v>
      </c>
      <c r="E1955" s="1" t="s">
        <v>121</v>
      </c>
      <c r="F1955" s="14">
        <v>0.5543</v>
      </c>
      <c r="G1955" s="15"/>
      <c r="H1955" s="16"/>
      <c r="I1955" s="14"/>
    </row>
    <row r="1956">
      <c r="A1956" s="14">
        <v>602.0</v>
      </c>
      <c r="B1956" s="14">
        <v>1.03320085E8</v>
      </c>
      <c r="C1956" s="14">
        <v>4.44390066E8</v>
      </c>
      <c r="D1956" s="2" t="s">
        <v>410</v>
      </c>
      <c r="E1956" s="1" t="s">
        <v>699</v>
      </c>
      <c r="F1956" s="14">
        <v>0.5542</v>
      </c>
      <c r="G1956" s="15"/>
      <c r="H1956" s="16"/>
      <c r="I1956" s="14"/>
    </row>
    <row r="1957">
      <c r="A1957" s="14">
        <v>173.0</v>
      </c>
      <c r="B1957" s="14">
        <v>6.4923629E7</v>
      </c>
      <c r="C1957" s="14">
        <v>2.64197692E8</v>
      </c>
      <c r="D1957" s="2" t="s">
        <v>2491</v>
      </c>
      <c r="E1957" s="1" t="s">
        <v>107</v>
      </c>
      <c r="F1957" s="14">
        <v>0.5535</v>
      </c>
      <c r="G1957" s="15"/>
      <c r="H1957" s="16"/>
      <c r="I1957" s="14"/>
    </row>
    <row r="1958">
      <c r="A1958" s="14">
        <v>664.0</v>
      </c>
      <c r="B1958" s="14">
        <v>8720290.0</v>
      </c>
      <c r="C1958" s="14">
        <v>3.7068865E7</v>
      </c>
      <c r="D1958" s="2" t="s">
        <v>4285</v>
      </c>
      <c r="E1958" s="1" t="s">
        <v>121</v>
      </c>
      <c r="F1958" s="14">
        <v>0.552</v>
      </c>
      <c r="G1958" s="15"/>
      <c r="H1958" s="16"/>
      <c r="I1958" s="14"/>
    </row>
    <row r="1959">
      <c r="A1959" s="14">
        <v>173.0</v>
      </c>
      <c r="B1959" s="14">
        <v>6.3001627E7</v>
      </c>
      <c r="C1959" s="14">
        <v>2.55031154E8</v>
      </c>
      <c r="D1959" s="2" t="s">
        <v>2569</v>
      </c>
      <c r="E1959" s="1" t="s">
        <v>699</v>
      </c>
      <c r="F1959" s="14">
        <v>0.5502</v>
      </c>
      <c r="G1959" s="15"/>
      <c r="H1959" s="16"/>
      <c r="I1959" s="14"/>
    </row>
    <row r="1960">
      <c r="A1960" s="14">
        <v>172.0</v>
      </c>
      <c r="B1960" s="14">
        <v>524653.0</v>
      </c>
      <c r="C1960" s="14">
        <v>2508064.0</v>
      </c>
      <c r="D1960" s="2" t="s">
        <v>4289</v>
      </c>
      <c r="E1960" s="1" t="s">
        <v>121</v>
      </c>
      <c r="F1960" s="14">
        <v>0.5499</v>
      </c>
      <c r="G1960" s="15"/>
      <c r="H1960" s="16"/>
      <c r="I1960" s="14"/>
    </row>
    <row r="1961">
      <c r="A1961" s="14">
        <v>600.0</v>
      </c>
      <c r="B1961" s="14">
        <v>4423634.0</v>
      </c>
      <c r="C1961" s="14">
        <v>1.8773978E7</v>
      </c>
      <c r="D1961" s="2" t="s">
        <v>4290</v>
      </c>
      <c r="E1961" s="1" t="s">
        <v>121</v>
      </c>
      <c r="F1961" s="14">
        <v>0.5499</v>
      </c>
      <c r="G1961" s="15"/>
      <c r="H1961" s="16"/>
      <c r="I1961" s="14"/>
    </row>
    <row r="1962">
      <c r="A1962" s="14">
        <v>492.0</v>
      </c>
      <c r="B1962" s="14">
        <v>6.1401905E7</v>
      </c>
      <c r="C1962" s="14">
        <v>2.48355594E8</v>
      </c>
      <c r="D1962" s="2" t="s">
        <v>2635</v>
      </c>
      <c r="E1962" s="1" t="s">
        <v>699</v>
      </c>
      <c r="F1962" s="14">
        <v>0.5487</v>
      </c>
      <c r="G1962" s="15"/>
      <c r="H1962" s="16"/>
      <c r="I1962" s="14"/>
    </row>
    <row r="1963">
      <c r="A1963" s="14">
        <v>504.0</v>
      </c>
      <c r="B1963" s="14">
        <v>7.8272164E7</v>
      </c>
      <c r="C1963" s="14">
        <v>3.2598008E8</v>
      </c>
      <c r="D1963" s="2" t="s">
        <v>1834</v>
      </c>
      <c r="E1963" s="1" t="s">
        <v>121</v>
      </c>
      <c r="F1963" s="14">
        <v>0.5473</v>
      </c>
      <c r="G1963" s="15"/>
      <c r="H1963" s="16"/>
      <c r="I1963" s="14"/>
    </row>
    <row r="1964">
      <c r="A1964" s="14">
        <v>716.0</v>
      </c>
      <c r="B1964" s="14">
        <v>1.3369762E7</v>
      </c>
      <c r="C1964" s="14">
        <v>5.6789168E7</v>
      </c>
      <c r="D1964" s="2" t="s">
        <v>4192</v>
      </c>
      <c r="E1964" s="1" t="s">
        <v>121</v>
      </c>
      <c r="F1964" s="14">
        <v>0.5434</v>
      </c>
      <c r="G1964" s="15"/>
      <c r="H1964" s="16"/>
      <c r="I1964" s="14"/>
    </row>
    <row r="1965">
      <c r="A1965" s="14">
        <v>609.0</v>
      </c>
      <c r="B1965" s="14">
        <v>5256625.0</v>
      </c>
      <c r="C1965" s="14">
        <v>2.2423699E7</v>
      </c>
      <c r="D1965" s="2" t="s">
        <v>4295</v>
      </c>
      <c r="E1965" s="1" t="s">
        <v>107</v>
      </c>
      <c r="F1965" s="14">
        <v>0.5423</v>
      </c>
      <c r="G1965" s="15"/>
      <c r="H1965" s="16"/>
      <c r="I1965" s="14"/>
    </row>
    <row r="1966">
      <c r="A1966" s="14">
        <v>403.0</v>
      </c>
      <c r="B1966" s="14">
        <v>1.5334377E7</v>
      </c>
      <c r="C1966" s="14">
        <v>6.5108663E7</v>
      </c>
      <c r="D1966" s="2" t="s">
        <v>4074</v>
      </c>
      <c r="E1966" s="1" t="s">
        <v>107</v>
      </c>
      <c r="F1966" s="14">
        <v>0.5423</v>
      </c>
      <c r="G1966" s="15"/>
      <c r="H1966" s="16"/>
      <c r="I1966" s="14"/>
    </row>
    <row r="1967">
      <c r="A1967" s="14">
        <v>602.0</v>
      </c>
      <c r="B1967" s="14">
        <v>6.0743921E7</v>
      </c>
      <c r="C1967" s="14">
        <v>2.44047907E8</v>
      </c>
      <c r="D1967" s="2" t="s">
        <v>2662</v>
      </c>
      <c r="E1967" s="1" t="s">
        <v>699</v>
      </c>
      <c r="F1967" s="14">
        <v>0.5423</v>
      </c>
      <c r="G1967" s="15"/>
      <c r="H1967" s="16"/>
      <c r="I1967" s="14"/>
    </row>
    <row r="1968">
      <c r="A1968" s="14">
        <v>380.0</v>
      </c>
      <c r="B1968" s="14">
        <v>1.091516E8</v>
      </c>
      <c r="C1968" s="14">
        <v>4.72453688E8</v>
      </c>
      <c r="D1968" s="2" t="s">
        <v>133</v>
      </c>
      <c r="E1968" s="1" t="s">
        <v>699</v>
      </c>
      <c r="F1968" s="14">
        <v>0.5423</v>
      </c>
      <c r="G1968" s="15"/>
      <c r="H1968" s="16"/>
      <c r="I1968" s="14"/>
    </row>
    <row r="1969">
      <c r="A1969" s="14">
        <v>716.0</v>
      </c>
      <c r="B1969" s="14">
        <v>6959735.0</v>
      </c>
      <c r="C1969" s="14">
        <v>2.9629272E7</v>
      </c>
      <c r="D1969" s="2" t="s">
        <v>4299</v>
      </c>
      <c r="E1969" s="1" t="s">
        <v>121</v>
      </c>
      <c r="F1969" s="14">
        <v>0.5423</v>
      </c>
      <c r="G1969" s="15"/>
      <c r="H1969" s="16"/>
      <c r="I1969" s="14"/>
    </row>
    <row r="1970">
      <c r="A1970" s="14">
        <v>256.0</v>
      </c>
      <c r="B1970" s="14">
        <v>2.4040086E7</v>
      </c>
      <c r="C1970" s="14">
        <v>9.8823782E7</v>
      </c>
      <c r="D1970" s="2" t="s">
        <v>3749</v>
      </c>
      <c r="E1970" s="1" t="s">
        <v>121</v>
      </c>
      <c r="F1970" s="14">
        <v>0.5423</v>
      </c>
      <c r="G1970" s="15"/>
      <c r="H1970" s="16"/>
      <c r="I1970" s="14"/>
    </row>
    <row r="1971">
      <c r="A1971" s="14">
        <v>379.0</v>
      </c>
      <c r="B1971" s="14">
        <v>3.2186982E7</v>
      </c>
      <c r="C1971" s="14">
        <v>1.28975245E8</v>
      </c>
      <c r="D1971" s="2" t="s">
        <v>3535</v>
      </c>
      <c r="E1971" s="1" t="s">
        <v>107</v>
      </c>
      <c r="F1971" s="14">
        <v>0.5413</v>
      </c>
      <c r="G1971" s="15"/>
      <c r="H1971" s="16"/>
      <c r="I1971" s="14"/>
    </row>
    <row r="1972">
      <c r="A1972" s="14">
        <v>587.0</v>
      </c>
      <c r="B1972" s="14">
        <v>5.6925105E7</v>
      </c>
      <c r="C1972" s="14">
        <v>2.26483322E8</v>
      </c>
      <c r="D1972" s="2" t="s">
        <v>2787</v>
      </c>
      <c r="E1972" s="1" t="s">
        <v>121</v>
      </c>
      <c r="F1972" s="14">
        <v>0.5413</v>
      </c>
      <c r="G1972" s="15"/>
      <c r="H1972" s="16"/>
      <c r="I1972" s="14"/>
    </row>
    <row r="1973">
      <c r="A1973" s="14">
        <v>694.0</v>
      </c>
      <c r="B1973" s="14">
        <v>2.0000847E7</v>
      </c>
      <c r="C1973" s="14">
        <v>8.3414986E7</v>
      </c>
      <c r="D1973" s="2" t="s">
        <v>3880</v>
      </c>
      <c r="E1973" s="1" t="s">
        <v>107</v>
      </c>
      <c r="F1973" s="14">
        <v>0.5411</v>
      </c>
      <c r="G1973" s="15"/>
      <c r="H1973" s="16"/>
      <c r="I1973" s="14"/>
    </row>
    <row r="1974">
      <c r="A1974" s="14">
        <v>504.0</v>
      </c>
      <c r="B1974" s="14">
        <v>6.0918825E7</v>
      </c>
      <c r="C1974" s="14">
        <v>2.44852183E8</v>
      </c>
      <c r="D1974" s="2" t="s">
        <v>2649</v>
      </c>
      <c r="E1974" s="1" t="s">
        <v>699</v>
      </c>
      <c r="F1974" s="14">
        <v>0.5411</v>
      </c>
      <c r="G1974" s="15"/>
      <c r="H1974" s="16"/>
      <c r="I1974" s="14"/>
    </row>
    <row r="1975">
      <c r="A1975" s="14">
        <v>671.0</v>
      </c>
      <c r="B1975" s="14">
        <v>8.2396564E7</v>
      </c>
      <c r="C1975" s="14">
        <v>3.45401261E8</v>
      </c>
      <c r="D1975" s="2" t="s">
        <v>1606</v>
      </c>
      <c r="E1975" s="1" t="s">
        <v>699</v>
      </c>
      <c r="F1975" s="14">
        <v>0.5411</v>
      </c>
      <c r="G1975" s="15"/>
      <c r="H1975" s="16"/>
      <c r="I1975" s="14"/>
    </row>
    <row r="1976">
      <c r="A1976" s="14">
        <v>93.0</v>
      </c>
      <c r="B1976" s="14">
        <v>31484.0</v>
      </c>
      <c r="C1976" s="14">
        <v>99259.0</v>
      </c>
      <c r="D1976" s="2" t="s">
        <v>4309</v>
      </c>
      <c r="E1976" s="1" t="s">
        <v>121</v>
      </c>
      <c r="F1976" s="14">
        <v>0.5411</v>
      </c>
      <c r="G1976" s="15"/>
      <c r="H1976" s="16"/>
      <c r="I1976" s="14"/>
    </row>
    <row r="1977">
      <c r="A1977" s="14">
        <v>569.0</v>
      </c>
      <c r="B1977" s="14">
        <v>8.4027624E7</v>
      </c>
      <c r="C1977" s="14">
        <v>3.53103697E8</v>
      </c>
      <c r="D1977" s="2" t="s">
        <v>1510</v>
      </c>
      <c r="E1977" s="1" t="s">
        <v>121</v>
      </c>
      <c r="F1977" s="14">
        <v>0.5411</v>
      </c>
      <c r="G1977" s="15"/>
      <c r="H1977" s="16"/>
      <c r="I1977" s="14"/>
    </row>
    <row r="1978">
      <c r="A1978" s="14">
        <v>531.0</v>
      </c>
      <c r="B1978" s="14">
        <v>5275810.0</v>
      </c>
      <c r="C1978" s="14">
        <v>2.2513063E7</v>
      </c>
      <c r="D1978" s="2" t="s">
        <v>4312</v>
      </c>
      <c r="E1978" s="1" t="s">
        <v>107</v>
      </c>
      <c r="F1978" s="14">
        <v>0.5399</v>
      </c>
      <c r="G1978" s="15"/>
      <c r="H1978" s="16"/>
      <c r="I1978" s="14"/>
    </row>
    <row r="1979">
      <c r="A1979" s="14">
        <v>379.0</v>
      </c>
      <c r="B1979" s="14">
        <v>7185730.0</v>
      </c>
      <c r="C1979" s="14">
        <v>3.26458819E8</v>
      </c>
      <c r="D1979" s="2" t="s">
        <v>4314</v>
      </c>
      <c r="E1979" s="1" t="s">
        <v>107</v>
      </c>
      <c r="F1979" s="14">
        <v>0.5399</v>
      </c>
      <c r="G1979" s="15"/>
      <c r="H1979" s="16"/>
      <c r="I1979" s="14"/>
    </row>
    <row r="1980">
      <c r="A1980" s="14">
        <v>587.0</v>
      </c>
      <c r="B1980" s="14">
        <v>1.1100473E7</v>
      </c>
      <c r="C1980" s="14">
        <v>4.7199208E7</v>
      </c>
      <c r="D1980" s="2" t="s">
        <v>4310</v>
      </c>
      <c r="E1980" s="1" t="s">
        <v>107</v>
      </c>
      <c r="F1980" s="14">
        <v>0.5399</v>
      </c>
      <c r="G1980" s="15"/>
      <c r="H1980" s="16"/>
      <c r="I1980" s="14"/>
    </row>
    <row r="1981">
      <c r="A1981" s="14">
        <v>630.0</v>
      </c>
      <c r="B1981" s="14">
        <v>9.8703252E7</v>
      </c>
      <c r="C1981" s="14">
        <v>4.22916331E8</v>
      </c>
      <c r="D1981" s="2" t="s">
        <v>668</v>
      </c>
      <c r="E1981" s="1" t="s">
        <v>107</v>
      </c>
      <c r="F1981" s="14">
        <v>0.5399</v>
      </c>
      <c r="G1981" s="15"/>
      <c r="H1981" s="16"/>
      <c r="I1981" s="14"/>
    </row>
    <row r="1982">
      <c r="A1982" s="14">
        <v>678.0</v>
      </c>
      <c r="B1982" s="14">
        <v>4504053.0</v>
      </c>
      <c r="C1982" s="14">
        <v>1.9091966E7</v>
      </c>
      <c r="D1982" s="2" t="s">
        <v>4318</v>
      </c>
      <c r="E1982" s="1" t="s">
        <v>699</v>
      </c>
      <c r="F1982" s="14">
        <v>0.5399</v>
      </c>
      <c r="G1982" s="15"/>
      <c r="H1982" s="16"/>
      <c r="I1982" s="14"/>
    </row>
    <row r="1983">
      <c r="A1983" s="14">
        <v>285.0</v>
      </c>
      <c r="B1983" s="14">
        <v>5076920.0</v>
      </c>
      <c r="C1983" s="14">
        <v>2.1576075E7</v>
      </c>
      <c r="D1983" s="2" t="s">
        <v>4320</v>
      </c>
      <c r="E1983" s="1" t="s">
        <v>699</v>
      </c>
      <c r="F1983" s="14">
        <v>0.5399</v>
      </c>
      <c r="G1983" s="15"/>
      <c r="H1983" s="16"/>
      <c r="I1983" s="14"/>
    </row>
    <row r="1984">
      <c r="A1984" s="14">
        <v>414.0</v>
      </c>
      <c r="B1984" s="14">
        <v>2.6772391E7</v>
      </c>
      <c r="C1984" s="14">
        <v>1.08274387E8</v>
      </c>
      <c r="D1984" s="2" t="s">
        <v>3682</v>
      </c>
      <c r="E1984" s="1" t="s">
        <v>699</v>
      </c>
      <c r="F1984" s="14">
        <v>0.5399</v>
      </c>
      <c r="G1984" s="15"/>
      <c r="H1984" s="16"/>
      <c r="I1984" s="14"/>
    </row>
    <row r="1985">
      <c r="A1985" s="14">
        <v>587.0</v>
      </c>
      <c r="B1985" s="14">
        <v>9.3757502E7</v>
      </c>
      <c r="C1985" s="14">
        <v>3.98374833E8</v>
      </c>
      <c r="D1985" s="2" t="s">
        <v>942</v>
      </c>
      <c r="E1985" s="1" t="s">
        <v>699</v>
      </c>
      <c r="F1985" s="14">
        <v>0.5399</v>
      </c>
      <c r="G1985" s="15"/>
      <c r="H1985" s="16"/>
      <c r="I1985" s="14"/>
    </row>
    <row r="1986">
      <c r="A1986" s="14">
        <v>665.0</v>
      </c>
      <c r="B1986" s="14">
        <v>9.7959473E7</v>
      </c>
      <c r="C1986" s="14">
        <v>4.18449911E8</v>
      </c>
      <c r="D1986" s="2" t="s">
        <v>713</v>
      </c>
      <c r="E1986" s="1" t="s">
        <v>699</v>
      </c>
      <c r="F1986" s="14">
        <v>0.5399</v>
      </c>
      <c r="G1986" s="15"/>
      <c r="H1986" s="16"/>
      <c r="I1986" s="14"/>
    </row>
    <row r="1987">
      <c r="A1987" s="14">
        <v>667.0</v>
      </c>
      <c r="B1987" s="14">
        <v>3721293.0</v>
      </c>
      <c r="C1987" s="14">
        <v>1.5757305E7</v>
      </c>
      <c r="D1987" s="2" t="s">
        <v>4324</v>
      </c>
      <c r="E1987" s="1" t="s">
        <v>121</v>
      </c>
      <c r="F1987" s="14">
        <v>0.5399</v>
      </c>
      <c r="G1987" s="15"/>
      <c r="H1987" s="16"/>
      <c r="I1987" s="14"/>
    </row>
    <row r="1988">
      <c r="A1988" s="14">
        <v>492.0</v>
      </c>
      <c r="B1988" s="14">
        <v>9.4351494E7</v>
      </c>
      <c r="C1988" s="14">
        <v>4.01047671E8</v>
      </c>
      <c r="D1988" s="2" t="s">
        <v>917</v>
      </c>
      <c r="E1988" s="1" t="s">
        <v>121</v>
      </c>
      <c r="F1988" s="14">
        <v>0.5399</v>
      </c>
      <c r="G1988" s="15"/>
      <c r="H1988" s="16"/>
      <c r="I1988" s="14"/>
    </row>
    <row r="1989">
      <c r="A1989" s="14">
        <v>210.0</v>
      </c>
      <c r="B1989" s="14">
        <v>1440849.0</v>
      </c>
      <c r="C1989" s="14">
        <v>6369252.0</v>
      </c>
      <c r="D1989" s="2" t="s">
        <v>4326</v>
      </c>
      <c r="E1989" s="1" t="s">
        <v>699</v>
      </c>
      <c r="F1989" s="14">
        <v>0.539</v>
      </c>
      <c r="G1989" s="15"/>
      <c r="H1989" s="16"/>
      <c r="I1989" s="14"/>
    </row>
    <row r="1990">
      <c r="A1990" s="14">
        <v>497.0</v>
      </c>
      <c r="B1990" s="14">
        <v>3.2051844E7</v>
      </c>
      <c r="C1990" s="14">
        <v>1.28355459E8</v>
      </c>
      <c r="D1990" s="2" t="s">
        <v>3539</v>
      </c>
      <c r="E1990" s="1" t="s">
        <v>699</v>
      </c>
      <c r="F1990" s="14">
        <v>0.5386</v>
      </c>
      <c r="G1990" s="15"/>
      <c r="H1990" s="16"/>
      <c r="I1990" s="14"/>
    </row>
    <row r="1991">
      <c r="A1991" s="14">
        <v>564.0</v>
      </c>
      <c r="B1991" s="14">
        <v>4.703157E7</v>
      </c>
      <c r="C1991" s="14">
        <v>1.85761626E8</v>
      </c>
      <c r="D1991" s="2" t="s">
        <v>3156</v>
      </c>
      <c r="E1991" s="1" t="s">
        <v>121</v>
      </c>
      <c r="F1991" s="14">
        <v>0.5379</v>
      </c>
      <c r="G1991" s="15"/>
      <c r="H1991" s="16"/>
      <c r="I1991" s="14"/>
    </row>
    <row r="1992">
      <c r="A1992" s="14">
        <v>602.0</v>
      </c>
      <c r="B1992" s="14">
        <v>5.8991836E7</v>
      </c>
      <c r="C1992" s="14">
        <v>2.35834914E8</v>
      </c>
      <c r="D1992" s="2" t="s">
        <v>2725</v>
      </c>
      <c r="E1992" s="1" t="s">
        <v>107</v>
      </c>
      <c r="F1992" s="14">
        <v>0.5378</v>
      </c>
      <c r="G1992" s="15"/>
      <c r="H1992" s="16"/>
      <c r="I1992" s="14"/>
    </row>
    <row r="1993">
      <c r="A1993" s="14">
        <v>669.0</v>
      </c>
      <c r="B1993" s="14">
        <v>1.7530315E7</v>
      </c>
      <c r="C1993" s="14">
        <v>1.06564759E8</v>
      </c>
      <c r="D1993" s="2" t="s">
        <v>3957</v>
      </c>
      <c r="E1993" s="1" t="s">
        <v>121</v>
      </c>
      <c r="F1993" s="14">
        <v>0.5378</v>
      </c>
      <c r="G1993" s="15"/>
      <c r="H1993" s="16"/>
      <c r="I1993" s="14"/>
    </row>
    <row r="1994">
      <c r="A1994" s="14">
        <v>565.0</v>
      </c>
      <c r="B1994" s="14">
        <v>8.8069249E7</v>
      </c>
      <c r="C1994" s="14">
        <v>3.72394295E8</v>
      </c>
      <c r="D1994" s="2" t="s">
        <v>1236</v>
      </c>
      <c r="E1994" s="1" t="s">
        <v>107</v>
      </c>
      <c r="F1994" s="14">
        <v>0.5367</v>
      </c>
      <c r="G1994" s="15"/>
      <c r="H1994" s="16"/>
      <c r="I1994" s="14"/>
    </row>
    <row r="1995">
      <c r="A1995" s="14">
        <v>421.0</v>
      </c>
      <c r="B1995" s="14">
        <v>7.2445799E7</v>
      </c>
      <c r="C1995" s="14">
        <v>2.99980325E8</v>
      </c>
      <c r="D1995" s="2" t="s">
        <v>2115</v>
      </c>
      <c r="E1995" s="1" t="s">
        <v>121</v>
      </c>
      <c r="F1995" s="14">
        <v>0.5346</v>
      </c>
      <c r="G1995" s="15"/>
      <c r="H1995" s="16"/>
      <c r="I1995" s="14"/>
    </row>
    <row r="1996">
      <c r="A1996" s="14">
        <v>601.0</v>
      </c>
      <c r="B1996" s="14">
        <v>1.5728829E7</v>
      </c>
      <c r="C1996" s="14">
        <v>6.7150114E7</v>
      </c>
      <c r="D1996" s="2" t="s">
        <v>4052</v>
      </c>
      <c r="E1996" s="1" t="s">
        <v>121</v>
      </c>
      <c r="F1996" s="14">
        <v>0.5345</v>
      </c>
      <c r="G1996" s="15"/>
      <c r="H1996" s="16"/>
      <c r="I1996" s="14"/>
    </row>
    <row r="1997">
      <c r="A1997" s="14">
        <v>414.0</v>
      </c>
      <c r="B1997" s="14">
        <v>8.3424596E7</v>
      </c>
      <c r="C1997" s="14">
        <v>3.50357696E8</v>
      </c>
      <c r="D1997" s="2" t="s">
        <v>1556</v>
      </c>
      <c r="E1997" s="1" t="s">
        <v>699</v>
      </c>
      <c r="F1997" s="14">
        <v>0.5337</v>
      </c>
      <c r="G1997" s="15"/>
      <c r="H1997" s="16"/>
      <c r="I1997" s="14"/>
    </row>
    <row r="1998">
      <c r="A1998" s="14">
        <v>609.0</v>
      </c>
      <c r="B1998" s="14">
        <v>7553938.0</v>
      </c>
      <c r="C1998" s="14">
        <v>3.2088766E7</v>
      </c>
      <c r="D1998" s="2" t="s">
        <v>4337</v>
      </c>
      <c r="E1998" s="1" t="s">
        <v>121</v>
      </c>
      <c r="F1998" s="14">
        <v>0.5328</v>
      </c>
      <c r="G1998" s="15"/>
      <c r="H1998" s="16"/>
      <c r="I1998" s="14"/>
    </row>
    <row r="1999">
      <c r="A1999" s="14">
        <v>602.0</v>
      </c>
      <c r="B1999" s="14">
        <v>5.8436042E7</v>
      </c>
      <c r="C1999" s="14">
        <v>2.33075855E8</v>
      </c>
      <c r="D1999" s="2" t="s">
        <v>2742</v>
      </c>
      <c r="E1999" s="1" t="s">
        <v>699</v>
      </c>
      <c r="F1999" s="14">
        <v>0.5319</v>
      </c>
      <c r="G1999" s="15"/>
      <c r="H1999" s="16"/>
      <c r="I1999" s="14"/>
    </row>
    <row r="2000">
      <c r="A2000" s="14">
        <v>319.0</v>
      </c>
      <c r="B2000" s="14">
        <v>1.02967423E8</v>
      </c>
      <c r="C2000" s="14">
        <v>4.43010496E8</v>
      </c>
      <c r="D2000" s="2" t="s">
        <v>423</v>
      </c>
      <c r="E2000" s="1" t="s">
        <v>121</v>
      </c>
      <c r="F2000" s="14">
        <v>0.5315</v>
      </c>
      <c r="G2000" s="15"/>
      <c r="H2000" s="16"/>
      <c r="I2000" s="14"/>
    </row>
    <row r="2001">
      <c r="A2001" s="14">
        <v>173.0</v>
      </c>
      <c r="B2001" s="14">
        <v>1.05593132E8</v>
      </c>
      <c r="C2001" s="14">
        <v>4.5518142E8</v>
      </c>
      <c r="D2001" s="2" t="s">
        <v>326</v>
      </c>
      <c r="E2001" s="1" t="s">
        <v>107</v>
      </c>
      <c r="F2001" s="14">
        <v>0.5308</v>
      </c>
      <c r="G2001" s="15"/>
      <c r="H2001" s="16"/>
      <c r="I2001" s="14"/>
    </row>
    <row r="2002">
      <c r="A2002" s="14">
        <v>531.0</v>
      </c>
      <c r="B2002" s="14">
        <v>1.0086424E7</v>
      </c>
      <c r="C2002" s="14">
        <v>4.7191166E7</v>
      </c>
      <c r="D2002" s="2" t="s">
        <v>4341</v>
      </c>
      <c r="E2002" s="1" t="s">
        <v>107</v>
      </c>
      <c r="F2002" s="14">
        <v>0.5267</v>
      </c>
      <c r="G2002" s="15"/>
      <c r="H2002" s="16"/>
      <c r="I2002" s="14"/>
    </row>
    <row r="2003">
      <c r="A2003" s="14">
        <v>173.0</v>
      </c>
      <c r="B2003" s="14">
        <v>6.2623822E7</v>
      </c>
      <c r="C2003" s="14">
        <v>2.53226647E8</v>
      </c>
      <c r="D2003" s="2" t="s">
        <v>2585</v>
      </c>
      <c r="E2003" s="1" t="s">
        <v>107</v>
      </c>
      <c r="F2003" s="14">
        <v>0.5267</v>
      </c>
      <c r="G2003" s="15"/>
      <c r="H2003" s="16"/>
      <c r="I2003" s="14"/>
    </row>
    <row r="2004">
      <c r="A2004" s="14">
        <v>610.0</v>
      </c>
      <c r="B2004" s="14">
        <v>7.5960353E7</v>
      </c>
      <c r="C2004" s="14">
        <v>3.15212573E8</v>
      </c>
      <c r="D2004" s="2" t="s">
        <v>1974</v>
      </c>
      <c r="E2004" s="1" t="s">
        <v>107</v>
      </c>
      <c r="F2004" s="14">
        <v>0.5267</v>
      </c>
      <c r="G2004" s="15"/>
      <c r="H2004" s="16"/>
      <c r="I2004" s="14"/>
    </row>
    <row r="2005">
      <c r="A2005" s="14">
        <v>610.0</v>
      </c>
      <c r="B2005" s="14">
        <v>8.0805837E7</v>
      </c>
      <c r="C2005" s="14">
        <v>3.38957624E8</v>
      </c>
      <c r="D2005" s="2" t="s">
        <v>1703</v>
      </c>
      <c r="E2005" s="1" t="s">
        <v>107</v>
      </c>
      <c r="F2005" s="14">
        <v>0.5267</v>
      </c>
      <c r="G2005" s="15"/>
      <c r="H2005" s="16"/>
      <c r="I2005" s="14"/>
    </row>
    <row r="2006">
      <c r="A2006" s="14">
        <v>571.0</v>
      </c>
      <c r="B2006" s="14">
        <v>9.7913306E7</v>
      </c>
      <c r="C2006" s="14">
        <v>4.19058064E8</v>
      </c>
      <c r="D2006" s="2" t="s">
        <v>716</v>
      </c>
      <c r="E2006" s="1" t="s">
        <v>107</v>
      </c>
      <c r="F2006" s="14">
        <v>0.5267</v>
      </c>
      <c r="G2006" s="15"/>
      <c r="H2006" s="16"/>
      <c r="I2006" s="14"/>
    </row>
    <row r="2007">
      <c r="A2007" s="14">
        <v>470.0</v>
      </c>
      <c r="B2007" s="14">
        <v>4482182.0</v>
      </c>
      <c r="C2007" s="14">
        <v>1.9023716E7</v>
      </c>
      <c r="D2007" s="2" t="s">
        <v>4346</v>
      </c>
      <c r="E2007" s="1" t="s">
        <v>699</v>
      </c>
      <c r="F2007" s="14">
        <v>0.5267</v>
      </c>
      <c r="G2007" s="15"/>
      <c r="H2007" s="16"/>
      <c r="I2007" s="14"/>
    </row>
    <row r="2008">
      <c r="A2008" s="14">
        <v>194.0</v>
      </c>
      <c r="B2008" s="14">
        <v>2.8062335E7</v>
      </c>
      <c r="C2008" s="14">
        <v>1.13221427E8</v>
      </c>
      <c r="D2008" s="2" t="s">
        <v>3644</v>
      </c>
      <c r="E2008" s="1" t="s">
        <v>699</v>
      </c>
      <c r="F2008" s="14">
        <v>0.5267</v>
      </c>
      <c r="G2008" s="15"/>
      <c r="H2008" s="16"/>
      <c r="I2008" s="14"/>
    </row>
    <row r="2009">
      <c r="A2009" s="14">
        <v>656.0</v>
      </c>
      <c r="B2009" s="14">
        <v>1.08900605E8</v>
      </c>
      <c r="C2009" s="14">
        <v>4.7204967E8</v>
      </c>
      <c r="D2009" s="2" t="s">
        <v>164</v>
      </c>
      <c r="E2009" s="1" t="s">
        <v>699</v>
      </c>
      <c r="F2009" s="14">
        <v>0.5267</v>
      </c>
      <c r="G2009" s="15"/>
      <c r="H2009" s="16"/>
      <c r="I2009" s="14"/>
    </row>
    <row r="2010">
      <c r="A2010" s="14">
        <v>601.0</v>
      </c>
      <c r="B2010" s="14">
        <v>2922449.0</v>
      </c>
      <c r="C2010" s="14">
        <v>1.2398257E7</v>
      </c>
      <c r="D2010" s="2" t="s">
        <v>4351</v>
      </c>
      <c r="E2010" s="1" t="s">
        <v>121</v>
      </c>
      <c r="F2010" s="14">
        <v>0.5267</v>
      </c>
      <c r="G2010" s="15"/>
      <c r="H2010" s="16"/>
      <c r="I2010" s="14"/>
    </row>
    <row r="2011">
      <c r="A2011" s="14">
        <v>676.0</v>
      </c>
      <c r="B2011" s="14">
        <v>9711745.0</v>
      </c>
      <c r="C2011" s="14">
        <v>4.1218063E7</v>
      </c>
      <c r="D2011" s="2" t="s">
        <v>4353</v>
      </c>
      <c r="E2011" s="1" t="s">
        <v>121</v>
      </c>
      <c r="F2011" s="14">
        <v>0.5267</v>
      </c>
      <c r="G2011" s="15"/>
      <c r="H2011" s="16"/>
      <c r="I2011" s="14"/>
    </row>
    <row r="2012">
      <c r="A2012" s="14">
        <v>716.0</v>
      </c>
      <c r="B2012" s="14">
        <v>9948308.0</v>
      </c>
      <c r="C2012" s="14">
        <v>4.2204138E7</v>
      </c>
      <c r="D2012" s="2" t="s">
        <v>4355</v>
      </c>
      <c r="E2012" s="1" t="s">
        <v>121</v>
      </c>
      <c r="F2012" s="14">
        <v>0.5267</v>
      </c>
      <c r="G2012" s="15"/>
      <c r="H2012" s="16"/>
      <c r="I2012" s="14"/>
    </row>
    <row r="2013">
      <c r="A2013" s="14">
        <v>380.0</v>
      </c>
      <c r="B2013" s="14">
        <v>3.3035766E7</v>
      </c>
      <c r="C2013" s="14">
        <v>1.32215244E8</v>
      </c>
      <c r="D2013" s="2" t="s">
        <v>3516</v>
      </c>
      <c r="E2013" s="1" t="s">
        <v>121</v>
      </c>
      <c r="F2013" s="14">
        <v>0.5267</v>
      </c>
      <c r="G2013" s="15"/>
      <c r="H2013" s="16"/>
      <c r="I2013" s="14"/>
    </row>
    <row r="2014">
      <c r="A2014" s="14">
        <v>365.0</v>
      </c>
      <c r="B2014" s="14">
        <v>5345839.0</v>
      </c>
      <c r="C2014" s="14">
        <v>2.2859309E7</v>
      </c>
      <c r="D2014" s="2" t="s">
        <v>4357</v>
      </c>
      <c r="E2014" s="1" t="s">
        <v>121</v>
      </c>
      <c r="F2014" s="14">
        <v>0.5262</v>
      </c>
      <c r="G2014" s="15"/>
      <c r="H2014" s="16"/>
      <c r="I2014" s="14"/>
    </row>
    <row r="2015">
      <c r="A2015" s="14">
        <v>414.0</v>
      </c>
      <c r="B2015" s="14">
        <v>4.0270493E7</v>
      </c>
      <c r="C2015" s="14">
        <v>1.59537642E8</v>
      </c>
      <c r="D2015" s="2" t="s">
        <v>3370</v>
      </c>
      <c r="E2015" s="1" t="s">
        <v>121</v>
      </c>
      <c r="F2015" s="14">
        <v>0.5248</v>
      </c>
      <c r="G2015" s="15"/>
      <c r="H2015" s="16"/>
      <c r="I2015" s="14"/>
    </row>
    <row r="2016">
      <c r="A2016" s="14">
        <v>319.0</v>
      </c>
      <c r="B2016" s="14">
        <v>6.2905721E7</v>
      </c>
      <c r="C2016" s="14">
        <v>2.54811794E8</v>
      </c>
      <c r="D2016" s="2" t="s">
        <v>2575</v>
      </c>
      <c r="E2016" s="1" t="s">
        <v>121</v>
      </c>
      <c r="F2016" s="14">
        <v>0.5248</v>
      </c>
      <c r="G2016" s="15"/>
      <c r="H2016" s="16"/>
      <c r="I2016" s="14"/>
    </row>
    <row r="2017">
      <c r="A2017" s="14">
        <v>602.0</v>
      </c>
      <c r="B2017" s="14">
        <v>4933115.0</v>
      </c>
      <c r="C2017" s="14">
        <v>2.099829E7</v>
      </c>
      <c r="D2017" s="2" t="s">
        <v>4360</v>
      </c>
      <c r="E2017" s="1" t="s">
        <v>121</v>
      </c>
      <c r="F2017" s="14">
        <v>0.5244</v>
      </c>
      <c r="G2017" s="15"/>
      <c r="H2017" s="16"/>
      <c r="I2017" s="14"/>
    </row>
    <row r="2018">
      <c r="A2018" s="14">
        <v>570.0</v>
      </c>
      <c r="B2018" s="14">
        <v>2.6517832E7</v>
      </c>
      <c r="C2018" s="14">
        <v>1.07326909E8</v>
      </c>
      <c r="D2018" s="2" t="s">
        <v>3693</v>
      </c>
      <c r="E2018" s="1" t="s">
        <v>699</v>
      </c>
      <c r="F2018" s="14">
        <v>0.5229</v>
      </c>
      <c r="G2018" s="15"/>
      <c r="H2018" s="16"/>
      <c r="I2018" s="14"/>
    </row>
    <row r="2019">
      <c r="A2019" s="14">
        <v>656.0</v>
      </c>
      <c r="B2019" s="14">
        <v>1.9505999E7</v>
      </c>
      <c r="C2019" s="14">
        <v>8.151454E7</v>
      </c>
      <c r="D2019" s="2" t="s">
        <v>3889</v>
      </c>
      <c r="E2019" s="1" t="s">
        <v>699</v>
      </c>
      <c r="F2019" s="14">
        <v>0.5228</v>
      </c>
      <c r="G2019" s="15"/>
      <c r="H2019" s="16"/>
      <c r="I2019" s="14"/>
    </row>
    <row r="2020">
      <c r="A2020" s="14">
        <v>215.0</v>
      </c>
      <c r="B2020" s="14">
        <v>1.2774528E7</v>
      </c>
      <c r="C2020" s="14">
        <v>5.4269368E7</v>
      </c>
      <c r="D2020" s="2" t="s">
        <v>4224</v>
      </c>
      <c r="E2020" s="1" t="s">
        <v>121</v>
      </c>
      <c r="F2020" s="14">
        <v>0.5218</v>
      </c>
      <c r="G2020" s="15"/>
      <c r="H2020" s="16"/>
      <c r="I2020" s="14"/>
    </row>
    <row r="2021">
      <c r="A2021" s="14">
        <v>645.0</v>
      </c>
      <c r="B2021" s="14">
        <v>3295521.0</v>
      </c>
      <c r="C2021" s="14">
        <v>1.3993257E7</v>
      </c>
      <c r="D2021" s="2" t="s">
        <v>4363</v>
      </c>
      <c r="E2021" s="1" t="s">
        <v>107</v>
      </c>
      <c r="F2021" s="14">
        <v>0.52</v>
      </c>
      <c r="G2021" s="15"/>
      <c r="H2021" s="16"/>
      <c r="I2021" s="14"/>
    </row>
    <row r="2022">
      <c r="A2022" s="14">
        <v>406.0</v>
      </c>
      <c r="B2022" s="14">
        <v>8660824.0</v>
      </c>
      <c r="C2022" s="14">
        <v>3.6774932E7</v>
      </c>
      <c r="D2022" s="2" t="s">
        <v>4364</v>
      </c>
      <c r="E2022" s="1" t="s">
        <v>121</v>
      </c>
      <c r="F2022" s="14">
        <v>0.5187</v>
      </c>
      <c r="G2022" s="15"/>
      <c r="H2022" s="16"/>
      <c r="I2022" s="14"/>
    </row>
    <row r="2023">
      <c r="A2023" s="14">
        <v>410.0</v>
      </c>
      <c r="B2023" s="14">
        <v>2.0879315E7</v>
      </c>
      <c r="C2023" s="14">
        <v>8.6664026E7</v>
      </c>
      <c r="D2023" s="2" t="s">
        <v>3843</v>
      </c>
      <c r="E2023" s="1" t="s">
        <v>121</v>
      </c>
      <c r="F2023" s="14">
        <v>0.5175</v>
      </c>
      <c r="G2023" s="15"/>
      <c r="H2023" s="16"/>
      <c r="I2023" s="14"/>
    </row>
    <row r="2024">
      <c r="A2024" s="14">
        <v>475.0</v>
      </c>
      <c r="B2024" s="14">
        <v>3.2874882E7</v>
      </c>
      <c r="C2024" s="14">
        <v>1.31783525E8</v>
      </c>
      <c r="D2024" s="2" t="s">
        <v>3519</v>
      </c>
      <c r="E2024" s="1" t="s">
        <v>121</v>
      </c>
      <c r="F2024" s="14">
        <v>0.5174</v>
      </c>
      <c r="G2024" s="15"/>
      <c r="H2024" s="16"/>
      <c r="I2024" s="14"/>
    </row>
    <row r="2025">
      <c r="A2025" s="14">
        <v>215.0</v>
      </c>
      <c r="B2025" s="14">
        <v>2597288.0</v>
      </c>
      <c r="C2025" s="14">
        <v>1.95643394E8</v>
      </c>
      <c r="D2025" s="2" t="s">
        <v>4367</v>
      </c>
      <c r="E2025" s="1" t="s">
        <v>121</v>
      </c>
      <c r="F2025" s="14">
        <v>0.5142</v>
      </c>
      <c r="G2025" s="15"/>
      <c r="H2025" s="16"/>
      <c r="I2025" s="14"/>
    </row>
    <row r="2026">
      <c r="A2026" s="14">
        <v>392.0</v>
      </c>
      <c r="B2026" s="14">
        <v>1.8191817E7</v>
      </c>
      <c r="C2026" s="14">
        <v>7.6657433E7</v>
      </c>
      <c r="D2026" s="2" t="s">
        <v>3926</v>
      </c>
      <c r="E2026" s="1" t="s">
        <v>121</v>
      </c>
      <c r="F2026" s="14">
        <v>0.5132</v>
      </c>
      <c r="G2026" s="15"/>
      <c r="H2026" s="16"/>
      <c r="I2026" s="14"/>
    </row>
    <row r="2027">
      <c r="A2027" s="14">
        <v>129.0</v>
      </c>
      <c r="B2027" s="14">
        <v>3.1126542E7</v>
      </c>
      <c r="C2027" s="14">
        <v>1.24836224E8</v>
      </c>
      <c r="D2027" s="2" t="s">
        <v>3562</v>
      </c>
      <c r="E2027" s="1" t="s">
        <v>107</v>
      </c>
      <c r="F2027" s="14">
        <v>0.5106</v>
      </c>
      <c r="G2027" s="15"/>
      <c r="H2027" s="16"/>
      <c r="I2027" s="14"/>
    </row>
    <row r="2028">
      <c r="A2028" s="14">
        <v>484.0</v>
      </c>
      <c r="B2028" s="14">
        <v>5.2365189E7</v>
      </c>
      <c r="C2028" s="14">
        <v>2.11181562E8</v>
      </c>
      <c r="D2028" s="2" t="s">
        <v>2931</v>
      </c>
      <c r="E2028" s="1" t="s">
        <v>107</v>
      </c>
      <c r="F2028" s="14">
        <v>0.5106</v>
      </c>
      <c r="G2028" s="15"/>
      <c r="H2028" s="16"/>
      <c r="I2028" s="14"/>
    </row>
    <row r="2029">
      <c r="A2029" s="14">
        <v>120.0</v>
      </c>
      <c r="B2029" s="14">
        <v>2.850057E7</v>
      </c>
      <c r="C2029" s="14">
        <v>1.14732204E8</v>
      </c>
      <c r="D2029" s="2" t="s">
        <v>3627</v>
      </c>
      <c r="E2029" s="1" t="s">
        <v>699</v>
      </c>
      <c r="F2029" s="14">
        <v>0.5106</v>
      </c>
      <c r="G2029" s="15"/>
      <c r="H2029" s="16"/>
      <c r="I2029" s="14"/>
    </row>
    <row r="2030">
      <c r="A2030" s="14">
        <v>571.0</v>
      </c>
      <c r="B2030" s="14">
        <v>4.8004851E7</v>
      </c>
      <c r="C2030" s="14">
        <v>1.90056764E8</v>
      </c>
      <c r="D2030" s="2" t="s">
        <v>3112</v>
      </c>
      <c r="E2030" s="1" t="s">
        <v>699</v>
      </c>
      <c r="F2030" s="14">
        <v>0.5106</v>
      </c>
      <c r="G2030" s="15"/>
      <c r="H2030" s="16"/>
      <c r="I2030" s="14"/>
    </row>
    <row r="2031">
      <c r="A2031" s="14">
        <v>602.0</v>
      </c>
      <c r="B2031" s="14">
        <v>5.5385246E7</v>
      </c>
      <c r="C2031" s="14">
        <v>2.19893947E8</v>
      </c>
      <c r="D2031" s="2" t="s">
        <v>2834</v>
      </c>
      <c r="E2031" s="1" t="s">
        <v>699</v>
      </c>
      <c r="F2031" s="14">
        <v>0.5106</v>
      </c>
      <c r="G2031" s="15"/>
      <c r="H2031" s="16"/>
      <c r="I2031" s="14"/>
    </row>
    <row r="2032">
      <c r="A2032" s="14">
        <v>671.0</v>
      </c>
      <c r="B2032" s="14">
        <v>8.2376167E7</v>
      </c>
      <c r="C2032" s="14">
        <v>3.45144686E8</v>
      </c>
      <c r="D2032" s="2" t="s">
        <v>1609</v>
      </c>
      <c r="E2032" s="1" t="s">
        <v>699</v>
      </c>
      <c r="F2032" s="14">
        <v>0.5106</v>
      </c>
      <c r="G2032" s="15"/>
      <c r="H2032" s="16"/>
      <c r="I2032" s="14"/>
    </row>
    <row r="2033">
      <c r="A2033" s="14">
        <v>716.0</v>
      </c>
      <c r="B2033" s="14">
        <v>8.8912624E7</v>
      </c>
      <c r="C2033" s="14">
        <v>3.76946905E8</v>
      </c>
      <c r="D2033" s="2" t="s">
        <v>1193</v>
      </c>
      <c r="E2033" s="1" t="s">
        <v>699</v>
      </c>
      <c r="F2033" s="14">
        <v>0.5106</v>
      </c>
      <c r="G2033" s="15"/>
      <c r="H2033" s="16"/>
      <c r="I2033" s="14"/>
    </row>
    <row r="2034">
      <c r="A2034" s="14">
        <v>569.0</v>
      </c>
      <c r="B2034" s="14">
        <v>1.09220558E8</v>
      </c>
      <c r="C2034" s="14">
        <v>4.72436482E8</v>
      </c>
      <c r="D2034" s="2" t="s">
        <v>123</v>
      </c>
      <c r="E2034" s="1" t="s">
        <v>699</v>
      </c>
      <c r="F2034" s="14">
        <v>0.5106</v>
      </c>
      <c r="G2034" s="15"/>
      <c r="H2034" s="16"/>
      <c r="I2034" s="14"/>
    </row>
    <row r="2035">
      <c r="A2035" s="14">
        <v>578.0</v>
      </c>
      <c r="B2035" s="14">
        <v>1.12266852E8</v>
      </c>
      <c r="C2035" s="14">
        <v>4.87461413E8</v>
      </c>
      <c r="D2035" s="2" t="s">
        <v>33</v>
      </c>
      <c r="E2035" s="1" t="s">
        <v>699</v>
      </c>
      <c r="F2035" s="14">
        <v>0.5106</v>
      </c>
      <c r="G2035" s="15"/>
      <c r="H2035" s="16"/>
      <c r="I2035" s="14"/>
    </row>
    <row r="2036">
      <c r="A2036" s="14">
        <v>384.0</v>
      </c>
      <c r="B2036" s="14">
        <v>2724249.0</v>
      </c>
      <c r="C2036" s="14">
        <v>1.1486603E7</v>
      </c>
      <c r="D2036" s="2" t="s">
        <v>4379</v>
      </c>
      <c r="E2036" s="1" t="s">
        <v>121</v>
      </c>
      <c r="F2036" s="14">
        <v>0.5106</v>
      </c>
      <c r="G2036" s="15"/>
      <c r="H2036" s="16"/>
      <c r="I2036" s="14"/>
    </row>
    <row r="2037">
      <c r="A2037" s="14">
        <v>665.0</v>
      </c>
      <c r="B2037" s="14">
        <v>4600991.0</v>
      </c>
      <c r="C2037" s="14">
        <v>1.9520956E7</v>
      </c>
      <c r="D2037" s="2" t="s">
        <v>4380</v>
      </c>
      <c r="E2037" s="1" t="s">
        <v>121</v>
      </c>
      <c r="F2037" s="14">
        <v>0.5106</v>
      </c>
      <c r="G2037" s="15"/>
      <c r="H2037" s="16"/>
      <c r="I2037" s="14"/>
    </row>
    <row r="2038">
      <c r="A2038" s="14">
        <v>173.0</v>
      </c>
      <c r="B2038" s="14">
        <v>6537636.0</v>
      </c>
      <c r="C2038" s="14">
        <v>2.7809863E7</v>
      </c>
      <c r="D2038" s="2" t="s">
        <v>4382</v>
      </c>
      <c r="E2038" s="1" t="s">
        <v>121</v>
      </c>
      <c r="F2038" s="14">
        <v>0.5106</v>
      </c>
      <c r="G2038" s="15"/>
      <c r="H2038" s="16"/>
      <c r="I2038" s="14"/>
    </row>
    <row r="2039">
      <c r="A2039" s="14">
        <v>395.0</v>
      </c>
      <c r="B2039" s="14">
        <v>7372694.0</v>
      </c>
      <c r="C2039" s="14">
        <v>3.1427053E7</v>
      </c>
      <c r="D2039" s="2" t="s">
        <v>4385</v>
      </c>
      <c r="E2039" s="1" t="s">
        <v>121</v>
      </c>
      <c r="F2039" s="14">
        <v>0.5106</v>
      </c>
      <c r="G2039" s="15"/>
      <c r="H2039" s="16"/>
      <c r="I2039" s="14"/>
    </row>
    <row r="2040">
      <c r="A2040" s="14">
        <v>380.0</v>
      </c>
      <c r="B2040" s="14">
        <v>8715633.0</v>
      </c>
      <c r="C2040" s="14">
        <v>3.6971381E7</v>
      </c>
      <c r="D2040" s="2" t="s">
        <v>4387</v>
      </c>
      <c r="E2040" s="1" t="s">
        <v>121</v>
      </c>
      <c r="F2040" s="14">
        <v>0.5106</v>
      </c>
      <c r="G2040" s="15"/>
      <c r="H2040" s="16"/>
      <c r="I2040" s="14"/>
    </row>
    <row r="2041">
      <c r="A2041" s="14">
        <v>545.0</v>
      </c>
      <c r="B2041" s="14">
        <v>8830997.0</v>
      </c>
      <c r="C2041" s="14">
        <v>3.739871E7</v>
      </c>
      <c r="D2041" s="2" t="s">
        <v>4389</v>
      </c>
      <c r="E2041" s="1" t="s">
        <v>121</v>
      </c>
      <c r="F2041" s="14">
        <v>0.5106</v>
      </c>
      <c r="G2041" s="15"/>
      <c r="H2041" s="16"/>
      <c r="I2041" s="14"/>
    </row>
    <row r="2042">
      <c r="A2042" s="14">
        <v>671.0</v>
      </c>
      <c r="B2042" s="14">
        <v>1.3042801E7</v>
      </c>
      <c r="C2042" s="14">
        <v>5.5435657E7</v>
      </c>
      <c r="D2042" s="2" t="s">
        <v>4211</v>
      </c>
      <c r="E2042" s="1" t="s">
        <v>121</v>
      </c>
      <c r="F2042" s="14">
        <v>0.5106</v>
      </c>
      <c r="G2042" s="15"/>
      <c r="H2042" s="16"/>
      <c r="I2042" s="14"/>
    </row>
    <row r="2043">
      <c r="A2043" s="14">
        <v>394.0</v>
      </c>
      <c r="B2043" s="14">
        <v>2.0883626E7</v>
      </c>
      <c r="C2043" s="14">
        <v>4.64623473E8</v>
      </c>
      <c r="D2043" s="2" t="s">
        <v>3841</v>
      </c>
      <c r="E2043" s="1" t="s">
        <v>121</v>
      </c>
      <c r="F2043" s="14">
        <v>0.5106</v>
      </c>
      <c r="G2043" s="15"/>
      <c r="H2043" s="16"/>
      <c r="I2043" s="14"/>
    </row>
    <row r="2044">
      <c r="A2044" s="14">
        <v>597.0</v>
      </c>
      <c r="B2044" s="14">
        <v>2.7144688E7</v>
      </c>
      <c r="C2044" s="14">
        <v>1.09684858E8</v>
      </c>
      <c r="D2044" s="2" t="s">
        <v>3673</v>
      </c>
      <c r="E2044" s="1" t="s">
        <v>121</v>
      </c>
      <c r="F2044" s="14">
        <v>0.5106</v>
      </c>
      <c r="G2044" s="15"/>
      <c r="H2044" s="16"/>
      <c r="I2044" s="14"/>
    </row>
    <row r="2045">
      <c r="A2045" s="14">
        <v>570.0</v>
      </c>
      <c r="B2045" s="14">
        <v>4.70819E7</v>
      </c>
      <c r="C2045" s="14">
        <v>1.86012627E8</v>
      </c>
      <c r="D2045" s="2" t="s">
        <v>3151</v>
      </c>
      <c r="E2045" s="1" t="s">
        <v>121</v>
      </c>
      <c r="F2045" s="14">
        <v>0.5106</v>
      </c>
      <c r="G2045" s="15"/>
      <c r="H2045" s="16"/>
      <c r="I2045" s="14"/>
    </row>
    <row r="2046">
      <c r="A2046" s="14">
        <v>586.0</v>
      </c>
      <c r="B2046" s="14">
        <v>5.0206904E7</v>
      </c>
      <c r="C2046" s="14">
        <v>1.98637457E8</v>
      </c>
      <c r="D2046" s="2" t="s">
        <v>3015</v>
      </c>
      <c r="E2046" s="1" t="s">
        <v>121</v>
      </c>
      <c r="F2046" s="14">
        <v>0.5106</v>
      </c>
      <c r="G2046" s="15"/>
      <c r="H2046" s="16"/>
      <c r="I2046" s="14"/>
    </row>
    <row r="2047">
      <c r="A2047" s="14">
        <v>664.0</v>
      </c>
      <c r="B2047" s="14">
        <v>5.1001446E7</v>
      </c>
      <c r="C2047" s="14">
        <v>2.02238129E8</v>
      </c>
      <c r="D2047" s="2" t="s">
        <v>2988</v>
      </c>
      <c r="E2047" s="1" t="s">
        <v>121</v>
      </c>
      <c r="F2047" s="14">
        <v>0.5106</v>
      </c>
      <c r="G2047" s="15"/>
      <c r="H2047" s="16"/>
      <c r="I2047" s="14"/>
    </row>
    <row r="2048">
      <c r="A2048" s="14">
        <v>504.0</v>
      </c>
      <c r="B2048" s="14">
        <v>5.8919133E7</v>
      </c>
      <c r="C2048" s="14">
        <v>2.35316345E8</v>
      </c>
      <c r="D2048" s="2" t="s">
        <v>2727</v>
      </c>
      <c r="E2048" s="1" t="s">
        <v>121</v>
      </c>
      <c r="F2048" s="14">
        <v>0.5106</v>
      </c>
      <c r="G2048" s="15"/>
      <c r="H2048" s="16"/>
      <c r="I2048" s="14"/>
    </row>
    <row r="2049">
      <c r="A2049" s="14">
        <v>671.0</v>
      </c>
      <c r="B2049" s="14">
        <v>6.7100213E7</v>
      </c>
      <c r="C2049" s="14">
        <v>2.74920577E8</v>
      </c>
      <c r="D2049" s="2" t="s">
        <v>2379</v>
      </c>
      <c r="E2049" s="1" t="s">
        <v>121</v>
      </c>
      <c r="F2049" s="14">
        <v>0.5106</v>
      </c>
      <c r="G2049" s="15"/>
      <c r="H2049" s="16"/>
      <c r="I2049" s="14"/>
    </row>
    <row r="2050">
      <c r="A2050" s="14">
        <v>394.0</v>
      </c>
      <c r="B2050" s="14">
        <v>6.7142736E7</v>
      </c>
      <c r="C2050" s="14">
        <v>2.74829383E8</v>
      </c>
      <c r="D2050" s="2" t="s">
        <v>2375</v>
      </c>
      <c r="E2050" s="1" t="s">
        <v>121</v>
      </c>
      <c r="F2050" s="14">
        <v>0.5106</v>
      </c>
      <c r="G2050" s="15"/>
      <c r="H2050" s="16"/>
      <c r="I2050" s="14"/>
    </row>
    <row r="2051">
      <c r="A2051" s="14">
        <v>173.0</v>
      </c>
      <c r="B2051" s="14">
        <v>7.6070533E7</v>
      </c>
      <c r="C2051" s="14">
        <v>3.15551126E8</v>
      </c>
      <c r="D2051" s="2" t="s">
        <v>1965</v>
      </c>
      <c r="E2051" s="1" t="s">
        <v>121</v>
      </c>
      <c r="F2051" s="14">
        <v>0.5106</v>
      </c>
      <c r="G2051" s="15"/>
      <c r="H2051" s="16"/>
      <c r="I2051" s="14"/>
    </row>
    <row r="2052">
      <c r="A2052" s="14">
        <v>715.0</v>
      </c>
      <c r="B2052" s="14">
        <v>8.2764654E7</v>
      </c>
      <c r="C2052" s="14">
        <v>3.471109E8</v>
      </c>
      <c r="D2052" s="2" t="s">
        <v>1582</v>
      </c>
      <c r="E2052" s="1" t="s">
        <v>121</v>
      </c>
      <c r="F2052" s="14">
        <v>0.5106</v>
      </c>
      <c r="G2052" s="15"/>
      <c r="H2052" s="16"/>
      <c r="I2052" s="14"/>
    </row>
    <row r="2053">
      <c r="A2053" s="14">
        <v>672.0</v>
      </c>
      <c r="B2053" s="14">
        <v>8.427273E7</v>
      </c>
      <c r="C2053" s="14">
        <v>3.54209136E8</v>
      </c>
      <c r="D2053" s="2" t="s">
        <v>1480</v>
      </c>
      <c r="E2053" s="1" t="s">
        <v>121</v>
      </c>
      <c r="F2053" s="14">
        <v>0.5106</v>
      </c>
      <c r="G2053" s="15"/>
      <c r="H2053" s="16"/>
      <c r="I2053" s="14"/>
    </row>
    <row r="2054">
      <c r="A2054" s="14">
        <v>609.0</v>
      </c>
      <c r="B2054" s="14">
        <v>4105859.0</v>
      </c>
      <c r="C2054" s="14">
        <v>1.7513438E7</v>
      </c>
      <c r="D2054" s="2" t="s">
        <v>4400</v>
      </c>
      <c r="E2054" s="1" t="s">
        <v>121</v>
      </c>
      <c r="F2054" s="14">
        <v>0.5099</v>
      </c>
      <c r="G2054" s="15"/>
      <c r="H2054" s="16"/>
      <c r="I2054" s="14"/>
    </row>
    <row r="2055">
      <c r="A2055" s="14">
        <v>610.0</v>
      </c>
      <c r="B2055" s="14">
        <v>4.3033824E7</v>
      </c>
      <c r="C2055" s="14">
        <v>3.3894254E8</v>
      </c>
      <c r="D2055" s="2" t="s">
        <v>3295</v>
      </c>
      <c r="E2055" s="1" t="s">
        <v>107</v>
      </c>
      <c r="F2055" s="14">
        <v>0.5093</v>
      </c>
      <c r="G2055" s="15"/>
      <c r="H2055" s="16"/>
      <c r="I2055" s="14"/>
    </row>
    <row r="2056">
      <c r="A2056" s="14">
        <v>642.0</v>
      </c>
      <c r="B2056" s="14">
        <v>4.8812143E7</v>
      </c>
      <c r="C2056" s="14">
        <v>1.92981665E8</v>
      </c>
      <c r="D2056" s="2" t="s">
        <v>3062</v>
      </c>
      <c r="E2056" s="1" t="s">
        <v>121</v>
      </c>
      <c r="F2056" s="14">
        <v>0.5083</v>
      </c>
      <c r="G2056" s="15"/>
      <c r="H2056" s="16"/>
      <c r="I2056" s="14"/>
    </row>
    <row r="2057">
      <c r="A2057" s="14">
        <v>504.0</v>
      </c>
      <c r="B2057" s="14">
        <v>9.3589468E7</v>
      </c>
      <c r="C2057" s="14">
        <v>3.97547206E8</v>
      </c>
      <c r="D2057" s="2" t="s">
        <v>959</v>
      </c>
      <c r="E2057" s="1" t="s">
        <v>107</v>
      </c>
      <c r="F2057" s="14">
        <v>0.5076</v>
      </c>
      <c r="G2057" s="15"/>
      <c r="H2057" s="16"/>
      <c r="I2057" s="14"/>
    </row>
    <row r="2058">
      <c r="A2058" s="14">
        <v>570.0</v>
      </c>
      <c r="B2058" s="14">
        <v>8.4412515E7</v>
      </c>
      <c r="C2058" s="14">
        <v>3.55131719E8</v>
      </c>
      <c r="D2058" s="2" t="s">
        <v>1473</v>
      </c>
      <c r="E2058" s="1" t="s">
        <v>121</v>
      </c>
      <c r="F2058" s="14">
        <v>0.5059</v>
      </c>
      <c r="G2058" s="15"/>
      <c r="H2058" s="16"/>
      <c r="I2058" s="14"/>
    </row>
    <row r="2059">
      <c r="A2059" s="14">
        <v>564.0</v>
      </c>
      <c r="B2059" s="14">
        <v>9196523.0</v>
      </c>
      <c r="C2059" s="14">
        <v>3.9007265E7</v>
      </c>
      <c r="D2059" s="2" t="s">
        <v>4406</v>
      </c>
      <c r="E2059" s="1" t="s">
        <v>121</v>
      </c>
      <c r="F2059" s="14">
        <v>0.5055</v>
      </c>
      <c r="G2059" s="15"/>
      <c r="H2059" s="16"/>
      <c r="I2059" s="14"/>
    </row>
    <row r="2060">
      <c r="A2060" s="14">
        <v>459.0</v>
      </c>
      <c r="B2060" s="14">
        <v>885681.0</v>
      </c>
      <c r="C2060" s="14">
        <v>4164807.0</v>
      </c>
      <c r="D2060" s="2" t="s">
        <v>4408</v>
      </c>
      <c r="E2060" s="1" t="s">
        <v>121</v>
      </c>
      <c r="F2060" s="14">
        <v>0.5053</v>
      </c>
      <c r="G2060" s="15"/>
      <c r="H2060" s="16"/>
      <c r="I2060" s="14"/>
    </row>
    <row r="2061">
      <c r="A2061" s="14">
        <v>321.0</v>
      </c>
      <c r="B2061" s="14">
        <v>1704346.0</v>
      </c>
      <c r="C2061" s="14">
        <v>1.597999E7</v>
      </c>
      <c r="D2061" s="2" t="s">
        <v>4409</v>
      </c>
      <c r="E2061" s="1" t="s">
        <v>121</v>
      </c>
      <c r="F2061" s="14">
        <v>0.5053</v>
      </c>
      <c r="G2061" s="15"/>
      <c r="H2061" s="16"/>
      <c r="I2061" s="14"/>
    </row>
    <row r="2062">
      <c r="A2062" s="14">
        <v>715.0</v>
      </c>
      <c r="B2062" s="14">
        <v>4.4107895E7</v>
      </c>
      <c r="C2062" s="14">
        <v>1.7440354E8</v>
      </c>
      <c r="D2062" s="2" t="s">
        <v>3265</v>
      </c>
      <c r="E2062" s="1" t="s">
        <v>121</v>
      </c>
      <c r="F2062" s="14">
        <v>0.5053</v>
      </c>
      <c r="G2062" s="15"/>
      <c r="H2062" s="16"/>
      <c r="I2062" s="14"/>
    </row>
    <row r="2063">
      <c r="A2063" s="14">
        <v>410.0</v>
      </c>
      <c r="B2063" s="14">
        <v>2424942.0</v>
      </c>
      <c r="C2063" s="14">
        <v>1.0275615E7</v>
      </c>
      <c r="D2063" s="2" t="s">
        <v>4410</v>
      </c>
      <c r="E2063" s="1" t="s">
        <v>699</v>
      </c>
      <c r="F2063" s="14">
        <v>0.504</v>
      </c>
      <c r="G2063" s="15"/>
      <c r="H2063" s="16"/>
      <c r="I2063" s="14"/>
    </row>
    <row r="2064">
      <c r="A2064" s="14">
        <v>610.0</v>
      </c>
      <c r="B2064" s="14">
        <v>9.7475744E7</v>
      </c>
      <c r="C2064" s="14">
        <v>4.16199697E8</v>
      </c>
      <c r="D2064" s="2" t="s">
        <v>742</v>
      </c>
      <c r="E2064" s="1" t="s">
        <v>699</v>
      </c>
      <c r="F2064" s="14">
        <v>0.504</v>
      </c>
      <c r="G2064" s="15"/>
      <c r="H2064" s="16"/>
      <c r="I2064" s="14"/>
    </row>
    <row r="2065">
      <c r="A2065" s="14">
        <v>173.0</v>
      </c>
      <c r="B2065" s="14">
        <v>1.10285874E8</v>
      </c>
      <c r="C2065" s="14">
        <v>4.78246264E8</v>
      </c>
      <c r="D2065" s="2" t="s">
        <v>74</v>
      </c>
      <c r="E2065" s="1" t="s">
        <v>699</v>
      </c>
      <c r="F2065" s="14">
        <v>0.504</v>
      </c>
      <c r="G2065" s="15"/>
      <c r="H2065" s="16"/>
      <c r="I2065" s="14"/>
    </row>
    <row r="2066">
      <c r="A2066" s="14">
        <v>178.0</v>
      </c>
      <c r="B2066" s="14">
        <v>442204.0</v>
      </c>
      <c r="C2066" s="14">
        <v>2032321.0</v>
      </c>
      <c r="D2066" s="2" t="s">
        <v>4412</v>
      </c>
      <c r="E2066" s="1" t="s">
        <v>699</v>
      </c>
      <c r="F2066" s="14">
        <v>0.5023</v>
      </c>
      <c r="G2066" s="15"/>
      <c r="H2066" s="16"/>
      <c r="I2066" s="14"/>
    </row>
    <row r="2067">
      <c r="A2067" s="14">
        <v>550.0</v>
      </c>
      <c r="B2067" s="14">
        <v>6.2363896E7</v>
      </c>
      <c r="C2067" s="14">
        <v>2.52120385E8</v>
      </c>
      <c r="D2067" s="2" t="s">
        <v>2598</v>
      </c>
      <c r="E2067" s="1" t="s">
        <v>699</v>
      </c>
      <c r="F2067" s="14">
        <v>0.5023</v>
      </c>
      <c r="G2067" s="15"/>
      <c r="H2067" s="16"/>
      <c r="I2067" s="14"/>
    </row>
    <row r="2068">
      <c r="A2068" s="14">
        <v>639.0</v>
      </c>
      <c r="B2068" s="14">
        <v>1.02200975E8</v>
      </c>
      <c r="C2068" s="14">
        <v>4.38912031E8</v>
      </c>
      <c r="D2068" s="2" t="s">
        <v>452</v>
      </c>
      <c r="E2068" s="1" t="s">
        <v>699</v>
      </c>
      <c r="F2068" s="14">
        <v>0.5023</v>
      </c>
      <c r="G2068" s="15"/>
      <c r="H2068" s="16"/>
      <c r="I2068" s="14"/>
    </row>
    <row r="2069">
      <c r="A2069" s="14">
        <v>610.0</v>
      </c>
      <c r="B2069" s="14">
        <v>1.03887047E8</v>
      </c>
      <c r="C2069" s="14">
        <v>4.47049286E8</v>
      </c>
      <c r="D2069" s="2" t="s">
        <v>383</v>
      </c>
      <c r="E2069" s="1" t="s">
        <v>699</v>
      </c>
      <c r="F2069" s="14">
        <v>0.5023</v>
      </c>
      <c r="G2069" s="15"/>
      <c r="H2069" s="16"/>
      <c r="I2069" s="14"/>
    </row>
    <row r="2070">
      <c r="A2070" s="14">
        <v>571.0</v>
      </c>
      <c r="B2070" s="14">
        <v>1.04267853E8</v>
      </c>
      <c r="C2070" s="14">
        <v>4.48784119E8</v>
      </c>
      <c r="D2070" s="2" t="s">
        <v>369</v>
      </c>
      <c r="E2070" s="1" t="s">
        <v>699</v>
      </c>
      <c r="F2070" s="14">
        <v>0.5023</v>
      </c>
      <c r="G2070" s="15"/>
      <c r="H2070" s="16"/>
      <c r="I2070" s="14"/>
    </row>
    <row r="2071">
      <c r="A2071" s="14">
        <v>403.0</v>
      </c>
      <c r="B2071" s="14">
        <v>1.11159859E8</v>
      </c>
      <c r="C2071" s="14">
        <v>4.81931447E8</v>
      </c>
      <c r="D2071" s="2" t="s">
        <v>49</v>
      </c>
      <c r="E2071" s="1" t="s">
        <v>699</v>
      </c>
      <c r="F2071" s="14">
        <v>0.5023</v>
      </c>
      <c r="G2071" s="15"/>
      <c r="H2071" s="16"/>
      <c r="I2071" s="14"/>
    </row>
    <row r="2072">
      <c r="A2072" s="14">
        <v>120.0</v>
      </c>
      <c r="B2072" s="14">
        <v>284767.0</v>
      </c>
      <c r="C2072" s="14">
        <v>1211933.0</v>
      </c>
      <c r="D2072" s="2" t="s">
        <v>4413</v>
      </c>
      <c r="E2072" s="1" t="s">
        <v>121</v>
      </c>
      <c r="F2072" s="14">
        <v>0.5023</v>
      </c>
      <c r="G2072" s="15"/>
      <c r="H2072" s="16"/>
      <c r="I2072" s="14"/>
    </row>
    <row r="2073">
      <c r="A2073" s="14">
        <v>484.0</v>
      </c>
      <c r="B2073" s="14">
        <v>3320535.0</v>
      </c>
      <c r="C2073" s="14">
        <v>1.4083974E7</v>
      </c>
      <c r="D2073" s="2" t="s">
        <v>4416</v>
      </c>
      <c r="E2073" s="1" t="s">
        <v>121</v>
      </c>
      <c r="F2073" s="14">
        <v>0.5023</v>
      </c>
      <c r="G2073" s="15"/>
      <c r="H2073" s="16"/>
      <c r="I2073" s="14"/>
    </row>
    <row r="2074">
      <c r="A2074" s="14">
        <v>671.0</v>
      </c>
      <c r="B2074" s="14">
        <v>9116354.0</v>
      </c>
      <c r="C2074" s="14">
        <v>3.863121E7</v>
      </c>
      <c r="D2074" s="2" t="s">
        <v>4417</v>
      </c>
      <c r="E2074" s="1" t="s">
        <v>121</v>
      </c>
      <c r="F2074" s="14">
        <v>0.5023</v>
      </c>
      <c r="G2074" s="15"/>
      <c r="H2074" s="16"/>
      <c r="I2074" s="14"/>
    </row>
    <row r="2075">
      <c r="A2075" s="14">
        <v>597.0</v>
      </c>
      <c r="B2075" s="14">
        <v>1.1589134E7</v>
      </c>
      <c r="C2075" s="14">
        <v>4.9410307E7</v>
      </c>
      <c r="D2075" s="2" t="s">
        <v>4280</v>
      </c>
      <c r="E2075" s="1" t="s">
        <v>121</v>
      </c>
      <c r="F2075" s="14">
        <v>0.5023</v>
      </c>
      <c r="G2075" s="15"/>
      <c r="H2075" s="16"/>
      <c r="I2075" s="14"/>
    </row>
    <row r="2076">
      <c r="A2076" s="14">
        <v>671.0</v>
      </c>
      <c r="B2076" s="14">
        <v>2.0505203E7</v>
      </c>
      <c r="C2076" s="14">
        <v>8.5234622E7</v>
      </c>
      <c r="D2076" s="2" t="s">
        <v>3856</v>
      </c>
      <c r="E2076" s="1" t="s">
        <v>121</v>
      </c>
      <c r="F2076" s="14">
        <v>0.5023</v>
      </c>
      <c r="G2076" s="15"/>
      <c r="H2076" s="16"/>
      <c r="I2076" s="14"/>
    </row>
    <row r="2077">
      <c r="A2077" s="14">
        <v>671.0</v>
      </c>
      <c r="B2077" s="14">
        <v>8.1886128E7</v>
      </c>
      <c r="C2077" s="14">
        <v>3.42996766E8</v>
      </c>
      <c r="D2077" s="2" t="s">
        <v>1644</v>
      </c>
      <c r="E2077" s="1" t="s">
        <v>121</v>
      </c>
      <c r="F2077" s="14">
        <v>0.5023</v>
      </c>
      <c r="G2077" s="15"/>
      <c r="H2077" s="16"/>
      <c r="I2077" s="14"/>
    </row>
    <row r="2078">
      <c r="A2078" s="14">
        <v>475.0</v>
      </c>
      <c r="B2078" s="14">
        <v>2.6672782E7</v>
      </c>
      <c r="C2078" s="14">
        <v>1.07935289E8</v>
      </c>
      <c r="D2078" s="2" t="s">
        <v>3689</v>
      </c>
      <c r="E2078" s="1" t="s">
        <v>121</v>
      </c>
      <c r="F2078" s="14">
        <v>0.5017</v>
      </c>
      <c r="G2078" s="15"/>
      <c r="H2078" s="16"/>
      <c r="I2078" s="14"/>
    </row>
    <row r="2079">
      <c r="A2079" s="14">
        <v>654.0</v>
      </c>
      <c r="B2079" s="14">
        <v>8.4237651E7</v>
      </c>
      <c r="C2079" s="14">
        <v>3.54210267E8</v>
      </c>
      <c r="D2079" s="2" t="s">
        <v>1488</v>
      </c>
      <c r="E2079" s="1" t="s">
        <v>699</v>
      </c>
      <c r="F2079" s="14">
        <v>0.5007</v>
      </c>
      <c r="G2079" s="15"/>
      <c r="H2079" s="16"/>
      <c r="I2079" s="14"/>
    </row>
    <row r="2080">
      <c r="A2080" s="14">
        <v>602.0</v>
      </c>
      <c r="B2080" s="14">
        <v>1497037.0</v>
      </c>
      <c r="C2080" s="14">
        <v>6608214.0</v>
      </c>
      <c r="D2080" s="2" t="s">
        <v>4423</v>
      </c>
      <c r="E2080" s="1" t="s">
        <v>699</v>
      </c>
      <c r="F2080" s="14">
        <v>0.4995</v>
      </c>
      <c r="G2080" s="15"/>
      <c r="H2080" s="16"/>
      <c r="I2080" s="14"/>
    </row>
    <row r="2081">
      <c r="A2081" s="14">
        <v>210.0</v>
      </c>
      <c r="B2081" s="14">
        <v>1.5409935E7</v>
      </c>
      <c r="C2081" s="14">
        <v>6.5549107E7</v>
      </c>
      <c r="D2081" s="2" t="s">
        <v>4073</v>
      </c>
      <c r="E2081" s="1" t="s">
        <v>121</v>
      </c>
      <c r="F2081" s="14">
        <v>0.4993</v>
      </c>
      <c r="G2081" s="15"/>
      <c r="H2081" s="16"/>
      <c r="I2081" s="14"/>
    </row>
    <row r="2082">
      <c r="A2082" s="14">
        <v>630.0</v>
      </c>
      <c r="B2082" s="14">
        <v>3842359.0</v>
      </c>
      <c r="C2082" s="14">
        <v>3.32852915E8</v>
      </c>
      <c r="D2082" s="2" t="s">
        <v>4427</v>
      </c>
      <c r="E2082" s="1" t="s">
        <v>121</v>
      </c>
      <c r="F2082" s="14">
        <v>0.4988</v>
      </c>
      <c r="G2082" s="15"/>
      <c r="H2082" s="16"/>
      <c r="I2082" s="14"/>
    </row>
    <row r="2083">
      <c r="A2083" s="14">
        <v>503.0</v>
      </c>
      <c r="B2083" s="14">
        <v>1.0293621E7</v>
      </c>
      <c r="C2083" s="14">
        <v>4.38029E7</v>
      </c>
      <c r="D2083" s="2" t="s">
        <v>4376</v>
      </c>
      <c r="E2083" s="1" t="s">
        <v>107</v>
      </c>
      <c r="F2083" s="14">
        <v>0.4939</v>
      </c>
      <c r="G2083" s="15"/>
      <c r="H2083" s="16"/>
      <c r="I2083" s="14"/>
    </row>
    <row r="2084">
      <c r="A2084" s="14">
        <v>571.0</v>
      </c>
      <c r="B2084" s="14">
        <v>1.3408848E7</v>
      </c>
      <c r="C2084" s="14">
        <v>5.6898389E7</v>
      </c>
      <c r="D2084" s="2" t="s">
        <v>4189</v>
      </c>
      <c r="E2084" s="1" t="s">
        <v>107</v>
      </c>
      <c r="F2084" s="14">
        <v>0.4939</v>
      </c>
      <c r="G2084" s="15"/>
      <c r="H2084" s="16"/>
      <c r="I2084" s="14"/>
    </row>
    <row r="2085">
      <c r="A2085" s="14">
        <v>410.0</v>
      </c>
      <c r="B2085" s="14">
        <v>4.136461E7</v>
      </c>
      <c r="C2085" s="14">
        <v>1.63675877E8</v>
      </c>
      <c r="D2085" s="2" t="s">
        <v>3345</v>
      </c>
      <c r="E2085" s="1" t="s">
        <v>107</v>
      </c>
      <c r="F2085" s="14">
        <v>0.4939</v>
      </c>
      <c r="G2085" s="15"/>
      <c r="H2085" s="16"/>
      <c r="I2085" s="14"/>
    </row>
    <row r="2086">
      <c r="A2086" s="14">
        <v>610.0</v>
      </c>
      <c r="B2086" s="14">
        <v>5.5806752E7</v>
      </c>
      <c r="C2086" s="14">
        <v>2.21708603E8</v>
      </c>
      <c r="D2086" s="2" t="s">
        <v>2820</v>
      </c>
      <c r="E2086" s="1" t="s">
        <v>107</v>
      </c>
      <c r="F2086" s="14">
        <v>0.4939</v>
      </c>
      <c r="G2086" s="15"/>
      <c r="H2086" s="16"/>
      <c r="I2086" s="14"/>
    </row>
    <row r="2087">
      <c r="A2087" s="14">
        <v>484.0</v>
      </c>
      <c r="B2087" s="14">
        <v>9.5863137E7</v>
      </c>
      <c r="C2087" s="14">
        <v>4.08408291E8</v>
      </c>
      <c r="D2087" s="2" t="s">
        <v>832</v>
      </c>
      <c r="E2087" s="1" t="s">
        <v>107</v>
      </c>
      <c r="F2087" s="14">
        <v>0.4939</v>
      </c>
      <c r="G2087" s="15"/>
      <c r="H2087" s="16"/>
      <c r="I2087" s="14"/>
    </row>
    <row r="2088">
      <c r="A2088" s="14">
        <v>665.0</v>
      </c>
      <c r="B2088" s="14">
        <v>1.3041236E7</v>
      </c>
      <c r="C2088" s="14">
        <v>5.5351014E7</v>
      </c>
      <c r="D2088" s="2" t="s">
        <v>4212</v>
      </c>
      <c r="E2088" s="1" t="s">
        <v>699</v>
      </c>
      <c r="F2088" s="14">
        <v>0.4939</v>
      </c>
      <c r="G2088" s="15"/>
      <c r="H2088" s="16"/>
      <c r="I2088" s="14"/>
    </row>
    <row r="2089">
      <c r="A2089" s="14">
        <v>409.0</v>
      </c>
      <c r="B2089" s="14">
        <v>2.7516838E7</v>
      </c>
      <c r="C2089" s="14">
        <v>1.11027433E8</v>
      </c>
      <c r="D2089" s="2" t="s">
        <v>3661</v>
      </c>
      <c r="E2089" s="1" t="s">
        <v>699</v>
      </c>
      <c r="F2089" s="14">
        <v>0.4939</v>
      </c>
      <c r="G2089" s="15"/>
      <c r="H2089" s="16"/>
      <c r="I2089" s="14"/>
    </row>
    <row r="2090">
      <c r="A2090" s="14">
        <v>355.0</v>
      </c>
      <c r="B2090" s="14">
        <v>4.2237053E7</v>
      </c>
      <c r="C2090" s="14">
        <v>1.67105425E8</v>
      </c>
      <c r="D2090" s="2" t="s">
        <v>3312</v>
      </c>
      <c r="E2090" s="1" t="s">
        <v>699</v>
      </c>
      <c r="F2090" s="14">
        <v>0.4939</v>
      </c>
      <c r="G2090" s="15"/>
      <c r="H2090" s="16"/>
      <c r="I2090" s="14"/>
    </row>
    <row r="2091">
      <c r="A2091" s="14">
        <v>654.0</v>
      </c>
      <c r="B2091" s="14">
        <v>6.8817641E7</v>
      </c>
      <c r="C2091" s="14">
        <v>2.83150631E8</v>
      </c>
      <c r="D2091" s="2" t="s">
        <v>2292</v>
      </c>
      <c r="E2091" s="1" t="s">
        <v>699</v>
      </c>
      <c r="F2091" s="14">
        <v>0.4939</v>
      </c>
      <c r="G2091" s="15"/>
      <c r="H2091" s="16"/>
      <c r="I2091" s="14"/>
    </row>
    <row r="2092">
      <c r="A2092" s="14">
        <v>671.0</v>
      </c>
      <c r="B2092" s="14">
        <v>9.2847206E7</v>
      </c>
      <c r="C2092" s="14">
        <v>3.94385197E8</v>
      </c>
      <c r="D2092" s="2" t="s">
        <v>990</v>
      </c>
      <c r="E2092" s="1" t="s">
        <v>699</v>
      </c>
      <c r="F2092" s="14">
        <v>0.4939</v>
      </c>
      <c r="G2092" s="15"/>
      <c r="H2092" s="16"/>
      <c r="I2092" s="14"/>
    </row>
    <row r="2093">
      <c r="A2093" s="14">
        <v>173.0</v>
      </c>
      <c r="B2093" s="14">
        <v>9.3947653E7</v>
      </c>
      <c r="C2093" s="14">
        <v>3.99217049E8</v>
      </c>
      <c r="D2093" s="2" t="s">
        <v>931</v>
      </c>
      <c r="E2093" s="1" t="s">
        <v>699</v>
      </c>
      <c r="F2093" s="14">
        <v>0.4939</v>
      </c>
      <c r="G2093" s="15"/>
      <c r="H2093" s="16"/>
      <c r="I2093" s="14"/>
    </row>
    <row r="2094">
      <c r="A2094" s="14">
        <v>602.0</v>
      </c>
      <c r="B2094" s="14">
        <v>1.04627807E8</v>
      </c>
      <c r="C2094" s="14">
        <v>4.50763727E8</v>
      </c>
      <c r="D2094" s="2" t="s">
        <v>359</v>
      </c>
      <c r="E2094" s="1" t="s">
        <v>699</v>
      </c>
      <c r="F2094" s="14">
        <v>0.4939</v>
      </c>
      <c r="G2094" s="15"/>
      <c r="H2094" s="16"/>
      <c r="I2094" s="14"/>
    </row>
    <row r="2095">
      <c r="A2095" s="14">
        <v>215.0</v>
      </c>
      <c r="B2095" s="14">
        <v>4086194.0</v>
      </c>
      <c r="C2095" s="14">
        <v>1.7370057E7</v>
      </c>
      <c r="D2095" s="2" t="s">
        <v>4439</v>
      </c>
      <c r="E2095" s="1" t="s">
        <v>121</v>
      </c>
      <c r="F2095" s="14">
        <v>0.4939</v>
      </c>
      <c r="G2095" s="15"/>
      <c r="H2095" s="16"/>
      <c r="I2095" s="14"/>
    </row>
    <row r="2096">
      <c r="A2096" s="14">
        <v>207.0</v>
      </c>
      <c r="B2096" s="14">
        <v>6914118.0</v>
      </c>
      <c r="C2096" s="14">
        <v>2.9550422E7</v>
      </c>
      <c r="D2096" s="2" t="s">
        <v>4441</v>
      </c>
      <c r="E2096" s="1" t="s">
        <v>121</v>
      </c>
      <c r="F2096" s="14">
        <v>0.4939</v>
      </c>
      <c r="G2096" s="15"/>
      <c r="H2096" s="16"/>
      <c r="I2096" s="14"/>
    </row>
    <row r="2097">
      <c r="A2097" s="14">
        <v>475.0</v>
      </c>
      <c r="B2097" s="14">
        <v>1.0805966E7</v>
      </c>
      <c r="C2097" s="14">
        <v>4.5948098E7</v>
      </c>
      <c r="D2097" s="2" t="s">
        <v>4336</v>
      </c>
      <c r="E2097" s="1" t="s">
        <v>121</v>
      </c>
      <c r="F2097" s="14">
        <v>0.4939</v>
      </c>
      <c r="G2097" s="15"/>
      <c r="H2097" s="16"/>
      <c r="I2097" s="14"/>
    </row>
    <row r="2098">
      <c r="A2098" s="14">
        <v>409.0</v>
      </c>
      <c r="B2098" s="14">
        <v>4.3415566E7</v>
      </c>
      <c r="C2098" s="14">
        <v>1.7184752E8</v>
      </c>
      <c r="D2098" s="2" t="s">
        <v>3285</v>
      </c>
      <c r="E2098" s="1" t="s">
        <v>121</v>
      </c>
      <c r="F2098" s="14">
        <v>0.4939</v>
      </c>
      <c r="G2098" s="15"/>
      <c r="H2098" s="16"/>
      <c r="I2098" s="14"/>
    </row>
    <row r="2099">
      <c r="A2099" s="14">
        <v>661.0</v>
      </c>
      <c r="B2099" s="14">
        <v>6.1535506E7</v>
      </c>
      <c r="C2099" s="14">
        <v>2.48026341E8</v>
      </c>
      <c r="D2099" s="2" t="s">
        <v>2630</v>
      </c>
      <c r="E2099" s="1" t="s">
        <v>121</v>
      </c>
      <c r="F2099" s="14">
        <v>0.4939</v>
      </c>
      <c r="G2099" s="15"/>
      <c r="H2099" s="16"/>
      <c r="I2099" s="14"/>
    </row>
    <row r="2100">
      <c r="A2100" s="14">
        <v>129.0</v>
      </c>
      <c r="B2100" s="14">
        <v>8.4803178E7</v>
      </c>
      <c r="C2100" s="14">
        <v>3.91231161E8</v>
      </c>
      <c r="D2100" s="2" t="s">
        <v>1442</v>
      </c>
      <c r="E2100" s="1" t="s">
        <v>121</v>
      </c>
      <c r="F2100" s="14">
        <v>0.4939</v>
      </c>
      <c r="G2100" s="15"/>
      <c r="H2100" s="16"/>
      <c r="I2100" s="14"/>
    </row>
    <row r="2101">
      <c r="A2101" s="14">
        <v>484.0</v>
      </c>
      <c r="B2101" s="14">
        <v>8.5331934E7</v>
      </c>
      <c r="C2101" s="14">
        <v>3.71824494E8</v>
      </c>
      <c r="D2101" s="2" t="s">
        <v>1408</v>
      </c>
      <c r="E2101" s="1" t="s">
        <v>121</v>
      </c>
      <c r="F2101" s="14">
        <v>0.4939</v>
      </c>
      <c r="G2101" s="15"/>
      <c r="H2101" s="16"/>
      <c r="I2101" s="14"/>
    </row>
    <row r="2102">
      <c r="A2102" s="14">
        <v>380.0</v>
      </c>
      <c r="B2102" s="14">
        <v>6166574.0</v>
      </c>
      <c r="C2102" s="14">
        <v>2.6248307E7</v>
      </c>
      <c r="D2102" s="2" t="s">
        <v>4449</v>
      </c>
      <c r="E2102" s="1" t="s">
        <v>121</v>
      </c>
      <c r="F2102" s="14">
        <v>0.4933</v>
      </c>
      <c r="G2102" s="15"/>
      <c r="H2102" s="16"/>
      <c r="I2102" s="14"/>
    </row>
    <row r="2103">
      <c r="A2103" s="14">
        <v>403.0</v>
      </c>
      <c r="B2103" s="14">
        <v>2855838.0</v>
      </c>
      <c r="C2103" s="14">
        <v>2.33383932E8</v>
      </c>
      <c r="D2103" s="2" t="s">
        <v>4451</v>
      </c>
      <c r="E2103" s="1" t="s">
        <v>107</v>
      </c>
      <c r="F2103" s="14">
        <v>0.4927</v>
      </c>
      <c r="G2103" s="15"/>
      <c r="H2103" s="16"/>
      <c r="I2103" s="14"/>
    </row>
    <row r="2104">
      <c r="A2104" s="14">
        <v>353.0</v>
      </c>
      <c r="B2104" s="14">
        <v>2.8553288E7</v>
      </c>
      <c r="C2104" s="14">
        <v>1.96320219E8</v>
      </c>
      <c r="D2104" s="2" t="s">
        <v>3626</v>
      </c>
      <c r="E2104" s="1" t="s">
        <v>107</v>
      </c>
      <c r="F2104" s="14">
        <v>0.4927</v>
      </c>
      <c r="G2104" s="15"/>
      <c r="H2104" s="16"/>
      <c r="I2104" s="14"/>
    </row>
    <row r="2105">
      <c r="A2105" s="14">
        <v>610.0</v>
      </c>
      <c r="B2105" s="14">
        <v>4.8295772E7</v>
      </c>
      <c r="C2105" s="14">
        <v>1.91403781E8</v>
      </c>
      <c r="D2105" s="2" t="s">
        <v>3090</v>
      </c>
      <c r="E2105" s="1" t="s">
        <v>107</v>
      </c>
      <c r="F2105" s="14">
        <v>0.4927</v>
      </c>
      <c r="G2105" s="15"/>
      <c r="H2105" s="16"/>
      <c r="I2105" s="14"/>
    </row>
    <row r="2106">
      <c r="A2106" s="14">
        <v>593.0</v>
      </c>
      <c r="B2106" s="14">
        <v>8.9181584E7</v>
      </c>
      <c r="C2106" s="14">
        <v>3.77780098E8</v>
      </c>
      <c r="D2106" s="2" t="s">
        <v>1175</v>
      </c>
      <c r="E2106" s="1" t="s">
        <v>107</v>
      </c>
      <c r="F2106" s="14">
        <v>0.4927</v>
      </c>
      <c r="G2106" s="15"/>
      <c r="H2106" s="16"/>
      <c r="I2106" s="14"/>
    </row>
    <row r="2107">
      <c r="A2107" s="14">
        <v>402.0</v>
      </c>
      <c r="B2107" s="14">
        <v>1.9456813E7</v>
      </c>
      <c r="C2107" s="14">
        <v>8.1364984E7</v>
      </c>
      <c r="D2107" s="2" t="s">
        <v>3893</v>
      </c>
      <c r="E2107" s="1" t="s">
        <v>107</v>
      </c>
      <c r="F2107" s="14">
        <v>0.4926</v>
      </c>
      <c r="G2107" s="15"/>
      <c r="H2107" s="16"/>
      <c r="I2107" s="14"/>
    </row>
    <row r="2108">
      <c r="A2108" s="14">
        <v>414.0</v>
      </c>
      <c r="B2108" s="14">
        <v>5.1200796E7</v>
      </c>
      <c r="C2108" s="14">
        <v>2.0296329E8</v>
      </c>
      <c r="D2108" s="2" t="s">
        <v>2980</v>
      </c>
      <c r="E2108" s="1" t="s">
        <v>107</v>
      </c>
      <c r="F2108" s="14">
        <v>0.4926</v>
      </c>
      <c r="G2108" s="15"/>
      <c r="H2108" s="16"/>
      <c r="I2108" s="14"/>
    </row>
    <row r="2109">
      <c r="A2109" s="14">
        <v>488.0</v>
      </c>
      <c r="B2109" s="14">
        <v>5.3332069E7</v>
      </c>
      <c r="C2109" s="14">
        <v>2.11466339E8</v>
      </c>
      <c r="D2109" s="2" t="s">
        <v>2901</v>
      </c>
      <c r="E2109" s="1" t="s">
        <v>107</v>
      </c>
      <c r="F2109" s="14">
        <v>0.4926</v>
      </c>
      <c r="G2109" s="15"/>
      <c r="H2109" s="16"/>
      <c r="I2109" s="14"/>
    </row>
    <row r="2110">
      <c r="A2110" s="14">
        <v>179.0</v>
      </c>
      <c r="B2110" s="14">
        <v>9.9712716E7</v>
      </c>
      <c r="C2110" s="14">
        <v>4.59936769E8</v>
      </c>
      <c r="D2110" s="2" t="s">
        <v>603</v>
      </c>
      <c r="E2110" s="1" t="s">
        <v>107</v>
      </c>
      <c r="F2110" s="14">
        <v>0.4926</v>
      </c>
      <c r="G2110" s="15"/>
      <c r="H2110" s="16"/>
      <c r="I2110" s="14"/>
    </row>
    <row r="2111">
      <c r="A2111" s="14">
        <v>677.0</v>
      </c>
      <c r="B2111" s="14">
        <v>5408442.0</v>
      </c>
      <c r="C2111" s="14">
        <v>2.3121944E7</v>
      </c>
      <c r="D2111" s="2" t="s">
        <v>4460</v>
      </c>
      <c r="E2111" s="1" t="s">
        <v>699</v>
      </c>
      <c r="F2111" s="14">
        <v>0.4926</v>
      </c>
      <c r="G2111" s="15"/>
      <c r="H2111" s="16"/>
      <c r="I2111" s="14"/>
    </row>
    <row r="2112">
      <c r="A2112" s="14">
        <v>676.0</v>
      </c>
      <c r="B2112" s="14">
        <v>1.0849155E7</v>
      </c>
      <c r="C2112" s="14">
        <v>4.6148871E7</v>
      </c>
      <c r="D2112" s="2" t="s">
        <v>4330</v>
      </c>
      <c r="E2112" s="1" t="s">
        <v>699</v>
      </c>
      <c r="F2112" s="14">
        <v>0.4926</v>
      </c>
      <c r="G2112" s="15"/>
      <c r="H2112" s="16"/>
      <c r="I2112" s="14"/>
    </row>
    <row r="2113">
      <c r="A2113" s="14">
        <v>172.0</v>
      </c>
      <c r="B2113" s="14">
        <v>1.7576125E7</v>
      </c>
      <c r="C2113" s="14">
        <v>7.4281755E7</v>
      </c>
      <c r="D2113" s="2" t="s">
        <v>3956</v>
      </c>
      <c r="E2113" s="1" t="s">
        <v>699</v>
      </c>
      <c r="F2113" s="14">
        <v>0.4926</v>
      </c>
      <c r="G2113" s="15"/>
      <c r="H2113" s="16"/>
      <c r="I2113" s="14"/>
    </row>
    <row r="2114">
      <c r="A2114" s="14">
        <v>120.0</v>
      </c>
      <c r="B2114" s="14">
        <v>1.9636565E7</v>
      </c>
      <c r="C2114" s="14">
        <v>8.2019676E7</v>
      </c>
      <c r="D2114" s="2" t="s">
        <v>3887</v>
      </c>
      <c r="E2114" s="1" t="s">
        <v>699</v>
      </c>
      <c r="F2114" s="14">
        <v>0.4926</v>
      </c>
      <c r="G2114" s="15"/>
      <c r="H2114" s="16"/>
      <c r="I2114" s="14"/>
    </row>
    <row r="2115">
      <c r="A2115" s="14">
        <v>610.0</v>
      </c>
      <c r="B2115" s="14">
        <v>3.1244729E7</v>
      </c>
      <c r="C2115" s="14">
        <v>1.25315615E8</v>
      </c>
      <c r="D2115" s="2" t="s">
        <v>3559</v>
      </c>
      <c r="E2115" s="1" t="s">
        <v>699</v>
      </c>
      <c r="F2115" s="14">
        <v>0.4926</v>
      </c>
      <c r="G2115" s="15"/>
      <c r="H2115" s="16"/>
      <c r="I2115" s="14"/>
    </row>
    <row r="2116">
      <c r="A2116" s="14">
        <v>629.0</v>
      </c>
      <c r="B2116" s="14">
        <v>4.167418E7</v>
      </c>
      <c r="C2116" s="14">
        <v>1.6492312E8</v>
      </c>
      <c r="D2116" s="2" t="s">
        <v>3331</v>
      </c>
      <c r="E2116" s="1" t="s">
        <v>699</v>
      </c>
      <c r="F2116" s="14">
        <v>0.4926</v>
      </c>
      <c r="G2116" s="15"/>
      <c r="H2116" s="16"/>
      <c r="I2116" s="14"/>
    </row>
    <row r="2117">
      <c r="A2117" s="14">
        <v>641.0</v>
      </c>
      <c r="B2117" s="14">
        <v>4.3319857E7</v>
      </c>
      <c r="C2117" s="14">
        <v>1.71375593E8</v>
      </c>
      <c r="D2117" s="2" t="s">
        <v>3286</v>
      </c>
      <c r="E2117" s="1" t="s">
        <v>699</v>
      </c>
      <c r="F2117" s="14">
        <v>0.4926</v>
      </c>
      <c r="G2117" s="15"/>
      <c r="H2117" s="16"/>
      <c r="I2117" s="14"/>
    </row>
    <row r="2118">
      <c r="A2118" s="14">
        <v>461.0</v>
      </c>
      <c r="B2118" s="14">
        <v>4.432424E7</v>
      </c>
      <c r="C2118" s="14">
        <v>1.75126361E8</v>
      </c>
      <c r="D2118" s="2" t="s">
        <v>3261</v>
      </c>
      <c r="E2118" s="1" t="s">
        <v>699</v>
      </c>
      <c r="F2118" s="14">
        <v>0.4926</v>
      </c>
      <c r="G2118" s="15"/>
      <c r="H2118" s="16"/>
      <c r="I2118" s="14"/>
    </row>
    <row r="2119">
      <c r="A2119" s="14">
        <v>410.0</v>
      </c>
      <c r="B2119" s="14">
        <v>4.7430236E7</v>
      </c>
      <c r="C2119" s="14">
        <v>1.87662774E8</v>
      </c>
      <c r="D2119" s="2" t="s">
        <v>3139</v>
      </c>
      <c r="E2119" s="1" t="s">
        <v>699</v>
      </c>
      <c r="F2119" s="14">
        <v>0.4926</v>
      </c>
      <c r="G2119" s="15"/>
      <c r="H2119" s="16"/>
      <c r="I2119" s="14"/>
    </row>
    <row r="2120">
      <c r="A2120" s="14">
        <v>575.0</v>
      </c>
      <c r="B2120" s="14">
        <v>5.1799439E7</v>
      </c>
      <c r="C2120" s="14">
        <v>2.05430447E8</v>
      </c>
      <c r="D2120" s="2" t="s">
        <v>2954</v>
      </c>
      <c r="E2120" s="1" t="s">
        <v>699</v>
      </c>
      <c r="F2120" s="14">
        <v>0.4926</v>
      </c>
      <c r="G2120" s="15"/>
      <c r="H2120" s="16"/>
      <c r="I2120" s="14"/>
    </row>
    <row r="2121">
      <c r="A2121" s="14">
        <v>586.0</v>
      </c>
      <c r="B2121" s="14">
        <v>6.3936561E7</v>
      </c>
      <c r="C2121" s="14">
        <v>2.59579435E8</v>
      </c>
      <c r="D2121" s="2" t="s">
        <v>2531</v>
      </c>
      <c r="E2121" s="1" t="s">
        <v>699</v>
      </c>
      <c r="F2121" s="14">
        <v>0.4926</v>
      </c>
      <c r="G2121" s="15"/>
      <c r="H2121" s="16"/>
      <c r="I2121" s="14"/>
    </row>
    <row r="2122">
      <c r="A2122" s="14">
        <v>671.0</v>
      </c>
      <c r="B2122" s="14">
        <v>6.416853E7</v>
      </c>
      <c r="C2122" s="14">
        <v>2.73274793E8</v>
      </c>
      <c r="D2122" s="2" t="s">
        <v>2527</v>
      </c>
      <c r="E2122" s="1" t="s">
        <v>699</v>
      </c>
      <c r="F2122" s="14">
        <v>0.4926</v>
      </c>
      <c r="G2122" s="15"/>
      <c r="H2122" s="16"/>
      <c r="I2122" s="14"/>
    </row>
    <row r="2123">
      <c r="A2123" s="14">
        <v>712.0</v>
      </c>
      <c r="B2123" s="14">
        <v>7.9741664E7</v>
      </c>
      <c r="C2123" s="14">
        <v>3.32962318E8</v>
      </c>
      <c r="D2123" s="2" t="s">
        <v>1752</v>
      </c>
      <c r="E2123" s="1" t="s">
        <v>699</v>
      </c>
      <c r="F2123" s="14">
        <v>0.4926</v>
      </c>
      <c r="G2123" s="15"/>
      <c r="H2123" s="16"/>
      <c r="I2123" s="14"/>
    </row>
    <row r="2124">
      <c r="A2124" s="14">
        <v>210.0</v>
      </c>
      <c r="B2124" s="14">
        <v>8.143703E7</v>
      </c>
      <c r="C2124" s="14">
        <v>3.40888643E8</v>
      </c>
      <c r="D2124" s="2" t="s">
        <v>1672</v>
      </c>
      <c r="E2124" s="1" t="s">
        <v>699</v>
      </c>
      <c r="F2124" s="14">
        <v>0.4926</v>
      </c>
      <c r="G2124" s="15"/>
      <c r="H2124" s="16"/>
      <c r="I2124" s="14"/>
    </row>
    <row r="2125">
      <c r="A2125" s="14">
        <v>587.0</v>
      </c>
      <c r="B2125" s="14">
        <v>8.965049E7</v>
      </c>
      <c r="C2125" s="14">
        <v>3.79843051E8</v>
      </c>
      <c r="D2125" s="2" t="s">
        <v>1162</v>
      </c>
      <c r="E2125" s="1" t="s">
        <v>699</v>
      </c>
      <c r="F2125" s="14">
        <v>0.4926</v>
      </c>
      <c r="G2125" s="15"/>
      <c r="H2125" s="16"/>
      <c r="I2125" s="14"/>
    </row>
    <row r="2126">
      <c r="A2126" s="14">
        <v>498.0</v>
      </c>
      <c r="B2126" s="14">
        <v>9.3606427E7</v>
      </c>
      <c r="C2126" s="14">
        <v>3.97869545E8</v>
      </c>
      <c r="D2126" s="2" t="s">
        <v>958</v>
      </c>
      <c r="E2126" s="1" t="s">
        <v>699</v>
      </c>
      <c r="F2126" s="14">
        <v>0.4926</v>
      </c>
      <c r="G2126" s="15"/>
      <c r="H2126" s="16"/>
      <c r="I2126" s="14"/>
    </row>
    <row r="2127">
      <c r="A2127" s="14">
        <v>587.0</v>
      </c>
      <c r="B2127" s="14">
        <v>1.08315268E8</v>
      </c>
      <c r="C2127" s="14">
        <v>4.68174388E8</v>
      </c>
      <c r="D2127" s="2" t="s">
        <v>186</v>
      </c>
      <c r="E2127" s="1" t="s">
        <v>699</v>
      </c>
      <c r="F2127" s="14">
        <v>0.4926</v>
      </c>
      <c r="G2127" s="15"/>
      <c r="H2127" s="16"/>
      <c r="I2127" s="14"/>
    </row>
    <row r="2128">
      <c r="A2128" s="14">
        <v>403.0</v>
      </c>
      <c r="B2128" s="14">
        <v>5193160.0</v>
      </c>
      <c r="C2128" s="14">
        <v>2.2130795E7</v>
      </c>
      <c r="D2128" s="2" t="s">
        <v>4477</v>
      </c>
      <c r="E2128" s="1" t="s">
        <v>121</v>
      </c>
      <c r="F2128" s="14">
        <v>0.4926</v>
      </c>
      <c r="G2128" s="15"/>
      <c r="H2128" s="16"/>
      <c r="I2128" s="14"/>
    </row>
    <row r="2129">
      <c r="A2129" s="14">
        <v>475.0</v>
      </c>
      <c r="B2129" s="14">
        <v>1.1390772E7</v>
      </c>
      <c r="C2129" s="14">
        <v>4.8441359E7</v>
      </c>
      <c r="D2129" s="2" t="s">
        <v>4293</v>
      </c>
      <c r="E2129" s="1" t="s">
        <v>121</v>
      </c>
      <c r="F2129" s="14">
        <v>0.4926</v>
      </c>
      <c r="G2129" s="15"/>
      <c r="H2129" s="16"/>
      <c r="I2129" s="14"/>
    </row>
    <row r="2130">
      <c r="A2130" s="14">
        <v>571.0</v>
      </c>
      <c r="B2130" s="14">
        <v>1.4365823E7</v>
      </c>
      <c r="C2130" s="14">
        <v>6.1131793E7</v>
      </c>
      <c r="D2130" s="2" t="s">
        <v>4135</v>
      </c>
      <c r="E2130" s="1" t="s">
        <v>121</v>
      </c>
      <c r="F2130" s="14">
        <v>0.4926</v>
      </c>
      <c r="G2130" s="15"/>
      <c r="H2130" s="16"/>
      <c r="I2130" s="14"/>
    </row>
    <row r="2131">
      <c r="A2131" s="14">
        <v>671.0</v>
      </c>
      <c r="B2131" s="14">
        <v>1.8136793E7</v>
      </c>
      <c r="C2131" s="14">
        <v>7.6369947E7</v>
      </c>
      <c r="D2131" s="2" t="s">
        <v>3928</v>
      </c>
      <c r="E2131" s="1" t="s">
        <v>121</v>
      </c>
      <c r="F2131" s="14">
        <v>0.4926</v>
      </c>
      <c r="G2131" s="15"/>
      <c r="H2131" s="16"/>
      <c r="I2131" s="14"/>
    </row>
    <row r="2132">
      <c r="A2132" s="14">
        <v>587.0</v>
      </c>
      <c r="B2132" s="14">
        <v>2.3937968E7</v>
      </c>
      <c r="C2132" s="14">
        <v>9.8423184E7</v>
      </c>
      <c r="D2132" s="2" t="s">
        <v>3755</v>
      </c>
      <c r="E2132" s="1" t="s">
        <v>121</v>
      </c>
      <c r="F2132" s="14">
        <v>0.4924</v>
      </c>
      <c r="G2132" s="15"/>
      <c r="H2132" s="16"/>
      <c r="I2132" s="14"/>
    </row>
    <row r="2133">
      <c r="A2133" s="14">
        <v>671.0</v>
      </c>
      <c r="B2133" s="14">
        <v>4296673.0</v>
      </c>
      <c r="C2133" s="14">
        <v>1.8197369E7</v>
      </c>
      <c r="D2133" s="2" t="s">
        <v>4483</v>
      </c>
      <c r="E2133" s="1" t="s">
        <v>121</v>
      </c>
      <c r="F2133" s="14">
        <v>0.4917</v>
      </c>
      <c r="G2133" s="15"/>
      <c r="H2133" s="16"/>
      <c r="I2133" s="14"/>
    </row>
    <row r="2134">
      <c r="A2134" s="14">
        <v>546.0</v>
      </c>
      <c r="B2134" s="14">
        <v>1.12375026E8</v>
      </c>
      <c r="C2134" s="14">
        <v>4.87845181E8</v>
      </c>
      <c r="D2134" s="2" t="s">
        <v>29</v>
      </c>
      <c r="E2134" s="1" t="s">
        <v>107</v>
      </c>
      <c r="F2134" s="14">
        <v>0.4914</v>
      </c>
      <c r="G2134" s="15"/>
      <c r="H2134" s="16"/>
      <c r="I2134" s="14"/>
    </row>
    <row r="2135">
      <c r="A2135" s="14">
        <v>671.0</v>
      </c>
      <c r="B2135" s="14">
        <v>6223196.0</v>
      </c>
      <c r="C2135" s="14">
        <v>2.6509226E7</v>
      </c>
      <c r="D2135" s="2" t="s">
        <v>4486</v>
      </c>
      <c r="E2135" s="1" t="s">
        <v>107</v>
      </c>
      <c r="F2135" s="14">
        <v>0.4866</v>
      </c>
      <c r="G2135" s="15"/>
      <c r="H2135" s="16"/>
      <c r="I2135" s="14"/>
    </row>
    <row r="2136">
      <c r="A2136" s="14">
        <v>414.0</v>
      </c>
      <c r="B2136" s="14">
        <v>4.4001677E7</v>
      </c>
      <c r="C2136" s="14">
        <v>1.73790401E8</v>
      </c>
      <c r="D2136" s="2" t="s">
        <v>3269</v>
      </c>
      <c r="E2136" s="1" t="s">
        <v>121</v>
      </c>
      <c r="F2136" s="14">
        <v>0.4857</v>
      </c>
      <c r="G2136" s="15"/>
      <c r="H2136" s="16"/>
      <c r="I2136" s="14"/>
    </row>
    <row r="2137">
      <c r="A2137" s="14">
        <v>571.0</v>
      </c>
      <c r="B2137" s="14">
        <v>1130060.0</v>
      </c>
      <c r="C2137" s="14">
        <v>1.09894806E8</v>
      </c>
      <c r="D2137" s="2" t="s">
        <v>4488</v>
      </c>
      <c r="E2137" s="1" t="s">
        <v>121</v>
      </c>
      <c r="F2137" s="14">
        <v>0.4854</v>
      </c>
      <c r="G2137" s="15"/>
      <c r="H2137" s="16"/>
      <c r="I2137" s="14"/>
    </row>
    <row r="2138">
      <c r="A2138" s="14">
        <v>571.0</v>
      </c>
      <c r="B2138" s="14">
        <v>6.2129029E7</v>
      </c>
      <c r="C2138" s="14">
        <v>2.5115332E8</v>
      </c>
      <c r="D2138" s="2" t="s">
        <v>2607</v>
      </c>
      <c r="E2138" s="1" t="s">
        <v>121</v>
      </c>
      <c r="F2138" s="14">
        <v>0.483</v>
      </c>
      <c r="G2138" s="15"/>
      <c r="H2138" s="16"/>
      <c r="I2138" s="14"/>
    </row>
    <row r="2139">
      <c r="A2139" s="14">
        <v>395.0</v>
      </c>
      <c r="B2139" s="14">
        <v>1.3876038E7</v>
      </c>
      <c r="C2139" s="14">
        <v>5.9000665E7</v>
      </c>
      <c r="D2139" s="2" t="s">
        <v>4166</v>
      </c>
      <c r="E2139" s="1" t="s">
        <v>699</v>
      </c>
      <c r="F2139" s="14">
        <v>0.481</v>
      </c>
      <c r="G2139" s="15"/>
      <c r="H2139" s="16"/>
      <c r="I2139" s="14"/>
    </row>
    <row r="2140">
      <c r="A2140" s="14">
        <v>504.0</v>
      </c>
      <c r="B2140" s="14">
        <v>1.9142041E7</v>
      </c>
      <c r="C2140" s="14">
        <v>8.0218882E7</v>
      </c>
      <c r="D2140" s="2" t="s">
        <v>3899</v>
      </c>
      <c r="E2140" s="1" t="s">
        <v>121</v>
      </c>
      <c r="F2140" s="14">
        <v>0.4789</v>
      </c>
      <c r="G2140" s="15"/>
      <c r="H2140" s="16"/>
      <c r="I2140" s="14"/>
    </row>
    <row r="2141">
      <c r="A2141" s="14">
        <v>365.0</v>
      </c>
      <c r="B2141" s="14">
        <v>4.7915971E7</v>
      </c>
      <c r="C2141" s="14">
        <v>1.89321661E8</v>
      </c>
      <c r="D2141" s="2" t="s">
        <v>3115</v>
      </c>
      <c r="E2141" s="1" t="s">
        <v>107</v>
      </c>
      <c r="F2141" s="14">
        <v>0.4767</v>
      </c>
      <c r="G2141" s="15"/>
      <c r="H2141" s="16"/>
      <c r="I2141" s="14"/>
    </row>
    <row r="2142">
      <c r="A2142" s="14">
        <v>210.0</v>
      </c>
      <c r="B2142" s="14">
        <v>8.0417817E7</v>
      </c>
      <c r="C2142" s="14">
        <v>4.39597706E8</v>
      </c>
      <c r="D2142" s="2" t="s">
        <v>1727</v>
      </c>
      <c r="E2142" s="1" t="s">
        <v>107</v>
      </c>
      <c r="F2142" s="14">
        <v>0.4767</v>
      </c>
      <c r="G2142" s="15"/>
      <c r="H2142" s="16"/>
      <c r="I2142" s="14"/>
    </row>
    <row r="2143">
      <c r="A2143" s="14">
        <v>120.0</v>
      </c>
      <c r="B2143" s="14">
        <v>306395.0</v>
      </c>
      <c r="C2143" s="14">
        <v>1.82544857E8</v>
      </c>
      <c r="D2143" s="2" t="s">
        <v>1184</v>
      </c>
      <c r="E2143" s="1" t="s">
        <v>699</v>
      </c>
      <c r="F2143" s="14">
        <v>0.4767</v>
      </c>
      <c r="G2143" s="15"/>
      <c r="H2143" s="16"/>
      <c r="I2143" s="14"/>
    </row>
    <row r="2144">
      <c r="A2144" s="14">
        <v>522.0</v>
      </c>
      <c r="B2144" s="14">
        <v>1307233.0</v>
      </c>
      <c r="C2144" s="14">
        <v>2.23797322E8</v>
      </c>
      <c r="D2144" s="2" t="s">
        <v>1184</v>
      </c>
      <c r="E2144" s="1" t="s">
        <v>699</v>
      </c>
      <c r="F2144" s="14">
        <v>0.4767</v>
      </c>
      <c r="G2144" s="15"/>
      <c r="H2144" s="16"/>
      <c r="I2144" s="14"/>
    </row>
    <row r="2145">
      <c r="A2145" s="14">
        <v>522.0</v>
      </c>
      <c r="B2145" s="14">
        <v>5053854.0</v>
      </c>
      <c r="C2145" s="14">
        <v>8.3775441E7</v>
      </c>
      <c r="D2145" s="2" t="s">
        <v>1184</v>
      </c>
      <c r="E2145" s="1" t="s">
        <v>699</v>
      </c>
      <c r="F2145" s="14">
        <v>0.4767</v>
      </c>
      <c r="G2145" s="15"/>
      <c r="H2145" s="16"/>
      <c r="I2145" s="14"/>
    </row>
    <row r="2146">
      <c r="A2146" s="14">
        <v>339.0</v>
      </c>
      <c r="B2146" s="14">
        <v>6631461.0</v>
      </c>
      <c r="C2146" s="14">
        <v>6.9122553E7</v>
      </c>
      <c r="D2146" s="2" t="s">
        <v>4492</v>
      </c>
      <c r="E2146" s="1" t="s">
        <v>699</v>
      </c>
      <c r="F2146" s="14">
        <v>0.4767</v>
      </c>
      <c r="G2146" s="15"/>
      <c r="H2146" s="16"/>
      <c r="I2146" s="14"/>
    </row>
    <row r="2147">
      <c r="A2147" s="14">
        <v>578.0</v>
      </c>
      <c r="B2147" s="14">
        <v>1.0612238E7</v>
      </c>
      <c r="C2147" s="14">
        <v>4.5284959E7</v>
      </c>
      <c r="D2147" s="2" t="s">
        <v>4349</v>
      </c>
      <c r="E2147" s="1" t="s">
        <v>699</v>
      </c>
      <c r="F2147" s="14">
        <v>0.4767</v>
      </c>
      <c r="G2147" s="15"/>
      <c r="H2147" s="16"/>
      <c r="I2147" s="14"/>
    </row>
    <row r="2148">
      <c r="A2148" s="14">
        <v>172.0</v>
      </c>
      <c r="B2148" s="14">
        <v>1.4223583E7</v>
      </c>
      <c r="C2148" s="14">
        <v>6.0463177E7</v>
      </c>
      <c r="D2148" s="2" t="s">
        <v>1184</v>
      </c>
      <c r="E2148" s="1" t="s">
        <v>699</v>
      </c>
      <c r="F2148" s="14">
        <v>0.4767</v>
      </c>
      <c r="G2148" s="15"/>
      <c r="H2148" s="16"/>
      <c r="I2148" s="14"/>
    </row>
    <row r="2149">
      <c r="A2149" s="14">
        <v>522.0</v>
      </c>
      <c r="B2149" s="14">
        <v>2.7620428E7</v>
      </c>
      <c r="C2149" s="14">
        <v>1.81173263E8</v>
      </c>
      <c r="D2149" s="2" t="s">
        <v>1184</v>
      </c>
      <c r="E2149" s="1" t="s">
        <v>699</v>
      </c>
      <c r="F2149" s="14">
        <v>0.4767</v>
      </c>
      <c r="G2149" s="15"/>
      <c r="H2149" s="16"/>
      <c r="I2149" s="14"/>
    </row>
    <row r="2150">
      <c r="A2150" s="14">
        <v>215.0</v>
      </c>
      <c r="B2150" s="14">
        <v>4.2374616E7</v>
      </c>
      <c r="C2150" s="14">
        <v>1.68102503E8</v>
      </c>
      <c r="D2150" s="2" t="s">
        <v>1184</v>
      </c>
      <c r="E2150" s="1" t="s">
        <v>699</v>
      </c>
      <c r="F2150" s="14">
        <v>0.4767</v>
      </c>
      <c r="G2150" s="15"/>
      <c r="H2150" s="16"/>
      <c r="I2150" s="14"/>
    </row>
    <row r="2151">
      <c r="A2151" s="14">
        <v>602.0</v>
      </c>
      <c r="B2151" s="14">
        <v>5.7800253E7</v>
      </c>
      <c r="C2151" s="14">
        <v>2.30500141E8</v>
      </c>
      <c r="D2151" s="2" t="s">
        <v>1184</v>
      </c>
      <c r="E2151" s="1" t="s">
        <v>699</v>
      </c>
      <c r="F2151" s="14">
        <v>0.4767</v>
      </c>
      <c r="G2151" s="15"/>
      <c r="H2151" s="16"/>
      <c r="I2151" s="14"/>
    </row>
    <row r="2152">
      <c r="A2152" s="14">
        <v>337.0</v>
      </c>
      <c r="B2152" s="14">
        <v>8.9084688E7</v>
      </c>
      <c r="C2152" s="14">
        <v>3.77477632E8</v>
      </c>
      <c r="D2152" s="2" t="s">
        <v>1184</v>
      </c>
      <c r="E2152" s="1" t="s">
        <v>699</v>
      </c>
      <c r="F2152" s="14">
        <v>0.4767</v>
      </c>
      <c r="G2152" s="15"/>
      <c r="H2152" s="16"/>
      <c r="I2152" s="14"/>
    </row>
    <row r="2153">
      <c r="A2153" s="14">
        <v>406.0</v>
      </c>
      <c r="B2153" s="14">
        <v>1.06601491E8</v>
      </c>
      <c r="C2153" s="14">
        <v>4.59713023E8</v>
      </c>
      <c r="D2153" s="2" t="s">
        <v>281</v>
      </c>
      <c r="E2153" s="1" t="s">
        <v>699</v>
      </c>
      <c r="F2153" s="14">
        <v>0.4767</v>
      </c>
      <c r="G2153" s="15"/>
      <c r="H2153" s="16"/>
      <c r="I2153" s="14"/>
    </row>
    <row r="2154">
      <c r="A2154" s="14">
        <v>120.0</v>
      </c>
      <c r="B2154" s="14">
        <v>111535.0</v>
      </c>
      <c r="C2154" s="14">
        <v>423426.0</v>
      </c>
      <c r="D2154" s="2" t="s">
        <v>4499</v>
      </c>
      <c r="E2154" s="1" t="s">
        <v>121</v>
      </c>
      <c r="F2154" s="14">
        <v>0.4767</v>
      </c>
      <c r="G2154" s="15"/>
      <c r="H2154" s="16"/>
      <c r="I2154" s="14"/>
    </row>
    <row r="2155">
      <c r="A2155" s="14">
        <v>531.0</v>
      </c>
      <c r="B2155" s="14">
        <v>1.5413611E7</v>
      </c>
      <c r="C2155" s="14">
        <v>6.5686034E7</v>
      </c>
      <c r="D2155" s="2" t="s">
        <v>4072</v>
      </c>
      <c r="E2155" s="1" t="s">
        <v>121</v>
      </c>
      <c r="F2155" s="14">
        <v>0.4767</v>
      </c>
      <c r="G2155" s="15"/>
      <c r="H2155" s="16"/>
      <c r="I2155" s="14"/>
    </row>
    <row r="2156">
      <c r="A2156" s="14">
        <v>671.0</v>
      </c>
      <c r="B2156" s="14">
        <v>1.6270426E7</v>
      </c>
      <c r="C2156" s="14">
        <v>6.9126065E7</v>
      </c>
      <c r="D2156" s="2" t="s">
        <v>4013</v>
      </c>
      <c r="E2156" s="1" t="s">
        <v>121</v>
      </c>
      <c r="F2156" s="14">
        <v>0.4767</v>
      </c>
      <c r="G2156" s="15"/>
      <c r="H2156" s="16"/>
      <c r="I2156" s="14"/>
    </row>
    <row r="2157">
      <c r="A2157" s="14">
        <v>355.0</v>
      </c>
      <c r="B2157" s="14">
        <v>1.989358E7</v>
      </c>
      <c r="C2157" s="14">
        <v>8.2937692E7</v>
      </c>
      <c r="D2157" s="2" t="s">
        <v>3881</v>
      </c>
      <c r="E2157" s="1" t="s">
        <v>121</v>
      </c>
      <c r="F2157" s="14">
        <v>0.4767</v>
      </c>
      <c r="G2157" s="15"/>
      <c r="H2157" s="16"/>
      <c r="I2157" s="14"/>
    </row>
    <row r="2158">
      <c r="A2158" s="14">
        <v>394.0</v>
      </c>
      <c r="B2158" s="14">
        <v>2.2825944E7</v>
      </c>
      <c r="C2158" s="14">
        <v>9.4025954E7</v>
      </c>
      <c r="D2158" s="2" t="s">
        <v>3781</v>
      </c>
      <c r="E2158" s="1" t="s">
        <v>121</v>
      </c>
      <c r="F2158" s="14">
        <v>0.4767</v>
      </c>
      <c r="G2158" s="15"/>
      <c r="H2158" s="16"/>
      <c r="I2158" s="14"/>
    </row>
    <row r="2159">
      <c r="A2159" s="14">
        <v>610.0</v>
      </c>
      <c r="B2159" s="14">
        <v>5.6368379E7</v>
      </c>
      <c r="C2159" s="14">
        <v>2.58532773E8</v>
      </c>
      <c r="D2159" s="2" t="s">
        <v>2807</v>
      </c>
      <c r="E2159" s="1" t="s">
        <v>121</v>
      </c>
      <c r="F2159" s="14">
        <v>0.4767</v>
      </c>
      <c r="G2159" s="15"/>
      <c r="H2159" s="16"/>
      <c r="I2159" s="14"/>
    </row>
    <row r="2160">
      <c r="A2160" s="14">
        <v>343.0</v>
      </c>
      <c r="B2160" s="14">
        <v>8.5112341E7</v>
      </c>
      <c r="C2160" s="14">
        <v>3.58958337E8</v>
      </c>
      <c r="D2160" s="2" t="s">
        <v>1423</v>
      </c>
      <c r="E2160" s="1" t="s">
        <v>121</v>
      </c>
      <c r="F2160" s="14">
        <v>0.4767</v>
      </c>
      <c r="G2160" s="15"/>
      <c r="H2160" s="16"/>
      <c r="I2160" s="14"/>
    </row>
    <row r="2161">
      <c r="A2161" s="14">
        <v>215.0</v>
      </c>
      <c r="B2161" s="14">
        <v>2470353.0</v>
      </c>
      <c r="C2161" s="14">
        <v>1.0529758E7</v>
      </c>
      <c r="D2161" s="2" t="s">
        <v>4503</v>
      </c>
      <c r="E2161" s="1" t="s">
        <v>121</v>
      </c>
      <c r="F2161" s="14">
        <v>0.476</v>
      </c>
      <c r="G2161" s="15"/>
      <c r="H2161" s="16"/>
      <c r="I2161" s="14"/>
    </row>
    <row r="2162">
      <c r="A2162" s="14">
        <v>630.0</v>
      </c>
      <c r="B2162" s="14">
        <v>9300885.0</v>
      </c>
      <c r="C2162" s="14">
        <v>4.3809088E7</v>
      </c>
      <c r="D2162" s="2" t="s">
        <v>4446</v>
      </c>
      <c r="E2162" s="1" t="s">
        <v>121</v>
      </c>
      <c r="F2162" s="14">
        <v>0.4756</v>
      </c>
      <c r="G2162" s="15"/>
      <c r="H2162" s="16"/>
      <c r="I2162" s="14"/>
    </row>
    <row r="2163">
      <c r="A2163" s="14">
        <v>492.0</v>
      </c>
      <c r="B2163" s="14">
        <v>4187289.0</v>
      </c>
      <c r="C2163" s="14">
        <v>1.776689E7</v>
      </c>
      <c r="D2163" s="2" t="s">
        <v>4505</v>
      </c>
      <c r="E2163" s="1" t="s">
        <v>107</v>
      </c>
      <c r="F2163" s="14">
        <v>0.4754</v>
      </c>
      <c r="G2163" s="15"/>
      <c r="H2163" s="16"/>
      <c r="I2163" s="14"/>
    </row>
    <row r="2164">
      <c r="A2164" s="14">
        <v>142.0</v>
      </c>
      <c r="B2164" s="14">
        <v>3319472.0</v>
      </c>
      <c r="C2164" s="14">
        <v>1.4116261E7</v>
      </c>
      <c r="D2164" s="2" t="s">
        <v>4506</v>
      </c>
      <c r="E2164" s="1" t="s">
        <v>121</v>
      </c>
      <c r="F2164" s="14">
        <v>0.4754</v>
      </c>
      <c r="G2164" s="15"/>
      <c r="H2164" s="16"/>
      <c r="I2164" s="14"/>
    </row>
    <row r="2165">
      <c r="A2165" s="14">
        <v>609.0</v>
      </c>
      <c r="B2165" s="14">
        <v>5172812.0</v>
      </c>
      <c r="C2165" s="14">
        <v>2.2039055E7</v>
      </c>
      <c r="D2165" s="2" t="s">
        <v>4507</v>
      </c>
      <c r="E2165" s="1" t="s">
        <v>121</v>
      </c>
      <c r="F2165" s="14">
        <v>0.4754</v>
      </c>
      <c r="G2165" s="15"/>
      <c r="H2165" s="16"/>
      <c r="I2165" s="14"/>
    </row>
    <row r="2166">
      <c r="A2166" s="14">
        <v>694.0</v>
      </c>
      <c r="B2166" s="14">
        <v>1.1711148E7</v>
      </c>
      <c r="C2166" s="14">
        <v>4.9771288E7</v>
      </c>
      <c r="D2166" s="2" t="s">
        <v>4271</v>
      </c>
      <c r="E2166" s="1" t="s">
        <v>121</v>
      </c>
      <c r="F2166" s="14">
        <v>0.4754</v>
      </c>
      <c r="G2166" s="15"/>
      <c r="H2166" s="16"/>
      <c r="I2166" s="14"/>
    </row>
    <row r="2167">
      <c r="A2167" s="14">
        <v>673.0</v>
      </c>
      <c r="B2167" s="14">
        <v>1.2526887E7</v>
      </c>
      <c r="C2167" s="14">
        <v>5.3109467E7</v>
      </c>
      <c r="D2167" s="2" t="s">
        <v>4239</v>
      </c>
      <c r="E2167" s="1" t="s">
        <v>121</v>
      </c>
      <c r="F2167" s="14">
        <v>0.4749</v>
      </c>
      <c r="G2167" s="15"/>
      <c r="H2167" s="16"/>
      <c r="I2167" s="14"/>
    </row>
    <row r="2168">
      <c r="A2168" s="14">
        <v>661.0</v>
      </c>
      <c r="B2168" s="14">
        <v>5.4487784E7</v>
      </c>
      <c r="C2168" s="14">
        <v>2.16100946E8</v>
      </c>
      <c r="D2168" s="2" t="s">
        <v>2859</v>
      </c>
      <c r="E2168" s="1" t="s">
        <v>121</v>
      </c>
      <c r="F2168" s="14">
        <v>0.4748</v>
      </c>
      <c r="G2168" s="15"/>
      <c r="H2168" s="16"/>
      <c r="I2168" s="14"/>
    </row>
    <row r="2169">
      <c r="A2169" s="14">
        <v>285.0</v>
      </c>
      <c r="B2169" s="14">
        <v>654616.0</v>
      </c>
      <c r="C2169" s="14">
        <v>3168113.0</v>
      </c>
      <c r="D2169" s="2" t="s">
        <v>4509</v>
      </c>
      <c r="E2169" s="1" t="s">
        <v>107</v>
      </c>
      <c r="F2169" s="14">
        <v>0.4738</v>
      </c>
      <c r="G2169" s="15"/>
      <c r="H2169" s="16"/>
      <c r="I2169" s="14"/>
    </row>
    <row r="2170">
      <c r="A2170" s="14">
        <v>664.0</v>
      </c>
      <c r="B2170" s="14">
        <v>6253527.0</v>
      </c>
      <c r="C2170" s="14">
        <v>2.6673186E7</v>
      </c>
      <c r="D2170" s="2" t="s">
        <v>4510</v>
      </c>
      <c r="E2170" s="1" t="s">
        <v>107</v>
      </c>
      <c r="F2170" s="14">
        <v>0.4738</v>
      </c>
      <c r="G2170" s="15"/>
      <c r="H2170" s="16"/>
      <c r="I2170" s="14"/>
    </row>
    <row r="2171">
      <c r="A2171" s="14">
        <v>120.0</v>
      </c>
      <c r="B2171" s="14">
        <v>335848.0</v>
      </c>
      <c r="C2171" s="14">
        <v>5154305.0</v>
      </c>
      <c r="D2171" s="2" t="s">
        <v>4513</v>
      </c>
      <c r="E2171" s="1" t="s">
        <v>699</v>
      </c>
      <c r="F2171" s="14">
        <v>0.4738</v>
      </c>
      <c r="G2171" s="15"/>
      <c r="H2171" s="16"/>
      <c r="I2171" s="14"/>
    </row>
    <row r="2172">
      <c r="A2172" s="14">
        <v>210.0</v>
      </c>
      <c r="B2172" s="14">
        <v>1.1364386E7</v>
      </c>
      <c r="C2172" s="14">
        <v>4.845144E7</v>
      </c>
      <c r="D2172" s="2" t="s">
        <v>4294</v>
      </c>
      <c r="E2172" s="1" t="s">
        <v>699</v>
      </c>
      <c r="F2172" s="14">
        <v>0.4738</v>
      </c>
      <c r="G2172" s="15"/>
      <c r="H2172" s="16"/>
      <c r="I2172" s="14"/>
    </row>
    <row r="2173">
      <c r="A2173" s="14">
        <v>215.0</v>
      </c>
      <c r="B2173" s="14">
        <v>1.3576831E7</v>
      </c>
      <c r="C2173" s="14">
        <v>7.1039488E7</v>
      </c>
      <c r="D2173" s="2" t="s">
        <v>4183</v>
      </c>
      <c r="E2173" s="1" t="s">
        <v>699</v>
      </c>
      <c r="F2173" s="14">
        <v>0.4738</v>
      </c>
      <c r="G2173" s="15"/>
      <c r="H2173" s="16"/>
      <c r="I2173" s="14"/>
    </row>
    <row r="2174">
      <c r="A2174" s="14">
        <v>410.0</v>
      </c>
      <c r="B2174" s="14">
        <v>4.1612942E7</v>
      </c>
      <c r="C2174" s="14">
        <v>1.64708358E8</v>
      </c>
      <c r="D2174" s="2" t="s">
        <v>3333</v>
      </c>
      <c r="E2174" s="1" t="s">
        <v>699</v>
      </c>
      <c r="F2174" s="14">
        <v>0.4738</v>
      </c>
      <c r="G2174" s="15"/>
      <c r="H2174" s="16"/>
      <c r="I2174" s="14"/>
    </row>
    <row r="2175">
      <c r="A2175" s="14">
        <v>569.0</v>
      </c>
      <c r="B2175" s="14">
        <v>4.6580321E7</v>
      </c>
      <c r="C2175" s="14">
        <v>1.84321346E8</v>
      </c>
      <c r="D2175" s="2" t="s">
        <v>3182</v>
      </c>
      <c r="E2175" s="1" t="s">
        <v>699</v>
      </c>
      <c r="F2175" s="14">
        <v>0.4738</v>
      </c>
      <c r="G2175" s="15"/>
      <c r="H2175" s="16"/>
      <c r="I2175" s="14"/>
    </row>
    <row r="2176">
      <c r="A2176" s="14">
        <v>355.0</v>
      </c>
      <c r="B2176" s="14">
        <v>4.9393772E7</v>
      </c>
      <c r="C2176" s="14">
        <v>1.95321637E8</v>
      </c>
      <c r="D2176" s="2" t="s">
        <v>3038</v>
      </c>
      <c r="E2176" s="1" t="s">
        <v>699</v>
      </c>
      <c r="F2176" s="14">
        <v>0.4738</v>
      </c>
      <c r="G2176" s="15"/>
      <c r="H2176" s="16"/>
      <c r="I2176" s="14"/>
    </row>
    <row r="2177">
      <c r="A2177" s="14">
        <v>716.0</v>
      </c>
      <c r="B2177" s="14">
        <v>6.9527358E7</v>
      </c>
      <c r="C2177" s="14">
        <v>2.86268995E8</v>
      </c>
      <c r="D2177" s="2" t="s">
        <v>2250</v>
      </c>
      <c r="E2177" s="1" t="s">
        <v>699</v>
      </c>
      <c r="F2177" s="14">
        <v>0.4738</v>
      </c>
      <c r="G2177" s="15"/>
      <c r="H2177" s="16"/>
      <c r="I2177" s="14"/>
    </row>
    <row r="2178">
      <c r="A2178" s="14">
        <v>564.0</v>
      </c>
      <c r="B2178" s="14">
        <v>3110226.0</v>
      </c>
      <c r="C2178" s="14">
        <v>1.3208681E7</v>
      </c>
      <c r="D2178" s="2" t="s">
        <v>4515</v>
      </c>
      <c r="E2178" s="1" t="s">
        <v>121</v>
      </c>
      <c r="F2178" s="14">
        <v>0.4738</v>
      </c>
      <c r="G2178" s="15"/>
      <c r="H2178" s="16"/>
      <c r="I2178" s="14"/>
    </row>
    <row r="2179">
      <c r="A2179" s="14">
        <v>677.0</v>
      </c>
      <c r="B2179" s="14">
        <v>1.07762835E8</v>
      </c>
      <c r="C2179" s="14">
        <v>4.65075021E8</v>
      </c>
      <c r="D2179" s="2" t="s">
        <v>219</v>
      </c>
      <c r="E2179" s="1" t="s">
        <v>107</v>
      </c>
      <c r="F2179" s="14">
        <v>0.4724</v>
      </c>
      <c r="G2179" s="15"/>
      <c r="H2179" s="16"/>
      <c r="I2179" s="14"/>
    </row>
    <row r="2180">
      <c r="A2180" s="14">
        <v>120.0</v>
      </c>
      <c r="B2180" s="14">
        <v>643409.0</v>
      </c>
      <c r="C2180" s="14">
        <v>3115145.0</v>
      </c>
      <c r="D2180" s="2" t="s">
        <v>4518</v>
      </c>
      <c r="E2180" s="1" t="s">
        <v>699</v>
      </c>
      <c r="F2180" s="14">
        <v>0.4724</v>
      </c>
      <c r="G2180" s="15"/>
      <c r="H2180" s="16"/>
      <c r="I2180" s="14"/>
    </row>
    <row r="2181">
      <c r="A2181" s="14">
        <v>410.0</v>
      </c>
      <c r="B2181" s="14">
        <v>2129215.0</v>
      </c>
      <c r="C2181" s="14">
        <v>9143269.0</v>
      </c>
      <c r="D2181" s="2" t="s">
        <v>4519</v>
      </c>
      <c r="E2181" s="1" t="s">
        <v>121</v>
      </c>
      <c r="F2181" s="14">
        <v>0.471</v>
      </c>
      <c r="G2181" s="15"/>
      <c r="H2181" s="16"/>
      <c r="I2181" s="14"/>
    </row>
    <row r="2182">
      <c r="A2182" s="14">
        <v>557.0</v>
      </c>
      <c r="B2182" s="14">
        <v>9.5970851E7</v>
      </c>
      <c r="C2182" s="14">
        <v>4.09263253E8</v>
      </c>
      <c r="D2182" s="2" t="s">
        <v>823</v>
      </c>
      <c r="E2182" s="1" t="s">
        <v>699</v>
      </c>
      <c r="F2182" s="14">
        <v>0.4696</v>
      </c>
      <c r="G2182" s="15"/>
      <c r="H2182" s="16"/>
      <c r="I2182" s="14"/>
    </row>
    <row r="2183">
      <c r="A2183" s="14">
        <v>194.0</v>
      </c>
      <c r="B2183" s="14">
        <v>9.7316347E7</v>
      </c>
      <c r="C2183" s="14">
        <v>4.15710871E8</v>
      </c>
      <c r="D2183" s="2" t="s">
        <v>753</v>
      </c>
      <c r="E2183" s="1" t="s">
        <v>699</v>
      </c>
      <c r="F2183" s="14">
        <v>0.4696</v>
      </c>
      <c r="G2183" s="15"/>
      <c r="H2183" s="16"/>
      <c r="I2183" s="14"/>
    </row>
    <row r="2184">
      <c r="A2184" s="14">
        <v>694.0</v>
      </c>
      <c r="B2184" s="14">
        <v>2.8069951E7</v>
      </c>
      <c r="C2184" s="14">
        <v>1.13190781E8</v>
      </c>
      <c r="D2184" s="2" t="s">
        <v>3643</v>
      </c>
      <c r="E2184" s="1" t="s">
        <v>121</v>
      </c>
      <c r="F2184" s="14">
        <v>0.4678</v>
      </c>
      <c r="G2184" s="15"/>
      <c r="H2184" s="16"/>
      <c r="I2184" s="14"/>
    </row>
    <row r="2185">
      <c r="A2185" s="14">
        <v>597.0</v>
      </c>
      <c r="B2185" s="14">
        <v>2.3291282E7</v>
      </c>
      <c r="C2185" s="14">
        <v>9.6169713E7</v>
      </c>
      <c r="D2185" s="2" t="s">
        <v>3768</v>
      </c>
      <c r="E2185" s="1" t="s">
        <v>121</v>
      </c>
      <c r="F2185" s="14">
        <v>0.4657</v>
      </c>
      <c r="G2185" s="15"/>
      <c r="H2185" s="16"/>
      <c r="I2185" s="14"/>
    </row>
    <row r="2186">
      <c r="A2186" s="14">
        <v>663.0</v>
      </c>
      <c r="B2186" s="14">
        <v>3520844.0</v>
      </c>
      <c r="C2186" s="14">
        <v>1.4918615E7</v>
      </c>
      <c r="D2186" s="2" t="s">
        <v>4521</v>
      </c>
      <c r="E2186" s="1" t="s">
        <v>699</v>
      </c>
      <c r="F2186" s="14">
        <v>0.4588</v>
      </c>
      <c r="G2186" s="15"/>
      <c r="H2186" s="16"/>
      <c r="I2186" s="14"/>
    </row>
    <row r="2187">
      <c r="A2187" s="14">
        <v>694.0</v>
      </c>
      <c r="B2187" s="14">
        <v>1.0125333E7</v>
      </c>
      <c r="C2187" s="14">
        <v>5.6691596E7</v>
      </c>
      <c r="D2187" s="2" t="s">
        <v>4391</v>
      </c>
      <c r="E2187" s="1" t="s">
        <v>699</v>
      </c>
      <c r="F2187" s="14">
        <v>0.4588</v>
      </c>
      <c r="G2187" s="15"/>
      <c r="H2187" s="16"/>
      <c r="I2187" s="14"/>
    </row>
    <row r="2188">
      <c r="A2188" s="14">
        <v>608.0</v>
      </c>
      <c r="B2188" s="14">
        <v>1.0320977E7</v>
      </c>
      <c r="C2188" s="14">
        <v>4.3765778E7</v>
      </c>
      <c r="D2188" s="2" t="s">
        <v>4375</v>
      </c>
      <c r="E2188" s="1" t="s">
        <v>699</v>
      </c>
      <c r="F2188" s="14">
        <v>0.4588</v>
      </c>
      <c r="G2188" s="15"/>
      <c r="H2188" s="16"/>
      <c r="I2188" s="14"/>
    </row>
    <row r="2189">
      <c r="A2189" s="14">
        <v>404.0</v>
      </c>
      <c r="B2189" s="14">
        <v>1.5949741E7</v>
      </c>
      <c r="C2189" s="14">
        <v>1.31382796E8</v>
      </c>
      <c r="D2189" s="2" t="s">
        <v>4036</v>
      </c>
      <c r="E2189" s="1" t="s">
        <v>699</v>
      </c>
      <c r="F2189" s="14">
        <v>0.4588</v>
      </c>
      <c r="G2189" s="15"/>
      <c r="H2189" s="16"/>
      <c r="I2189" s="14"/>
    </row>
    <row r="2190">
      <c r="A2190" s="14">
        <v>414.0</v>
      </c>
      <c r="B2190" s="14">
        <v>4.3047651E7</v>
      </c>
      <c r="C2190" s="14">
        <v>1.70209718E8</v>
      </c>
      <c r="D2190" s="2" t="s">
        <v>3292</v>
      </c>
      <c r="E2190" s="1" t="s">
        <v>699</v>
      </c>
      <c r="F2190" s="14">
        <v>0.4588</v>
      </c>
      <c r="G2190" s="15"/>
      <c r="H2190" s="16"/>
      <c r="I2190" s="14"/>
    </row>
    <row r="2191">
      <c r="A2191" s="14">
        <v>664.0</v>
      </c>
      <c r="B2191" s="14">
        <v>6.5245507E7</v>
      </c>
      <c r="C2191" s="14">
        <v>2.65788019E8</v>
      </c>
      <c r="D2191" s="2" t="s">
        <v>2482</v>
      </c>
      <c r="E2191" s="1" t="s">
        <v>699</v>
      </c>
      <c r="F2191" s="14">
        <v>0.4588</v>
      </c>
      <c r="G2191" s="15"/>
      <c r="H2191" s="16"/>
      <c r="I2191" s="14"/>
    </row>
    <row r="2192">
      <c r="A2192" s="14">
        <v>394.0</v>
      </c>
      <c r="B2192" s="14">
        <v>8.2550102E7</v>
      </c>
      <c r="C2192" s="14">
        <v>3.46452977E8</v>
      </c>
      <c r="D2192" s="2" t="s">
        <v>1592</v>
      </c>
      <c r="E2192" s="1" t="s">
        <v>699</v>
      </c>
      <c r="F2192" s="14">
        <v>0.4588</v>
      </c>
      <c r="G2192" s="15"/>
      <c r="H2192" s="16"/>
      <c r="I2192" s="14"/>
    </row>
    <row r="2193">
      <c r="A2193" s="14">
        <v>353.0</v>
      </c>
      <c r="B2193" s="14">
        <v>9.0322829E7</v>
      </c>
      <c r="C2193" s="14">
        <v>4.48495726E8</v>
      </c>
      <c r="D2193" s="2" t="s">
        <v>1121</v>
      </c>
      <c r="E2193" s="1" t="s">
        <v>699</v>
      </c>
      <c r="F2193" s="14">
        <v>0.4588</v>
      </c>
      <c r="G2193" s="15"/>
      <c r="H2193" s="16"/>
      <c r="I2193" s="14"/>
    </row>
    <row r="2194">
      <c r="A2194" s="14">
        <v>696.0</v>
      </c>
      <c r="B2194" s="14">
        <v>5748774.0</v>
      </c>
      <c r="C2194" s="14">
        <v>2.4637973E7</v>
      </c>
      <c r="D2194" s="2" t="s">
        <v>4525</v>
      </c>
      <c r="E2194" s="1" t="s">
        <v>121</v>
      </c>
      <c r="F2194" s="14">
        <v>0.4588</v>
      </c>
      <c r="G2194" s="15"/>
      <c r="H2194" s="16"/>
      <c r="I2194" s="14"/>
    </row>
    <row r="2195">
      <c r="A2195" s="14">
        <v>571.0</v>
      </c>
      <c r="B2195" s="14">
        <v>9314361.0</v>
      </c>
      <c r="C2195" s="14">
        <v>8.8189829E7</v>
      </c>
      <c r="D2195" s="2" t="s">
        <v>4444</v>
      </c>
      <c r="E2195" s="1" t="s">
        <v>121</v>
      </c>
      <c r="F2195" s="14">
        <v>0.4588</v>
      </c>
      <c r="G2195" s="15"/>
      <c r="H2195" s="16"/>
      <c r="I2195" s="14"/>
    </row>
    <row r="2196">
      <c r="A2196" s="14">
        <v>716.0</v>
      </c>
      <c r="B2196" s="14">
        <v>1.22247E7</v>
      </c>
      <c r="C2196" s="14">
        <v>1.65813745E8</v>
      </c>
      <c r="D2196" s="2" t="s">
        <v>4249</v>
      </c>
      <c r="E2196" s="1" t="s">
        <v>121</v>
      </c>
      <c r="F2196" s="14">
        <v>0.4588</v>
      </c>
      <c r="G2196" s="15"/>
      <c r="H2196" s="16"/>
      <c r="I2196" s="14"/>
    </row>
    <row r="2197">
      <c r="A2197" s="14">
        <v>672.0</v>
      </c>
      <c r="B2197" s="14">
        <v>2.5297146E7</v>
      </c>
      <c r="C2197" s="14">
        <v>2.98999698E8</v>
      </c>
      <c r="D2197" s="2" t="s">
        <v>3726</v>
      </c>
      <c r="E2197" s="1" t="s">
        <v>121</v>
      </c>
      <c r="F2197" s="14">
        <v>0.4588</v>
      </c>
      <c r="G2197" s="15"/>
      <c r="H2197" s="16"/>
      <c r="I2197" s="14"/>
    </row>
    <row r="2198">
      <c r="A2198" s="14">
        <v>593.0</v>
      </c>
      <c r="B2198" s="14">
        <v>8.2330901E7</v>
      </c>
      <c r="C2198" s="14">
        <v>3.45084174E8</v>
      </c>
      <c r="D2198" s="2" t="s">
        <v>1612</v>
      </c>
      <c r="E2198" s="1" t="s">
        <v>121</v>
      </c>
      <c r="F2198" s="14">
        <v>0.4588</v>
      </c>
      <c r="G2198" s="15"/>
      <c r="H2198" s="16"/>
      <c r="I2198" s="14"/>
    </row>
    <row r="2199">
      <c r="A2199" s="14">
        <v>601.0</v>
      </c>
      <c r="B2199" s="14">
        <v>2.5057201E7</v>
      </c>
      <c r="C2199" s="14">
        <v>1.01853763E8</v>
      </c>
      <c r="D2199" s="2" t="s">
        <v>3729</v>
      </c>
      <c r="E2199" s="1" t="s">
        <v>107</v>
      </c>
      <c r="F2199" s="14">
        <v>0.4585</v>
      </c>
      <c r="G2199" s="15"/>
      <c r="H2199" s="16"/>
      <c r="I2199" s="14"/>
    </row>
    <row r="2200">
      <c r="A2200" s="14">
        <v>719.0</v>
      </c>
      <c r="B2200" s="14">
        <v>6.9888317E7</v>
      </c>
      <c r="C2200" s="14">
        <v>2.87969301E8</v>
      </c>
      <c r="D2200" s="2" t="s">
        <v>2229</v>
      </c>
      <c r="E2200" s="1" t="s">
        <v>121</v>
      </c>
      <c r="F2200" s="14">
        <v>0.4585</v>
      </c>
      <c r="G2200" s="15"/>
      <c r="H2200" s="16"/>
      <c r="I2200" s="14"/>
    </row>
    <row r="2201">
      <c r="A2201" s="14">
        <v>656.0</v>
      </c>
      <c r="B2201" s="14">
        <v>4671700.0</v>
      </c>
      <c r="C2201" s="14">
        <v>1.9831367E7</v>
      </c>
      <c r="D2201" s="2" t="s">
        <v>4529</v>
      </c>
      <c r="E2201" s="1" t="s">
        <v>121</v>
      </c>
      <c r="F2201" s="14">
        <v>0.4577</v>
      </c>
      <c r="G2201" s="15"/>
      <c r="H2201" s="16"/>
      <c r="I2201" s="14"/>
    </row>
    <row r="2202">
      <c r="A2202" s="14">
        <v>142.0</v>
      </c>
      <c r="B2202" s="14">
        <v>3134796.0</v>
      </c>
      <c r="C2202" s="14">
        <v>1.3428969E7</v>
      </c>
      <c r="D2202" s="2" t="s">
        <v>4532</v>
      </c>
      <c r="E2202" s="1" t="s">
        <v>699</v>
      </c>
      <c r="F2202" s="14">
        <v>0.4576</v>
      </c>
      <c r="G2202" s="15"/>
      <c r="H2202" s="16"/>
      <c r="I2202" s="14"/>
    </row>
    <row r="2203">
      <c r="A2203" s="14">
        <v>673.0</v>
      </c>
      <c r="B2203" s="14">
        <v>9.1760742E7</v>
      </c>
      <c r="C2203" s="14">
        <v>3.89172777E8</v>
      </c>
      <c r="D2203" s="2" t="s">
        <v>1044</v>
      </c>
      <c r="E2203" s="1" t="s">
        <v>121</v>
      </c>
      <c r="F2203" s="14">
        <v>0.4576</v>
      </c>
      <c r="G2203" s="15"/>
      <c r="H2203" s="16"/>
      <c r="I2203" s="14"/>
    </row>
    <row r="2204">
      <c r="A2204" s="14">
        <v>215.0</v>
      </c>
      <c r="B2204" s="14">
        <v>1.2343911E7</v>
      </c>
      <c r="C2204" s="14">
        <v>5.23977E7</v>
      </c>
      <c r="D2204" s="2" t="s">
        <v>4242</v>
      </c>
      <c r="E2204" s="1" t="s">
        <v>699</v>
      </c>
      <c r="F2204" s="14">
        <v>0.4574</v>
      </c>
      <c r="G2204" s="15"/>
      <c r="H2204" s="16"/>
      <c r="I2204" s="14"/>
    </row>
    <row r="2205">
      <c r="A2205" s="14">
        <v>578.0</v>
      </c>
      <c r="B2205" s="14">
        <v>4.1724818E7</v>
      </c>
      <c r="C2205" s="14">
        <v>1.65350078E8</v>
      </c>
      <c r="D2205" s="2" t="s">
        <v>3326</v>
      </c>
      <c r="E2205" s="1" t="s">
        <v>699</v>
      </c>
      <c r="F2205" s="14">
        <v>0.4574</v>
      </c>
      <c r="G2205" s="15"/>
      <c r="H2205" s="16"/>
      <c r="I2205" s="14"/>
    </row>
    <row r="2206">
      <c r="A2206" s="14">
        <v>578.0</v>
      </c>
      <c r="B2206" s="14">
        <v>7.974508E7</v>
      </c>
      <c r="C2206" s="14">
        <v>3.32984244E8</v>
      </c>
      <c r="D2206" s="2" t="s">
        <v>1750</v>
      </c>
      <c r="E2206" s="1" t="s">
        <v>699</v>
      </c>
      <c r="F2206" s="14">
        <v>0.4574</v>
      </c>
      <c r="G2206" s="15"/>
      <c r="H2206" s="16"/>
      <c r="I2206" s="14"/>
    </row>
    <row r="2207">
      <c r="A2207" s="14">
        <v>353.0</v>
      </c>
      <c r="B2207" s="14">
        <v>9.465917E7</v>
      </c>
      <c r="C2207" s="14">
        <v>4.02760464E8</v>
      </c>
      <c r="D2207" s="2" t="s">
        <v>897</v>
      </c>
      <c r="E2207" s="1" t="s">
        <v>699</v>
      </c>
      <c r="F2207" s="14">
        <v>0.4574</v>
      </c>
      <c r="G2207" s="15"/>
      <c r="H2207" s="16"/>
      <c r="I2207" s="14"/>
    </row>
    <row r="2208">
      <c r="A2208" s="14">
        <v>410.0</v>
      </c>
      <c r="B2208" s="14">
        <v>2.0811566E7</v>
      </c>
      <c r="C2208" s="14">
        <v>8.6507879E7</v>
      </c>
      <c r="D2208" s="2" t="s">
        <v>3849</v>
      </c>
      <c r="E2208" s="1" t="s">
        <v>121</v>
      </c>
      <c r="F2208" s="14">
        <v>0.4574</v>
      </c>
      <c r="G2208" s="15"/>
      <c r="H2208" s="16"/>
      <c r="I2208" s="14"/>
    </row>
    <row r="2209">
      <c r="A2209" s="14">
        <v>319.0</v>
      </c>
      <c r="B2209" s="14">
        <v>6.136192E7</v>
      </c>
      <c r="C2209" s="14">
        <v>2.47043781E8</v>
      </c>
      <c r="D2209" s="2" t="s">
        <v>2638</v>
      </c>
      <c r="E2209" s="1" t="s">
        <v>121</v>
      </c>
      <c r="F2209" s="14">
        <v>0.4574</v>
      </c>
      <c r="G2209" s="15"/>
      <c r="H2209" s="16"/>
      <c r="I2209" s="14"/>
    </row>
    <row r="2210">
      <c r="A2210" s="14">
        <v>120.0</v>
      </c>
      <c r="B2210" s="14">
        <v>6.5107627E7</v>
      </c>
      <c r="C2210" s="14">
        <v>2.64992129E8</v>
      </c>
      <c r="D2210" s="2" t="s">
        <v>2488</v>
      </c>
      <c r="E2210" s="1" t="s">
        <v>121</v>
      </c>
      <c r="F2210" s="14">
        <v>0.4574</v>
      </c>
      <c r="G2210" s="15"/>
      <c r="H2210" s="16"/>
      <c r="I2210" s="14"/>
    </row>
    <row r="2211">
      <c r="A2211" s="14">
        <v>715.0</v>
      </c>
      <c r="B2211" s="14">
        <v>6.7100505E7</v>
      </c>
      <c r="C2211" s="14">
        <v>2.74810339E8</v>
      </c>
      <c r="D2211" s="2" t="s">
        <v>2377</v>
      </c>
      <c r="E2211" s="1" t="s">
        <v>121</v>
      </c>
      <c r="F2211" s="14">
        <v>0.4574</v>
      </c>
      <c r="G2211" s="15"/>
      <c r="H2211" s="16"/>
      <c r="I2211" s="14"/>
    </row>
    <row r="2212">
      <c r="A2212" s="14">
        <v>427.0</v>
      </c>
      <c r="B2212" s="14">
        <v>3.6802681E7</v>
      </c>
      <c r="C2212" s="14">
        <v>1.46340499E8</v>
      </c>
      <c r="D2212" s="2" t="s">
        <v>3452</v>
      </c>
      <c r="E2212" s="1" t="s">
        <v>121</v>
      </c>
      <c r="F2212" s="14">
        <v>0.4559</v>
      </c>
      <c r="G2212" s="15"/>
      <c r="H2212" s="16"/>
      <c r="I2212" s="14"/>
    </row>
    <row r="2213">
      <c r="A2213" s="14">
        <v>355.0</v>
      </c>
      <c r="B2213" s="14">
        <v>6.8159103E7</v>
      </c>
      <c r="C2213" s="14">
        <v>2.79926024E8</v>
      </c>
      <c r="D2213" s="2" t="s">
        <v>2333</v>
      </c>
      <c r="E2213" s="1" t="s">
        <v>121</v>
      </c>
      <c r="F2213" s="14">
        <v>0.4521</v>
      </c>
      <c r="G2213" s="15"/>
      <c r="H2213" s="16"/>
      <c r="I2213" s="14"/>
    </row>
    <row r="2214">
      <c r="A2214" s="14">
        <v>337.0</v>
      </c>
      <c r="B2214" s="14">
        <v>7.465944E7</v>
      </c>
      <c r="C2214" s="14">
        <v>3.09059069E8</v>
      </c>
      <c r="D2214" s="2" t="s">
        <v>2041</v>
      </c>
      <c r="E2214" s="1" t="s">
        <v>699</v>
      </c>
      <c r="F2214" s="14">
        <v>0.4497</v>
      </c>
      <c r="G2214" s="15"/>
      <c r="H2214" s="16"/>
      <c r="I2214" s="14"/>
    </row>
    <row r="2215">
      <c r="A2215" s="14">
        <v>503.0</v>
      </c>
      <c r="B2215" s="14">
        <v>7104457.0</v>
      </c>
      <c r="C2215" s="14">
        <v>3.0367383E7</v>
      </c>
      <c r="D2215" s="2" t="s">
        <v>4546</v>
      </c>
      <c r="E2215" s="1" t="s">
        <v>121</v>
      </c>
      <c r="F2215" s="14">
        <v>0.4497</v>
      </c>
      <c r="G2215" s="15"/>
      <c r="H2215" s="16"/>
      <c r="I2215" s="14"/>
    </row>
    <row r="2216">
      <c r="A2216" s="14">
        <v>671.0</v>
      </c>
      <c r="B2216" s="14">
        <v>9480218.0</v>
      </c>
      <c r="C2216" s="14">
        <v>4.0229174E7</v>
      </c>
      <c r="D2216" s="2" t="s">
        <v>4432</v>
      </c>
      <c r="E2216" s="1" t="s">
        <v>121</v>
      </c>
      <c r="F2216" s="14">
        <v>0.4468</v>
      </c>
      <c r="G2216" s="15"/>
      <c r="H2216" s="16"/>
      <c r="I2216" s="14"/>
    </row>
    <row r="2217">
      <c r="A2217" s="14">
        <v>414.0</v>
      </c>
      <c r="B2217" s="14">
        <v>3.1789702E7</v>
      </c>
      <c r="C2217" s="14">
        <v>1.27479486E8</v>
      </c>
      <c r="D2217" s="2" t="s">
        <v>3546</v>
      </c>
      <c r="E2217" s="1" t="s">
        <v>121</v>
      </c>
      <c r="F2217" s="14">
        <v>0.4466</v>
      </c>
      <c r="G2217" s="15"/>
      <c r="H2217" s="16"/>
      <c r="I2217" s="14"/>
    </row>
    <row r="2218">
      <c r="A2218" s="14">
        <v>671.0</v>
      </c>
      <c r="B2218" s="14">
        <v>5.0836705E7</v>
      </c>
      <c r="C2218" s="14">
        <v>2.0167679E8</v>
      </c>
      <c r="D2218" s="2" t="s">
        <v>2992</v>
      </c>
      <c r="E2218" s="1" t="s">
        <v>121</v>
      </c>
      <c r="F2218" s="14">
        <v>0.4466</v>
      </c>
      <c r="G2218" s="15"/>
      <c r="H2218" s="16"/>
      <c r="I2218" s="14"/>
    </row>
    <row r="2219">
      <c r="A2219" s="14">
        <v>696.0</v>
      </c>
      <c r="B2219" s="14">
        <v>9130128.0</v>
      </c>
      <c r="C2219" s="14">
        <v>3.8797199E7</v>
      </c>
      <c r="D2219" s="2" t="s">
        <v>4463</v>
      </c>
      <c r="E2219" s="1" t="s">
        <v>121</v>
      </c>
      <c r="F2219" s="14">
        <v>0.4442</v>
      </c>
      <c r="G2219" s="15"/>
      <c r="H2219" s="16"/>
      <c r="I2219" s="14"/>
    </row>
    <row r="2220">
      <c r="A2220" s="14">
        <v>602.0</v>
      </c>
      <c r="B2220" s="14">
        <v>1.5232426E7</v>
      </c>
      <c r="C2220" s="14">
        <v>6.4787064E7</v>
      </c>
      <c r="D2220" s="2" t="s">
        <v>4079</v>
      </c>
      <c r="E2220" s="1" t="s">
        <v>121</v>
      </c>
      <c r="F2220" s="14">
        <v>0.4436</v>
      </c>
      <c r="G2220" s="15"/>
      <c r="H2220" s="16"/>
      <c r="I2220" s="14"/>
    </row>
    <row r="2221">
      <c r="A2221" s="14">
        <v>210.0</v>
      </c>
      <c r="B2221" s="14">
        <v>9.0655829E7</v>
      </c>
      <c r="C2221" s="14">
        <v>3.84562305E8</v>
      </c>
      <c r="D2221" s="2" t="s">
        <v>1099</v>
      </c>
      <c r="E2221" s="1" t="s">
        <v>121</v>
      </c>
      <c r="F2221" s="14">
        <v>0.4417</v>
      </c>
      <c r="G2221" s="15"/>
      <c r="H2221" s="16"/>
      <c r="I2221" s="14"/>
    </row>
    <row r="2222">
      <c r="A2222" s="14">
        <v>671.0</v>
      </c>
      <c r="B2222" s="14">
        <v>3997400.0</v>
      </c>
      <c r="C2222" s="14">
        <v>1.6919869E7</v>
      </c>
      <c r="D2222" s="2" t="s">
        <v>4552</v>
      </c>
      <c r="E2222" s="1" t="s">
        <v>107</v>
      </c>
      <c r="F2222" s="14">
        <v>0.4404</v>
      </c>
      <c r="G2222" s="15"/>
      <c r="H2222" s="16"/>
      <c r="I2222" s="14"/>
    </row>
    <row r="2223">
      <c r="A2223" s="14">
        <v>571.0</v>
      </c>
      <c r="B2223" s="14">
        <v>5291388.0</v>
      </c>
      <c r="C2223" s="14">
        <v>2.2575979E7</v>
      </c>
      <c r="D2223" s="2" t="s">
        <v>4554</v>
      </c>
      <c r="E2223" s="1" t="s">
        <v>107</v>
      </c>
      <c r="F2223" s="14">
        <v>0.4404</v>
      </c>
      <c r="G2223" s="15"/>
      <c r="H2223" s="16"/>
      <c r="I2223" s="14"/>
    </row>
    <row r="2224">
      <c r="A2224" s="14">
        <v>671.0</v>
      </c>
      <c r="B2224" s="14">
        <v>6431869.0</v>
      </c>
      <c r="C2224" s="14">
        <v>2.7436825E7</v>
      </c>
      <c r="D2224" s="2" t="s">
        <v>4556</v>
      </c>
      <c r="E2224" s="1" t="s">
        <v>107</v>
      </c>
      <c r="F2224" s="14">
        <v>0.4404</v>
      </c>
      <c r="G2224" s="15"/>
      <c r="H2224" s="16"/>
      <c r="I2224" s="14"/>
    </row>
    <row r="2225">
      <c r="A2225" s="14">
        <v>531.0</v>
      </c>
      <c r="B2225" s="14">
        <v>6470089.0</v>
      </c>
      <c r="C2225" s="14">
        <v>2.7509002E7</v>
      </c>
      <c r="D2225" s="2" t="s">
        <v>4558</v>
      </c>
      <c r="E2225" s="1" t="s">
        <v>107</v>
      </c>
      <c r="F2225" s="14">
        <v>0.4404</v>
      </c>
      <c r="G2225" s="15"/>
      <c r="H2225" s="16"/>
      <c r="I2225" s="14"/>
    </row>
    <row r="2226">
      <c r="A2226" s="14">
        <v>571.0</v>
      </c>
      <c r="B2226" s="14">
        <v>1.282463E7</v>
      </c>
      <c r="C2226" s="14">
        <v>3.49825956E8</v>
      </c>
      <c r="D2226" s="2" t="s">
        <v>4221</v>
      </c>
      <c r="E2226" s="1" t="s">
        <v>107</v>
      </c>
      <c r="F2226" s="14">
        <v>0.4404</v>
      </c>
      <c r="G2226" s="15"/>
      <c r="H2226" s="16"/>
      <c r="I2226" s="14"/>
    </row>
    <row r="2227">
      <c r="A2227" s="14">
        <v>281.0</v>
      </c>
      <c r="B2227" s="14">
        <v>2.2255292E7</v>
      </c>
      <c r="C2227" s="14">
        <v>1.68807032E8</v>
      </c>
      <c r="D2227" s="2" t="s">
        <v>3800</v>
      </c>
      <c r="E2227" s="1" t="s">
        <v>107</v>
      </c>
      <c r="F2227" s="14">
        <v>0.4404</v>
      </c>
      <c r="G2227" s="15"/>
      <c r="H2227" s="16"/>
      <c r="I2227" s="14"/>
    </row>
    <row r="2228">
      <c r="A2228" s="14">
        <v>564.0</v>
      </c>
      <c r="B2228" s="14">
        <v>3.5837011E7</v>
      </c>
      <c r="C2228" s="14">
        <v>1.42947456E8</v>
      </c>
      <c r="D2228" s="2" t="s">
        <v>3469</v>
      </c>
      <c r="E2228" s="1" t="s">
        <v>107</v>
      </c>
      <c r="F2228" s="14">
        <v>0.4404</v>
      </c>
      <c r="G2228" s="15"/>
      <c r="H2228" s="16"/>
      <c r="I2228" s="14"/>
    </row>
    <row r="2229">
      <c r="A2229" s="14">
        <v>565.0</v>
      </c>
      <c r="B2229" s="14">
        <v>4.6141014E7</v>
      </c>
      <c r="C2229" s="14">
        <v>1.82316317E8</v>
      </c>
      <c r="D2229" s="2" t="s">
        <v>3205</v>
      </c>
      <c r="E2229" s="1" t="s">
        <v>107</v>
      </c>
      <c r="F2229" s="14">
        <v>0.4404</v>
      </c>
      <c r="G2229" s="15"/>
      <c r="H2229" s="16"/>
      <c r="I2229" s="14"/>
    </row>
    <row r="2230">
      <c r="A2230" s="14">
        <v>569.0</v>
      </c>
      <c r="B2230" s="14">
        <v>4.7659857E7</v>
      </c>
      <c r="C2230" s="14">
        <v>1.88285329E8</v>
      </c>
      <c r="D2230" s="2" t="s">
        <v>3125</v>
      </c>
      <c r="E2230" s="1" t="s">
        <v>107</v>
      </c>
      <c r="F2230" s="14">
        <v>0.4404</v>
      </c>
      <c r="G2230" s="15"/>
      <c r="H2230" s="16"/>
      <c r="I2230" s="14"/>
    </row>
    <row r="2231">
      <c r="A2231" s="14">
        <v>224.0</v>
      </c>
      <c r="B2231" s="14">
        <v>5.2703719E7</v>
      </c>
      <c r="C2231" s="14">
        <v>2.08974015E8</v>
      </c>
      <c r="D2231" s="2" t="s">
        <v>2922</v>
      </c>
      <c r="E2231" s="1" t="s">
        <v>107</v>
      </c>
      <c r="F2231" s="14">
        <v>0.4404</v>
      </c>
      <c r="G2231" s="15"/>
      <c r="H2231" s="16"/>
      <c r="I2231" s="14"/>
    </row>
    <row r="2232">
      <c r="A2232" s="14">
        <v>671.0</v>
      </c>
      <c r="B2232" s="14">
        <v>5.2904008E7</v>
      </c>
      <c r="C2232" s="14">
        <v>2.09945662E8</v>
      </c>
      <c r="D2232" s="2" t="s">
        <v>2916</v>
      </c>
      <c r="E2232" s="1" t="s">
        <v>107</v>
      </c>
      <c r="F2232" s="14">
        <v>0.4404</v>
      </c>
      <c r="G2232" s="15"/>
      <c r="H2232" s="16"/>
      <c r="I2232" s="14"/>
    </row>
    <row r="2233">
      <c r="A2233" s="14">
        <v>403.0</v>
      </c>
      <c r="B2233" s="14">
        <v>6.8507019E7</v>
      </c>
      <c r="C2233" s="14">
        <v>2.81667887E8</v>
      </c>
      <c r="D2233" s="2" t="s">
        <v>2309</v>
      </c>
      <c r="E2233" s="1" t="s">
        <v>107</v>
      </c>
      <c r="F2233" s="14">
        <v>0.4404</v>
      </c>
      <c r="G2233" s="15"/>
      <c r="H2233" s="16"/>
      <c r="I2233" s="14"/>
    </row>
    <row r="2234">
      <c r="A2234" s="14">
        <v>414.0</v>
      </c>
      <c r="B2234" s="14">
        <v>7.3062711E7</v>
      </c>
      <c r="C2234" s="14">
        <v>3.02207691E8</v>
      </c>
      <c r="D2234" s="2" t="s">
        <v>2084</v>
      </c>
      <c r="E2234" s="1" t="s">
        <v>107</v>
      </c>
      <c r="F2234" s="14">
        <v>0.4404</v>
      </c>
      <c r="G2234" s="15"/>
      <c r="H2234" s="16"/>
      <c r="I2234" s="14"/>
    </row>
    <row r="2235">
      <c r="A2235" s="14">
        <v>630.0</v>
      </c>
      <c r="B2235" s="14">
        <v>7.566667E7</v>
      </c>
      <c r="C2235" s="14">
        <v>3.1402086E8</v>
      </c>
      <c r="D2235" s="2" t="s">
        <v>1983</v>
      </c>
      <c r="E2235" s="1" t="s">
        <v>107</v>
      </c>
      <c r="F2235" s="14">
        <v>0.4404</v>
      </c>
      <c r="G2235" s="15"/>
      <c r="H2235" s="16"/>
      <c r="I2235" s="14"/>
    </row>
    <row r="2236">
      <c r="A2236" s="14">
        <v>587.0</v>
      </c>
      <c r="B2236" s="14">
        <v>7.7097548E7</v>
      </c>
      <c r="C2236" s="14">
        <v>3.21033178E8</v>
      </c>
      <c r="D2236" s="2" t="s">
        <v>1913</v>
      </c>
      <c r="E2236" s="1" t="s">
        <v>107</v>
      </c>
      <c r="F2236" s="14">
        <v>0.4404</v>
      </c>
      <c r="G2236" s="15"/>
      <c r="H2236" s="16"/>
      <c r="I2236" s="14"/>
    </row>
    <row r="2237">
      <c r="A2237" s="14">
        <v>319.0</v>
      </c>
      <c r="B2237" s="14">
        <v>7.7968662E7</v>
      </c>
      <c r="C2237" s="14">
        <v>3.24630631E8</v>
      </c>
      <c r="D2237" s="2" t="s">
        <v>1866</v>
      </c>
      <c r="E2237" s="1" t="s">
        <v>107</v>
      </c>
      <c r="F2237" s="14">
        <v>0.4404</v>
      </c>
      <c r="G2237" s="15"/>
      <c r="H2237" s="16"/>
      <c r="I2237" s="14"/>
    </row>
    <row r="2238">
      <c r="A2238" s="14">
        <v>129.0</v>
      </c>
      <c r="B2238" s="14">
        <v>8.1708157E7</v>
      </c>
      <c r="C2238" s="14">
        <v>3.42078738E8</v>
      </c>
      <c r="D2238" s="2" t="s">
        <v>1660</v>
      </c>
      <c r="E2238" s="1" t="s">
        <v>107</v>
      </c>
      <c r="F2238" s="14">
        <v>0.4404</v>
      </c>
      <c r="G2238" s="15"/>
      <c r="H2238" s="16"/>
      <c r="I2238" s="14"/>
    </row>
    <row r="2239">
      <c r="A2239" s="14">
        <v>698.0</v>
      </c>
      <c r="B2239" s="14">
        <v>8.3820725E7</v>
      </c>
      <c r="C2239" s="14">
        <v>3.52531103E8</v>
      </c>
      <c r="D2239" s="2" t="s">
        <v>1523</v>
      </c>
      <c r="E2239" s="1" t="s">
        <v>107</v>
      </c>
      <c r="F2239" s="14">
        <v>0.4404</v>
      </c>
      <c r="G2239" s="15"/>
      <c r="H2239" s="16"/>
      <c r="I2239" s="14"/>
    </row>
    <row r="2240">
      <c r="A2240" s="14">
        <v>587.0</v>
      </c>
      <c r="B2240" s="14">
        <v>8.6481519E7</v>
      </c>
      <c r="C2240" s="14">
        <v>3.65023362E8</v>
      </c>
      <c r="D2240" s="2" t="s">
        <v>1323</v>
      </c>
      <c r="E2240" s="1" t="s">
        <v>107</v>
      </c>
      <c r="F2240" s="14">
        <v>0.4404</v>
      </c>
      <c r="G2240" s="15"/>
      <c r="H2240" s="16"/>
      <c r="I2240" s="14"/>
    </row>
    <row r="2241">
      <c r="A2241" s="14">
        <v>210.0</v>
      </c>
      <c r="B2241" s="14">
        <v>8.8600069E7</v>
      </c>
      <c r="C2241" s="14">
        <v>3.74978298E8</v>
      </c>
      <c r="D2241" s="2" t="s">
        <v>1216</v>
      </c>
      <c r="E2241" s="1" t="s">
        <v>107</v>
      </c>
      <c r="F2241" s="14">
        <v>0.4404</v>
      </c>
      <c r="G2241" s="15"/>
      <c r="H2241" s="16"/>
      <c r="I2241" s="14"/>
    </row>
    <row r="2242">
      <c r="A2242" s="14">
        <v>569.0</v>
      </c>
      <c r="B2242" s="14">
        <v>9.6413352E7</v>
      </c>
      <c r="C2242" s="14">
        <v>4.11488691E8</v>
      </c>
      <c r="D2242" s="2" t="s">
        <v>796</v>
      </c>
      <c r="E2242" s="1" t="s">
        <v>107</v>
      </c>
      <c r="F2242" s="14">
        <v>0.4404</v>
      </c>
      <c r="G2242" s="15"/>
      <c r="H2242" s="16"/>
      <c r="I2242" s="14"/>
    </row>
    <row r="2243">
      <c r="A2243" s="14">
        <v>671.0</v>
      </c>
      <c r="B2243" s="14">
        <v>1.02390045E8</v>
      </c>
      <c r="C2243" s="14">
        <v>4.40226024E8</v>
      </c>
      <c r="D2243" s="2" t="s">
        <v>446</v>
      </c>
      <c r="E2243" s="1" t="s">
        <v>107</v>
      </c>
      <c r="F2243" s="14">
        <v>0.4404</v>
      </c>
      <c r="G2243" s="15"/>
      <c r="H2243" s="16"/>
      <c r="I2243" s="14"/>
    </row>
    <row r="2244">
      <c r="A2244" s="14">
        <v>644.0</v>
      </c>
      <c r="B2244" s="14">
        <v>1.07519815E8</v>
      </c>
      <c r="C2244" s="14">
        <v>4.64679551E8</v>
      </c>
      <c r="D2244" s="2" t="s">
        <v>235</v>
      </c>
      <c r="E2244" s="1" t="s">
        <v>107</v>
      </c>
      <c r="F2244" s="14">
        <v>0.4404</v>
      </c>
      <c r="G2244" s="15"/>
      <c r="H2244" s="16"/>
      <c r="I2244" s="14"/>
    </row>
    <row r="2245">
      <c r="A2245" s="14">
        <v>129.0</v>
      </c>
      <c r="B2245" s="14">
        <v>1.0890342E8</v>
      </c>
      <c r="C2245" s="14">
        <v>4.71005698E8</v>
      </c>
      <c r="D2245" s="2" t="s">
        <v>163</v>
      </c>
      <c r="E2245" s="1" t="s">
        <v>107</v>
      </c>
      <c r="F2245" s="14">
        <v>0.4404</v>
      </c>
      <c r="G2245" s="15"/>
      <c r="H2245" s="16"/>
      <c r="I2245" s="14"/>
    </row>
    <row r="2246">
      <c r="A2246" s="14">
        <v>671.0</v>
      </c>
      <c r="B2246" s="14">
        <v>1.09209423E8</v>
      </c>
      <c r="C2246" s="14">
        <v>4.72523444E8</v>
      </c>
      <c r="D2246" s="2" t="s">
        <v>125</v>
      </c>
      <c r="E2246" s="1" t="s">
        <v>107</v>
      </c>
      <c r="F2246" s="14">
        <v>0.4404</v>
      </c>
      <c r="G2246" s="15"/>
      <c r="H2246" s="16"/>
      <c r="I2246" s="14"/>
    </row>
    <row r="2247">
      <c r="A2247" s="14">
        <v>210.0</v>
      </c>
      <c r="B2247" s="14">
        <v>1.12422211E8</v>
      </c>
      <c r="C2247" s="14">
        <v>4.88544861E8</v>
      </c>
      <c r="D2247" s="2" t="s">
        <v>25</v>
      </c>
      <c r="E2247" s="1" t="s">
        <v>107</v>
      </c>
      <c r="F2247" s="14">
        <v>0.4404</v>
      </c>
      <c r="G2247" s="15"/>
      <c r="H2247" s="16"/>
      <c r="I2247" s="14"/>
    </row>
    <row r="2248">
      <c r="A2248" s="14">
        <v>210.0</v>
      </c>
      <c r="B2248" s="14">
        <v>875412.0</v>
      </c>
      <c r="C2248" s="14">
        <v>1.69190775E8</v>
      </c>
      <c r="D2248" s="2" t="s">
        <v>4571</v>
      </c>
      <c r="E2248" s="1" t="s">
        <v>699</v>
      </c>
      <c r="F2248" s="14">
        <v>0.4404</v>
      </c>
      <c r="G2248" s="15"/>
      <c r="H2248" s="16"/>
      <c r="I2248" s="14"/>
    </row>
    <row r="2249">
      <c r="A2249" s="14">
        <v>403.0</v>
      </c>
      <c r="B2249" s="14">
        <v>984365.0</v>
      </c>
      <c r="C2249" s="14">
        <v>3.61312561E8</v>
      </c>
      <c r="D2249" s="2" t="s">
        <v>4572</v>
      </c>
      <c r="E2249" s="1" t="s">
        <v>699</v>
      </c>
      <c r="F2249" s="14">
        <v>0.4404</v>
      </c>
      <c r="G2249" s="15"/>
      <c r="H2249" s="16"/>
      <c r="I2249" s="14"/>
    </row>
    <row r="2250">
      <c r="A2250" s="14">
        <v>715.0</v>
      </c>
      <c r="B2250" s="14">
        <v>2729926.0</v>
      </c>
      <c r="C2250" s="14">
        <v>1.1469469E7</v>
      </c>
      <c r="D2250" s="2" t="s">
        <v>4574</v>
      </c>
      <c r="E2250" s="1" t="s">
        <v>699</v>
      </c>
      <c r="F2250" s="14">
        <v>0.4404</v>
      </c>
      <c r="G2250" s="15"/>
      <c r="H2250" s="16"/>
      <c r="I2250" s="14"/>
    </row>
    <row r="2251">
      <c r="A2251" s="14">
        <v>403.0</v>
      </c>
      <c r="B2251" s="14">
        <v>5223493.0</v>
      </c>
      <c r="C2251" s="14">
        <v>2.2267629E7</v>
      </c>
      <c r="D2251" s="2" t="s">
        <v>4575</v>
      </c>
      <c r="E2251" s="1" t="s">
        <v>699</v>
      </c>
      <c r="F2251" s="14">
        <v>0.4404</v>
      </c>
      <c r="G2251" s="15"/>
      <c r="H2251" s="16"/>
      <c r="I2251" s="14"/>
    </row>
    <row r="2252">
      <c r="A2252" s="14">
        <v>120.0</v>
      </c>
      <c r="B2252" s="14">
        <v>5512213.0</v>
      </c>
      <c r="C2252" s="14">
        <v>2.3611498E7</v>
      </c>
      <c r="D2252" s="2" t="s">
        <v>4578</v>
      </c>
      <c r="E2252" s="1" t="s">
        <v>699</v>
      </c>
      <c r="F2252" s="14">
        <v>0.4404</v>
      </c>
      <c r="G2252" s="15"/>
      <c r="H2252" s="16"/>
      <c r="I2252" s="14"/>
    </row>
    <row r="2253">
      <c r="A2253" s="14">
        <v>355.0</v>
      </c>
      <c r="B2253" s="14">
        <v>7259790.0</v>
      </c>
      <c r="C2253" s="14">
        <v>3.0880917E7</v>
      </c>
      <c r="D2253" s="2" t="s">
        <v>4580</v>
      </c>
      <c r="E2253" s="1" t="s">
        <v>699</v>
      </c>
      <c r="F2253" s="14">
        <v>0.4404</v>
      </c>
      <c r="G2253" s="15"/>
      <c r="H2253" s="16"/>
      <c r="I2253" s="14"/>
    </row>
    <row r="2254">
      <c r="A2254" s="14">
        <v>630.0</v>
      </c>
      <c r="B2254" s="14">
        <v>7262254.0</v>
      </c>
      <c r="C2254" s="14">
        <v>4.01737687E8</v>
      </c>
      <c r="D2254" s="2" t="s">
        <v>4581</v>
      </c>
      <c r="E2254" s="1" t="s">
        <v>699</v>
      </c>
      <c r="F2254" s="14">
        <v>0.4404</v>
      </c>
      <c r="G2254" s="15"/>
      <c r="H2254" s="16"/>
      <c r="I2254" s="14"/>
    </row>
    <row r="2255">
      <c r="A2255" s="14">
        <v>407.0</v>
      </c>
      <c r="B2255" s="14">
        <v>8879271.0</v>
      </c>
      <c r="C2255" s="14">
        <v>3.7647206E7</v>
      </c>
      <c r="D2255" s="2" t="s">
        <v>4481</v>
      </c>
      <c r="E2255" s="1" t="s">
        <v>699</v>
      </c>
      <c r="F2255" s="14">
        <v>0.4404</v>
      </c>
      <c r="G2255" s="15"/>
      <c r="H2255" s="16"/>
      <c r="I2255" s="14"/>
    </row>
    <row r="2256">
      <c r="A2256" s="14">
        <v>407.0</v>
      </c>
      <c r="B2256" s="14">
        <v>9052480.0</v>
      </c>
      <c r="C2256" s="14">
        <v>3.8430525E7</v>
      </c>
      <c r="D2256" s="2" t="s">
        <v>4470</v>
      </c>
      <c r="E2256" s="1" t="s">
        <v>699</v>
      </c>
      <c r="F2256" s="14">
        <v>0.4404</v>
      </c>
      <c r="G2256" s="15"/>
      <c r="H2256" s="16"/>
      <c r="I2256" s="14"/>
    </row>
    <row r="2257">
      <c r="A2257" s="14">
        <v>410.0</v>
      </c>
      <c r="B2257" s="14">
        <v>9615289.0</v>
      </c>
      <c r="C2257" s="14">
        <v>4.0790608E7</v>
      </c>
      <c r="D2257" s="2" t="s">
        <v>4425</v>
      </c>
      <c r="E2257" s="1" t="s">
        <v>699</v>
      </c>
      <c r="F2257" s="14">
        <v>0.4404</v>
      </c>
      <c r="G2257" s="15"/>
      <c r="H2257" s="16"/>
      <c r="I2257" s="14"/>
    </row>
    <row r="2258">
      <c r="A2258" s="14">
        <v>396.0</v>
      </c>
      <c r="B2258" s="14">
        <v>9621826.0</v>
      </c>
      <c r="C2258" s="14">
        <v>4.0787541E7</v>
      </c>
      <c r="D2258" s="2" t="s">
        <v>4422</v>
      </c>
      <c r="E2258" s="1" t="s">
        <v>699</v>
      </c>
      <c r="F2258" s="14">
        <v>0.4404</v>
      </c>
      <c r="G2258" s="15"/>
      <c r="H2258" s="16"/>
      <c r="I2258" s="14"/>
    </row>
    <row r="2259">
      <c r="A2259" s="14">
        <v>355.0</v>
      </c>
      <c r="B2259" s="14">
        <v>1.2347953E7</v>
      </c>
      <c r="C2259" s="14">
        <v>2.13028483E8</v>
      </c>
      <c r="D2259" s="2" t="s">
        <v>4241</v>
      </c>
      <c r="E2259" s="1" t="s">
        <v>699</v>
      </c>
      <c r="F2259" s="14">
        <v>0.4404</v>
      </c>
      <c r="G2259" s="15"/>
      <c r="H2259" s="16"/>
      <c r="I2259" s="14"/>
    </row>
    <row r="2260">
      <c r="A2260" s="14">
        <v>669.0</v>
      </c>
      <c r="B2260" s="14">
        <v>1.5675912E7</v>
      </c>
      <c r="C2260" s="14">
        <v>6.6570691E7</v>
      </c>
      <c r="D2260" s="2" t="s">
        <v>4054</v>
      </c>
      <c r="E2260" s="1" t="s">
        <v>699</v>
      </c>
      <c r="F2260" s="14">
        <v>0.4404</v>
      </c>
      <c r="G2260" s="15"/>
      <c r="H2260" s="16"/>
      <c r="I2260" s="14"/>
    </row>
    <row r="2261">
      <c r="A2261" s="14">
        <v>602.0</v>
      </c>
      <c r="B2261" s="14">
        <v>1.61367E7</v>
      </c>
      <c r="C2261" s="14">
        <v>6.8960806E7</v>
      </c>
      <c r="D2261" s="2" t="s">
        <v>4022</v>
      </c>
      <c r="E2261" s="1" t="s">
        <v>699</v>
      </c>
      <c r="F2261" s="14">
        <v>0.4404</v>
      </c>
      <c r="G2261" s="15"/>
      <c r="H2261" s="16"/>
      <c r="I2261" s="14"/>
    </row>
    <row r="2262">
      <c r="A2262" s="14">
        <v>677.0</v>
      </c>
      <c r="B2262" s="14">
        <v>1.9364034E7</v>
      </c>
      <c r="C2262" s="14">
        <v>8.1014006E7</v>
      </c>
      <c r="D2262" s="2" t="s">
        <v>3895</v>
      </c>
      <c r="E2262" s="1" t="s">
        <v>699</v>
      </c>
      <c r="F2262" s="14">
        <v>0.4404</v>
      </c>
      <c r="G2262" s="15"/>
      <c r="H2262" s="16"/>
      <c r="I2262" s="14"/>
    </row>
    <row r="2263">
      <c r="A2263" s="14">
        <v>715.0</v>
      </c>
      <c r="B2263" s="14">
        <v>1.9372648E7</v>
      </c>
      <c r="C2263" s="14">
        <v>8.1000083E7</v>
      </c>
      <c r="D2263" s="2" t="s">
        <v>3894</v>
      </c>
      <c r="E2263" s="1" t="s">
        <v>699</v>
      </c>
      <c r="F2263" s="14">
        <v>0.4404</v>
      </c>
      <c r="G2263" s="15"/>
      <c r="H2263" s="16"/>
      <c r="I2263" s="14"/>
    </row>
    <row r="2264">
      <c r="A2264" s="14">
        <v>129.0</v>
      </c>
      <c r="B2264" s="14">
        <v>3.083283E7</v>
      </c>
      <c r="C2264" s="14">
        <v>4.15118432E8</v>
      </c>
      <c r="D2264" s="2" t="s">
        <v>3565</v>
      </c>
      <c r="E2264" s="1" t="s">
        <v>699</v>
      </c>
      <c r="F2264" s="14">
        <v>0.4404</v>
      </c>
      <c r="G2264" s="15"/>
      <c r="H2264" s="16"/>
      <c r="I2264" s="14"/>
    </row>
    <row r="2265">
      <c r="A2265" s="14">
        <v>353.0</v>
      </c>
      <c r="B2265" s="14">
        <v>3.1923434E7</v>
      </c>
      <c r="C2265" s="14">
        <v>1.27919072E8</v>
      </c>
      <c r="D2265" s="2" t="s">
        <v>3545</v>
      </c>
      <c r="E2265" s="1" t="s">
        <v>699</v>
      </c>
      <c r="F2265" s="14">
        <v>0.4404</v>
      </c>
      <c r="G2265" s="15"/>
      <c r="H2265" s="16"/>
      <c r="I2265" s="14"/>
    </row>
    <row r="2266">
      <c r="A2266" s="14">
        <v>587.0</v>
      </c>
      <c r="B2266" s="14">
        <v>3.9496337E7</v>
      </c>
      <c r="C2266" s="14">
        <v>1.56812186E8</v>
      </c>
      <c r="D2266" s="2" t="s">
        <v>3392</v>
      </c>
      <c r="E2266" s="1" t="s">
        <v>699</v>
      </c>
      <c r="F2266" s="14">
        <v>0.4404</v>
      </c>
      <c r="G2266" s="15"/>
      <c r="H2266" s="16"/>
      <c r="I2266" s="14"/>
    </row>
    <row r="2267">
      <c r="A2267" s="14">
        <v>497.0</v>
      </c>
      <c r="B2267" s="14">
        <v>4.4939779E7</v>
      </c>
      <c r="C2267" s="14">
        <v>1.77390344E8</v>
      </c>
      <c r="D2267" s="2" t="s">
        <v>3249</v>
      </c>
      <c r="E2267" s="1" t="s">
        <v>699</v>
      </c>
      <c r="F2267" s="14">
        <v>0.4404</v>
      </c>
      <c r="G2267" s="15"/>
      <c r="H2267" s="16"/>
      <c r="I2267" s="14"/>
    </row>
    <row r="2268">
      <c r="A2268" s="14">
        <v>570.0</v>
      </c>
      <c r="B2268" s="14">
        <v>4.801599E7</v>
      </c>
      <c r="C2268" s="14">
        <v>1.89774429E8</v>
      </c>
      <c r="D2268" s="2" t="s">
        <v>3111</v>
      </c>
      <c r="E2268" s="1" t="s">
        <v>699</v>
      </c>
      <c r="F2268" s="14">
        <v>0.4404</v>
      </c>
      <c r="G2268" s="15"/>
      <c r="H2268" s="16"/>
      <c r="I2268" s="14"/>
    </row>
    <row r="2269">
      <c r="A2269" s="14">
        <v>355.0</v>
      </c>
      <c r="B2269" s="14">
        <v>4.9247782E7</v>
      </c>
      <c r="C2269" s="14">
        <v>1.94912297E8</v>
      </c>
      <c r="D2269" s="2" t="s">
        <v>3048</v>
      </c>
      <c r="E2269" s="1" t="s">
        <v>699</v>
      </c>
      <c r="F2269" s="14">
        <v>0.4404</v>
      </c>
      <c r="G2269" s="15"/>
      <c r="H2269" s="16"/>
      <c r="I2269" s="14"/>
    </row>
    <row r="2270">
      <c r="A2270" s="14">
        <v>607.0</v>
      </c>
      <c r="B2270" s="14">
        <v>4.9748698E7</v>
      </c>
      <c r="C2270" s="14">
        <v>1.9674736E8</v>
      </c>
      <c r="D2270" s="2" t="s">
        <v>3028</v>
      </c>
      <c r="E2270" s="1" t="s">
        <v>699</v>
      </c>
      <c r="F2270" s="14">
        <v>0.4404</v>
      </c>
      <c r="G2270" s="15"/>
      <c r="H2270" s="16"/>
      <c r="I2270" s="14"/>
    </row>
    <row r="2271">
      <c r="A2271" s="14">
        <v>571.0</v>
      </c>
      <c r="B2271" s="14">
        <v>5.067241E7</v>
      </c>
      <c r="C2271" s="14">
        <v>4.79220691E8</v>
      </c>
      <c r="D2271" s="2" t="s">
        <v>2997</v>
      </c>
      <c r="E2271" s="1" t="s">
        <v>699</v>
      </c>
      <c r="F2271" s="14">
        <v>0.4404</v>
      </c>
      <c r="G2271" s="15"/>
      <c r="H2271" s="16"/>
      <c r="I2271" s="14"/>
    </row>
    <row r="2272">
      <c r="A2272" s="14">
        <v>571.0</v>
      </c>
      <c r="B2272" s="14">
        <v>5.1288926E7</v>
      </c>
      <c r="C2272" s="14">
        <v>2.036285E8</v>
      </c>
      <c r="D2272" s="2" t="s">
        <v>2973</v>
      </c>
      <c r="E2272" s="1" t="s">
        <v>699</v>
      </c>
      <c r="F2272" s="14">
        <v>0.4404</v>
      </c>
      <c r="G2272" s="15"/>
      <c r="H2272" s="16"/>
      <c r="I2272" s="14"/>
    </row>
    <row r="2273">
      <c r="A2273" s="14">
        <v>504.0</v>
      </c>
      <c r="B2273" s="14">
        <v>5.4133131E7</v>
      </c>
      <c r="C2273" s="14">
        <v>2.14660795E8</v>
      </c>
      <c r="D2273" s="2" t="s">
        <v>2875</v>
      </c>
      <c r="E2273" s="1" t="s">
        <v>699</v>
      </c>
      <c r="F2273" s="14">
        <v>0.4404</v>
      </c>
      <c r="G2273" s="15"/>
      <c r="H2273" s="16"/>
      <c r="I2273" s="14"/>
    </row>
    <row r="2274">
      <c r="A2274" s="14">
        <v>381.0</v>
      </c>
      <c r="B2274" s="14">
        <v>5.6598582E7</v>
      </c>
      <c r="C2274" s="14">
        <v>2.25035677E8</v>
      </c>
      <c r="D2274" s="2" t="s">
        <v>2802</v>
      </c>
      <c r="E2274" s="1" t="s">
        <v>699</v>
      </c>
      <c r="F2274" s="14">
        <v>0.4404</v>
      </c>
      <c r="G2274" s="15"/>
      <c r="H2274" s="16"/>
      <c r="I2274" s="14"/>
    </row>
    <row r="2275">
      <c r="A2275" s="14">
        <v>586.0</v>
      </c>
      <c r="B2275" s="14">
        <v>5.722774E7</v>
      </c>
      <c r="C2275" s="14">
        <v>2.27796741E8</v>
      </c>
      <c r="D2275" s="2" t="s">
        <v>2773</v>
      </c>
      <c r="E2275" s="1" t="s">
        <v>699</v>
      </c>
      <c r="F2275" s="14">
        <v>0.4404</v>
      </c>
      <c r="G2275" s="15"/>
      <c r="H2275" s="16"/>
      <c r="I2275" s="14"/>
    </row>
    <row r="2276">
      <c r="A2276" s="14">
        <v>716.0</v>
      </c>
      <c r="B2276" s="14">
        <v>5.9595337E7</v>
      </c>
      <c r="C2276" s="14">
        <v>2.38481302E8</v>
      </c>
      <c r="D2276" s="2" t="s">
        <v>2708</v>
      </c>
      <c r="E2276" s="1" t="s">
        <v>699</v>
      </c>
      <c r="F2276" s="14">
        <v>0.4404</v>
      </c>
      <c r="G2276" s="15"/>
      <c r="H2276" s="16"/>
      <c r="I2276" s="14"/>
    </row>
    <row r="2277">
      <c r="A2277" s="14">
        <v>504.0</v>
      </c>
      <c r="B2277" s="14">
        <v>6.0048003E7</v>
      </c>
      <c r="C2277" s="14">
        <v>2.40726575E8</v>
      </c>
      <c r="D2277" s="2" t="s">
        <v>2690</v>
      </c>
      <c r="E2277" s="1" t="s">
        <v>699</v>
      </c>
      <c r="F2277" s="14">
        <v>0.4404</v>
      </c>
      <c r="G2277" s="15"/>
      <c r="H2277" s="16"/>
      <c r="I2277" s="14"/>
    </row>
    <row r="2278">
      <c r="A2278" s="14">
        <v>587.0</v>
      </c>
      <c r="B2278" s="14">
        <v>6.9536261E7</v>
      </c>
      <c r="C2278" s="14">
        <v>2.86324933E8</v>
      </c>
      <c r="D2278" s="2" t="s">
        <v>2249</v>
      </c>
      <c r="E2278" s="1" t="s">
        <v>699</v>
      </c>
      <c r="F2278" s="14">
        <v>0.4404</v>
      </c>
      <c r="G2278" s="15"/>
      <c r="H2278" s="16"/>
      <c r="I2278" s="14"/>
    </row>
    <row r="2279">
      <c r="A2279" s="14">
        <v>716.0</v>
      </c>
      <c r="B2279" s="14">
        <v>6.9575922E7</v>
      </c>
      <c r="C2279" s="14">
        <v>2.86790632E8</v>
      </c>
      <c r="D2279" s="2" t="s">
        <v>2248</v>
      </c>
      <c r="E2279" s="1" t="s">
        <v>699</v>
      </c>
      <c r="F2279" s="14">
        <v>0.4404</v>
      </c>
      <c r="G2279" s="15"/>
      <c r="H2279" s="16"/>
      <c r="I2279" s="14"/>
    </row>
    <row r="2280">
      <c r="A2280" s="14">
        <v>674.0</v>
      </c>
      <c r="B2280" s="14">
        <v>7.0528656E7</v>
      </c>
      <c r="C2280" s="14">
        <v>3.8883536E8</v>
      </c>
      <c r="D2280" s="2" t="s">
        <v>2188</v>
      </c>
      <c r="E2280" s="1" t="s">
        <v>699</v>
      </c>
      <c r="F2280" s="14">
        <v>0.4404</v>
      </c>
      <c r="G2280" s="15"/>
      <c r="H2280" s="16"/>
      <c r="I2280" s="14"/>
    </row>
    <row r="2281">
      <c r="A2281" s="14">
        <v>215.0</v>
      </c>
      <c r="B2281" s="14">
        <v>8.3039099E7</v>
      </c>
      <c r="C2281" s="14">
        <v>3.49108682E8</v>
      </c>
      <c r="D2281" s="2" t="s">
        <v>1564</v>
      </c>
      <c r="E2281" s="1" t="s">
        <v>699</v>
      </c>
      <c r="F2281" s="14">
        <v>0.4404</v>
      </c>
      <c r="G2281" s="15"/>
      <c r="H2281" s="16"/>
      <c r="I2281" s="14"/>
    </row>
    <row r="2282">
      <c r="A2282" s="14">
        <v>484.0</v>
      </c>
      <c r="B2282" s="14">
        <v>9.2355493E7</v>
      </c>
      <c r="C2282" s="14">
        <v>3.92233592E8</v>
      </c>
      <c r="D2282" s="2" t="s">
        <v>1011</v>
      </c>
      <c r="E2282" s="1" t="s">
        <v>699</v>
      </c>
      <c r="F2282" s="14">
        <v>0.4404</v>
      </c>
      <c r="G2282" s="15"/>
      <c r="H2282" s="16"/>
      <c r="I2282" s="14"/>
    </row>
    <row r="2283">
      <c r="A2283" s="14">
        <v>319.0</v>
      </c>
      <c r="B2283" s="14">
        <v>9.5425739E7</v>
      </c>
      <c r="C2283" s="14">
        <v>4.06464551E8</v>
      </c>
      <c r="D2283" s="2" t="s">
        <v>863</v>
      </c>
      <c r="E2283" s="1" t="s">
        <v>699</v>
      </c>
      <c r="F2283" s="14">
        <v>0.4404</v>
      </c>
      <c r="G2283" s="15"/>
      <c r="H2283" s="16"/>
      <c r="I2283" s="14"/>
    </row>
    <row r="2284">
      <c r="A2284" s="14">
        <v>602.0</v>
      </c>
      <c r="B2284" s="14">
        <v>9.6390436E7</v>
      </c>
      <c r="C2284" s="14">
        <v>4.11264939E8</v>
      </c>
      <c r="D2284" s="2" t="s">
        <v>799</v>
      </c>
      <c r="E2284" s="1" t="s">
        <v>699</v>
      </c>
      <c r="F2284" s="14">
        <v>0.4404</v>
      </c>
      <c r="G2284" s="15"/>
      <c r="H2284" s="16"/>
      <c r="I2284" s="14"/>
    </row>
    <row r="2285">
      <c r="A2285" s="14">
        <v>385.0</v>
      </c>
      <c r="B2285" s="14">
        <v>9.8112395E7</v>
      </c>
      <c r="C2285" s="14">
        <v>4.19216023E8</v>
      </c>
      <c r="D2285" s="2" t="s">
        <v>693</v>
      </c>
      <c r="E2285" s="1" t="s">
        <v>699</v>
      </c>
      <c r="F2285" s="14">
        <v>0.4404</v>
      </c>
      <c r="G2285" s="15"/>
      <c r="H2285" s="16"/>
      <c r="I2285" s="14"/>
    </row>
    <row r="2286">
      <c r="A2286" s="14">
        <v>475.0</v>
      </c>
      <c r="B2286" s="14">
        <v>9.8919473E7</v>
      </c>
      <c r="C2286" s="14">
        <v>4.23370863E8</v>
      </c>
      <c r="D2286" s="2" t="s">
        <v>657</v>
      </c>
      <c r="E2286" s="1" t="s">
        <v>699</v>
      </c>
      <c r="F2286" s="14">
        <v>0.4404</v>
      </c>
      <c r="G2286" s="15"/>
      <c r="H2286" s="16"/>
      <c r="I2286" s="14"/>
    </row>
    <row r="2287">
      <c r="A2287" s="14">
        <v>215.0</v>
      </c>
      <c r="B2287" s="14">
        <v>1.00700883E8</v>
      </c>
      <c r="C2287" s="14">
        <v>4.32185919E8</v>
      </c>
      <c r="D2287" s="2" t="s">
        <v>548</v>
      </c>
      <c r="E2287" s="1" t="s">
        <v>699</v>
      </c>
      <c r="F2287" s="14">
        <v>0.4404</v>
      </c>
      <c r="G2287" s="15"/>
      <c r="H2287" s="16"/>
      <c r="I2287" s="14"/>
    </row>
    <row r="2288">
      <c r="A2288" s="14">
        <v>571.0</v>
      </c>
      <c r="B2288" s="14">
        <v>1.00910303E8</v>
      </c>
      <c r="C2288" s="14">
        <v>4.33092657E8</v>
      </c>
      <c r="D2288" s="2" t="s">
        <v>534</v>
      </c>
      <c r="E2288" s="1" t="s">
        <v>699</v>
      </c>
      <c r="F2288" s="14">
        <v>0.4404</v>
      </c>
      <c r="G2288" s="15"/>
      <c r="H2288" s="16"/>
      <c r="I2288" s="14"/>
    </row>
    <row r="2289">
      <c r="A2289" s="14">
        <v>504.0</v>
      </c>
      <c r="B2289" s="14">
        <v>1.01313857E8</v>
      </c>
      <c r="C2289" s="14">
        <v>4.3440072E8</v>
      </c>
      <c r="D2289" s="2" t="s">
        <v>510</v>
      </c>
      <c r="E2289" s="1" t="s">
        <v>699</v>
      </c>
      <c r="F2289" s="14">
        <v>0.4404</v>
      </c>
      <c r="G2289" s="15"/>
      <c r="H2289" s="16"/>
      <c r="I2289" s="14"/>
    </row>
    <row r="2290">
      <c r="A2290" s="14">
        <v>396.0</v>
      </c>
      <c r="B2290" s="14">
        <v>629000.0</v>
      </c>
      <c r="C2290" s="14">
        <v>3057790.0</v>
      </c>
      <c r="D2290" s="2" t="s">
        <v>4600</v>
      </c>
      <c r="E2290" s="1" t="s">
        <v>121</v>
      </c>
      <c r="F2290" s="14">
        <v>0.4404</v>
      </c>
      <c r="G2290" s="15"/>
      <c r="H2290" s="16"/>
      <c r="I2290" s="14"/>
    </row>
    <row r="2291">
      <c r="A2291" s="14">
        <v>223.0</v>
      </c>
      <c r="B2291" s="14">
        <v>862006.0</v>
      </c>
      <c r="C2291" s="14">
        <v>4058401.0</v>
      </c>
      <c r="D2291" s="2" t="s">
        <v>4602</v>
      </c>
      <c r="E2291" s="1" t="s">
        <v>121</v>
      </c>
      <c r="F2291" s="14">
        <v>0.4404</v>
      </c>
      <c r="G2291" s="15"/>
      <c r="H2291" s="16"/>
      <c r="I2291" s="14"/>
    </row>
    <row r="2292">
      <c r="A2292" s="14">
        <v>645.0</v>
      </c>
      <c r="B2292" s="14">
        <v>1541469.0</v>
      </c>
      <c r="C2292" s="14">
        <v>6778960.0</v>
      </c>
      <c r="D2292" s="2" t="s">
        <v>4604</v>
      </c>
      <c r="E2292" s="1" t="s">
        <v>121</v>
      </c>
      <c r="F2292" s="14">
        <v>0.4404</v>
      </c>
      <c r="G2292" s="15"/>
      <c r="H2292" s="16"/>
      <c r="I2292" s="14"/>
    </row>
    <row r="2293">
      <c r="A2293" s="14">
        <v>395.0</v>
      </c>
      <c r="B2293" s="14">
        <v>2731786.0</v>
      </c>
      <c r="C2293" s="14">
        <v>1.152653E7</v>
      </c>
      <c r="D2293" s="2" t="s">
        <v>4607</v>
      </c>
      <c r="E2293" s="1" t="s">
        <v>121</v>
      </c>
      <c r="F2293" s="14">
        <v>0.4404</v>
      </c>
      <c r="G2293" s="15"/>
      <c r="H2293" s="16"/>
      <c r="I2293" s="14"/>
    </row>
    <row r="2294">
      <c r="A2294" s="14">
        <v>225.0</v>
      </c>
      <c r="B2294" s="14">
        <v>3419833.0</v>
      </c>
      <c r="C2294" s="14">
        <v>1.4516459E7</v>
      </c>
      <c r="D2294" s="2" t="s">
        <v>4609</v>
      </c>
      <c r="E2294" s="1" t="s">
        <v>121</v>
      </c>
      <c r="F2294" s="14">
        <v>0.4404</v>
      </c>
      <c r="G2294" s="15"/>
      <c r="H2294" s="16"/>
      <c r="I2294" s="14"/>
    </row>
    <row r="2295">
      <c r="A2295" s="14">
        <v>503.0</v>
      </c>
      <c r="B2295" s="14">
        <v>3795633.0</v>
      </c>
      <c r="C2295" s="14">
        <v>1.6113254E7</v>
      </c>
      <c r="D2295" s="2" t="s">
        <v>4611</v>
      </c>
      <c r="E2295" s="1" t="s">
        <v>121</v>
      </c>
      <c r="F2295" s="14">
        <v>0.4404</v>
      </c>
      <c r="G2295" s="15"/>
      <c r="H2295" s="16"/>
      <c r="I2295" s="14"/>
    </row>
    <row r="2296">
      <c r="A2296" s="14">
        <v>414.0</v>
      </c>
      <c r="B2296" s="14">
        <v>4009971.0</v>
      </c>
      <c r="C2296" s="14">
        <v>1.6959607E7</v>
      </c>
      <c r="D2296" s="2" t="s">
        <v>4613</v>
      </c>
      <c r="E2296" s="1" t="s">
        <v>121</v>
      </c>
      <c r="F2296" s="14">
        <v>0.4404</v>
      </c>
      <c r="G2296" s="15"/>
      <c r="H2296" s="16"/>
      <c r="I2296" s="14"/>
    </row>
    <row r="2297">
      <c r="A2297" s="14">
        <v>571.0</v>
      </c>
      <c r="B2297" s="14">
        <v>4238201.0</v>
      </c>
      <c r="C2297" s="14">
        <v>3.45109061E8</v>
      </c>
      <c r="D2297" s="2" t="s">
        <v>4615</v>
      </c>
      <c r="E2297" s="1" t="s">
        <v>121</v>
      </c>
      <c r="F2297" s="14">
        <v>0.4404</v>
      </c>
      <c r="G2297" s="15"/>
      <c r="H2297" s="16"/>
      <c r="I2297" s="14"/>
    </row>
    <row r="2298">
      <c r="A2298" s="14">
        <v>550.0</v>
      </c>
      <c r="B2298" s="14">
        <v>4466825.0</v>
      </c>
      <c r="C2298" s="14">
        <v>1.8972733E7</v>
      </c>
      <c r="D2298" s="2" t="s">
        <v>4616</v>
      </c>
      <c r="E2298" s="1" t="s">
        <v>121</v>
      </c>
      <c r="F2298" s="14">
        <v>0.4404</v>
      </c>
      <c r="G2298" s="15"/>
      <c r="H2298" s="16"/>
      <c r="I2298" s="14"/>
    </row>
    <row r="2299">
      <c r="A2299" s="14">
        <v>419.0</v>
      </c>
      <c r="B2299" s="14">
        <v>5764023.0</v>
      </c>
      <c r="C2299" s="14">
        <v>2.4633883E7</v>
      </c>
      <c r="D2299" s="2" t="s">
        <v>4617</v>
      </c>
      <c r="E2299" s="1" t="s">
        <v>121</v>
      </c>
      <c r="F2299" s="14">
        <v>0.4404</v>
      </c>
      <c r="G2299" s="15"/>
      <c r="H2299" s="16"/>
      <c r="I2299" s="14"/>
    </row>
    <row r="2300">
      <c r="A2300" s="14">
        <v>634.0</v>
      </c>
      <c r="B2300" s="14">
        <v>9203466.0</v>
      </c>
      <c r="C2300" s="14">
        <v>3.9012142E7</v>
      </c>
      <c r="D2300" s="2" t="s">
        <v>4454</v>
      </c>
      <c r="E2300" s="1" t="s">
        <v>121</v>
      </c>
      <c r="F2300" s="14">
        <v>0.4404</v>
      </c>
      <c r="G2300" s="15"/>
      <c r="H2300" s="16"/>
      <c r="I2300" s="14"/>
    </row>
    <row r="2301">
      <c r="A2301" s="14">
        <v>531.0</v>
      </c>
      <c r="B2301" s="14">
        <v>1.1296481E7</v>
      </c>
      <c r="C2301" s="14">
        <v>4.7972002E7</v>
      </c>
      <c r="D2301" s="2" t="s">
        <v>4297</v>
      </c>
      <c r="E2301" s="1" t="s">
        <v>121</v>
      </c>
      <c r="F2301" s="14">
        <v>0.4404</v>
      </c>
      <c r="G2301" s="15"/>
      <c r="H2301" s="16"/>
      <c r="I2301" s="14"/>
    </row>
    <row r="2302">
      <c r="A2302" s="14">
        <v>602.0</v>
      </c>
      <c r="B2302" s="14">
        <v>1.1689292E7</v>
      </c>
      <c r="C2302" s="14">
        <v>4.9619304E7</v>
      </c>
      <c r="D2302" s="2" t="s">
        <v>4274</v>
      </c>
      <c r="E2302" s="1" t="s">
        <v>121</v>
      </c>
      <c r="F2302" s="14">
        <v>0.4404</v>
      </c>
      <c r="G2302" s="15"/>
      <c r="H2302" s="16"/>
      <c r="I2302" s="14"/>
    </row>
    <row r="2303">
      <c r="A2303" s="14">
        <v>609.0</v>
      </c>
      <c r="B2303" s="14">
        <v>1.2852222E7</v>
      </c>
      <c r="C2303" s="14">
        <v>5.4571008E7</v>
      </c>
      <c r="D2303" s="2" t="s">
        <v>4219</v>
      </c>
      <c r="E2303" s="1" t="s">
        <v>121</v>
      </c>
      <c r="F2303" s="14">
        <v>0.4404</v>
      </c>
      <c r="G2303" s="15"/>
      <c r="H2303" s="16"/>
      <c r="I2303" s="14"/>
    </row>
    <row r="2304">
      <c r="A2304" s="14">
        <v>409.0</v>
      </c>
      <c r="B2304" s="14">
        <v>1.3699337E7</v>
      </c>
      <c r="C2304" s="14">
        <v>5.8163765E7</v>
      </c>
      <c r="D2304" s="2" t="s">
        <v>4178</v>
      </c>
      <c r="E2304" s="1" t="s">
        <v>121</v>
      </c>
      <c r="F2304" s="14">
        <v>0.4404</v>
      </c>
      <c r="G2304" s="15"/>
      <c r="H2304" s="16"/>
      <c r="I2304" s="14"/>
    </row>
    <row r="2305">
      <c r="A2305" s="14">
        <v>571.0</v>
      </c>
      <c r="B2305" s="14">
        <v>1.5166533E7</v>
      </c>
      <c r="C2305" s="14">
        <v>6.4467488E7</v>
      </c>
      <c r="D2305" s="2" t="s">
        <v>4092</v>
      </c>
      <c r="E2305" s="1" t="s">
        <v>121</v>
      </c>
      <c r="F2305" s="14">
        <v>0.4404</v>
      </c>
      <c r="G2305" s="15"/>
      <c r="H2305" s="16"/>
      <c r="I2305" s="14"/>
    </row>
    <row r="2306">
      <c r="A2306" s="14">
        <v>355.0</v>
      </c>
      <c r="B2306" s="14">
        <v>1.7175564E7</v>
      </c>
      <c r="C2306" s="14">
        <v>7.2902761E7</v>
      </c>
      <c r="D2306" s="2" t="s">
        <v>3967</v>
      </c>
      <c r="E2306" s="1" t="s">
        <v>121</v>
      </c>
      <c r="F2306" s="14">
        <v>0.4404</v>
      </c>
      <c r="G2306" s="15"/>
      <c r="H2306" s="16"/>
      <c r="I2306" s="14"/>
    </row>
    <row r="2307">
      <c r="A2307" s="14">
        <v>492.0</v>
      </c>
      <c r="B2307" s="14">
        <v>1.8612185E7</v>
      </c>
      <c r="C2307" s="14">
        <v>7.8126914E7</v>
      </c>
      <c r="D2307" s="2" t="s">
        <v>3911</v>
      </c>
      <c r="E2307" s="1" t="s">
        <v>121</v>
      </c>
      <c r="F2307" s="14">
        <v>0.4404</v>
      </c>
      <c r="G2307" s="15"/>
      <c r="H2307" s="16"/>
      <c r="I2307" s="14"/>
    </row>
    <row r="2308">
      <c r="A2308" s="14">
        <v>602.0</v>
      </c>
      <c r="B2308" s="14">
        <v>2.2753938E7</v>
      </c>
      <c r="C2308" s="14">
        <v>9.4226022E7</v>
      </c>
      <c r="D2308" s="2" t="s">
        <v>3783</v>
      </c>
      <c r="E2308" s="1" t="s">
        <v>121</v>
      </c>
      <c r="F2308" s="14">
        <v>0.4404</v>
      </c>
      <c r="G2308" s="15"/>
      <c r="H2308" s="16"/>
      <c r="I2308" s="14"/>
    </row>
    <row r="2309">
      <c r="A2309" s="14">
        <v>488.0</v>
      </c>
      <c r="B2309" s="14">
        <v>2.7179631E7</v>
      </c>
      <c r="C2309" s="14">
        <v>1.09882038E8</v>
      </c>
      <c r="D2309" s="2" t="s">
        <v>3670</v>
      </c>
      <c r="E2309" s="1" t="s">
        <v>121</v>
      </c>
      <c r="F2309" s="14">
        <v>0.4404</v>
      </c>
      <c r="G2309" s="15"/>
      <c r="H2309" s="16"/>
      <c r="I2309" s="14"/>
    </row>
    <row r="2310">
      <c r="A2310" s="14">
        <v>665.0</v>
      </c>
      <c r="B2310" s="14">
        <v>4.8723262E7</v>
      </c>
      <c r="C2310" s="14">
        <v>1.92615244E8</v>
      </c>
      <c r="D2310" s="2" t="s">
        <v>3067</v>
      </c>
      <c r="E2310" s="1" t="s">
        <v>121</v>
      </c>
      <c r="F2310" s="14">
        <v>0.4404</v>
      </c>
      <c r="G2310" s="15"/>
      <c r="H2310" s="16"/>
      <c r="I2310" s="14"/>
    </row>
    <row r="2311">
      <c r="A2311" s="14">
        <v>550.0</v>
      </c>
      <c r="B2311" s="14">
        <v>5.608213E7</v>
      </c>
      <c r="C2311" s="14">
        <v>2.22983098E8</v>
      </c>
      <c r="D2311" s="2" t="s">
        <v>2811</v>
      </c>
      <c r="E2311" s="1" t="s">
        <v>121</v>
      </c>
      <c r="F2311" s="14">
        <v>0.4404</v>
      </c>
      <c r="G2311" s="15"/>
      <c r="H2311" s="16"/>
      <c r="I2311" s="14"/>
    </row>
    <row r="2312">
      <c r="A2312" s="14">
        <v>557.0</v>
      </c>
      <c r="B2312" s="14">
        <v>7.4919898E7</v>
      </c>
      <c r="C2312" s="14">
        <v>3.10189347E8</v>
      </c>
      <c r="D2312" s="2" t="s">
        <v>2031</v>
      </c>
      <c r="E2312" s="1" t="s">
        <v>121</v>
      </c>
      <c r="F2312" s="14">
        <v>0.4404</v>
      </c>
      <c r="G2312" s="15"/>
      <c r="H2312" s="16"/>
      <c r="I2312" s="14"/>
    </row>
    <row r="2313">
      <c r="A2313" s="14">
        <v>319.0</v>
      </c>
      <c r="B2313" s="14">
        <v>9.4813854E7</v>
      </c>
      <c r="C2313" s="14">
        <v>4.03636271E8</v>
      </c>
      <c r="D2313" s="2" t="s">
        <v>888</v>
      </c>
      <c r="E2313" s="1" t="s">
        <v>121</v>
      </c>
      <c r="F2313" s="14">
        <v>0.4404</v>
      </c>
      <c r="G2313" s="15"/>
      <c r="H2313" s="16"/>
      <c r="I2313" s="14"/>
    </row>
    <row r="2314">
      <c r="A2314" s="14">
        <v>643.0</v>
      </c>
      <c r="B2314" s="14">
        <v>9.9049829E7</v>
      </c>
      <c r="C2314" s="14">
        <v>4.23735561E8</v>
      </c>
      <c r="D2314" s="2" t="s">
        <v>649</v>
      </c>
      <c r="E2314" s="1" t="s">
        <v>121</v>
      </c>
      <c r="F2314" s="14">
        <v>0.4404</v>
      </c>
      <c r="G2314" s="15"/>
      <c r="H2314" s="16"/>
      <c r="I2314" s="14"/>
    </row>
    <row r="2315">
      <c r="A2315" s="14">
        <v>602.0</v>
      </c>
      <c r="B2315" s="14">
        <v>8.8709806E7</v>
      </c>
      <c r="C2315" s="14">
        <v>3.75554707E8</v>
      </c>
      <c r="D2315" s="2" t="s">
        <v>1201</v>
      </c>
      <c r="E2315" s="1" t="s">
        <v>121</v>
      </c>
      <c r="F2315" s="14">
        <v>0.4391</v>
      </c>
      <c r="G2315" s="15"/>
      <c r="H2315" s="16"/>
      <c r="I2315" s="14"/>
    </row>
    <row r="2316">
      <c r="A2316" s="14">
        <v>571.0</v>
      </c>
      <c r="B2316" s="14">
        <v>1180832.0</v>
      </c>
      <c r="C2316" s="14">
        <v>5319458.0</v>
      </c>
      <c r="D2316" s="2" t="s">
        <v>4637</v>
      </c>
      <c r="E2316" s="1" t="s">
        <v>121</v>
      </c>
      <c r="F2316" s="14">
        <v>0.4389</v>
      </c>
      <c r="G2316" s="15"/>
      <c r="H2316" s="16"/>
      <c r="I2316" s="14"/>
    </row>
    <row r="2317">
      <c r="A2317" s="14">
        <v>673.0</v>
      </c>
      <c r="B2317" s="14">
        <v>6501214.0</v>
      </c>
      <c r="C2317" s="14">
        <v>2.7613693E7</v>
      </c>
      <c r="D2317" s="2" t="s">
        <v>4639</v>
      </c>
      <c r="E2317" s="1" t="s">
        <v>121</v>
      </c>
      <c r="F2317" s="14">
        <v>0.4376</v>
      </c>
      <c r="G2317" s="15"/>
      <c r="H2317" s="16"/>
      <c r="I2317" s="14"/>
    </row>
    <row r="2318">
      <c r="A2318" s="14">
        <v>120.0</v>
      </c>
      <c r="B2318" s="14">
        <v>814032.0</v>
      </c>
      <c r="C2318" s="14">
        <v>3868258.0</v>
      </c>
      <c r="D2318" s="2" t="s">
        <v>4640</v>
      </c>
      <c r="E2318" s="1" t="s">
        <v>121</v>
      </c>
      <c r="F2318" s="14">
        <v>0.4365</v>
      </c>
      <c r="G2318" s="15"/>
      <c r="H2318" s="16"/>
      <c r="I2318" s="14"/>
    </row>
    <row r="2319">
      <c r="A2319" s="14">
        <v>492.0</v>
      </c>
      <c r="B2319" s="14">
        <v>4965752.0</v>
      </c>
      <c r="C2319" s="14">
        <v>2.1099112E7</v>
      </c>
      <c r="D2319" s="2" t="s">
        <v>4641</v>
      </c>
      <c r="E2319" s="1" t="s">
        <v>699</v>
      </c>
      <c r="F2319" s="14">
        <v>0.4329</v>
      </c>
      <c r="G2319" s="15"/>
      <c r="H2319" s="16"/>
      <c r="I2319" s="14"/>
    </row>
    <row r="2320">
      <c r="A2320" s="14">
        <v>663.0</v>
      </c>
      <c r="B2320" s="14">
        <v>9162610.0</v>
      </c>
      <c r="C2320" s="14">
        <v>3.8896472E7</v>
      </c>
      <c r="D2320" s="2" t="s">
        <v>4458</v>
      </c>
      <c r="E2320" s="1" t="s">
        <v>699</v>
      </c>
      <c r="F2320" s="14">
        <v>0.4329</v>
      </c>
      <c r="G2320" s="15"/>
      <c r="H2320" s="16"/>
      <c r="I2320" s="14"/>
    </row>
    <row r="2321">
      <c r="A2321" s="14">
        <v>180.0</v>
      </c>
      <c r="B2321" s="14">
        <v>2.982259E7</v>
      </c>
      <c r="C2321" s="14">
        <v>1.19749648E8</v>
      </c>
      <c r="D2321" s="2" t="s">
        <v>3594</v>
      </c>
      <c r="E2321" s="1" t="s">
        <v>699</v>
      </c>
      <c r="F2321" s="14">
        <v>0.4329</v>
      </c>
      <c r="G2321" s="15"/>
      <c r="H2321" s="16"/>
      <c r="I2321" s="14"/>
    </row>
    <row r="2322">
      <c r="A2322" s="14">
        <v>410.0</v>
      </c>
      <c r="B2322" s="14">
        <v>4.9805161E7</v>
      </c>
      <c r="C2322" s="14">
        <v>1.9724987E8</v>
      </c>
      <c r="D2322" s="2" t="s">
        <v>3023</v>
      </c>
      <c r="E2322" s="1" t="s">
        <v>699</v>
      </c>
      <c r="F2322" s="14">
        <v>0.4329</v>
      </c>
      <c r="G2322" s="15"/>
      <c r="H2322" s="16"/>
      <c r="I2322" s="14"/>
    </row>
    <row r="2323">
      <c r="A2323" s="14">
        <v>571.0</v>
      </c>
      <c r="B2323" s="14">
        <v>6.2072305E7</v>
      </c>
      <c r="C2323" s="14">
        <v>2.50921452E8</v>
      </c>
      <c r="D2323" s="2" t="s">
        <v>2611</v>
      </c>
      <c r="E2323" s="1" t="s">
        <v>121</v>
      </c>
      <c r="F2323" s="14">
        <v>0.43</v>
      </c>
      <c r="G2323" s="15"/>
      <c r="H2323" s="16"/>
      <c r="I2323" s="14"/>
    </row>
    <row r="2324">
      <c r="A2324" s="14">
        <v>663.0</v>
      </c>
      <c r="B2324" s="14">
        <v>4341186.0</v>
      </c>
      <c r="C2324" s="14">
        <v>1.839035E7</v>
      </c>
      <c r="D2324" s="2" t="s">
        <v>4647</v>
      </c>
      <c r="E2324" s="1" t="s">
        <v>107</v>
      </c>
      <c r="F2324" s="14">
        <v>0.4251</v>
      </c>
      <c r="G2324" s="15"/>
      <c r="H2324" s="16"/>
      <c r="I2324" s="14"/>
    </row>
    <row r="2325">
      <c r="A2325" s="14">
        <v>421.0</v>
      </c>
      <c r="B2325" s="14">
        <v>4.0132656E7</v>
      </c>
      <c r="C2325" s="14">
        <v>1.59055264E8</v>
      </c>
      <c r="D2325" s="2" t="s">
        <v>3378</v>
      </c>
      <c r="E2325" s="1" t="s">
        <v>121</v>
      </c>
      <c r="F2325" s="14">
        <v>0.4221</v>
      </c>
      <c r="G2325" s="15"/>
      <c r="H2325" s="16"/>
      <c r="I2325" s="14"/>
    </row>
    <row r="2326">
      <c r="A2326" s="14">
        <v>409.0</v>
      </c>
      <c r="B2326" s="14">
        <v>7584223.0</v>
      </c>
      <c r="C2326" s="14">
        <v>3.2227125E7</v>
      </c>
      <c r="D2326" s="2" t="s">
        <v>4567</v>
      </c>
      <c r="E2326" s="1" t="s">
        <v>107</v>
      </c>
      <c r="F2326" s="14">
        <v>0.4215</v>
      </c>
      <c r="G2326" s="15"/>
      <c r="H2326" s="16"/>
      <c r="I2326" s="14"/>
    </row>
    <row r="2327">
      <c r="A2327" s="14">
        <v>696.0</v>
      </c>
      <c r="B2327" s="14">
        <v>1.0600409E7</v>
      </c>
      <c r="C2327" s="14">
        <v>4.4997698E7</v>
      </c>
      <c r="D2327" s="2" t="s">
        <v>4350</v>
      </c>
      <c r="E2327" s="1" t="s">
        <v>107</v>
      </c>
      <c r="F2327" s="14">
        <v>0.4215</v>
      </c>
      <c r="G2327" s="15"/>
      <c r="H2327" s="16"/>
      <c r="I2327" s="14"/>
    </row>
    <row r="2328">
      <c r="A2328" s="14">
        <v>410.0</v>
      </c>
      <c r="B2328" s="14">
        <v>2.2477092E7</v>
      </c>
      <c r="C2328" s="14">
        <v>9.2962101E7</v>
      </c>
      <c r="D2328" s="2" t="s">
        <v>3790</v>
      </c>
      <c r="E2328" s="1" t="s">
        <v>107</v>
      </c>
      <c r="F2328" s="14">
        <v>0.4215</v>
      </c>
      <c r="G2328" s="15"/>
      <c r="H2328" s="16"/>
      <c r="I2328" s="14"/>
    </row>
    <row r="2329">
      <c r="A2329" s="14">
        <v>355.0</v>
      </c>
      <c r="B2329" s="14">
        <v>4.6059828E7</v>
      </c>
      <c r="C2329" s="14">
        <v>1.81840473E8</v>
      </c>
      <c r="D2329" s="2" t="s">
        <v>3211</v>
      </c>
      <c r="E2329" s="1" t="s">
        <v>107</v>
      </c>
      <c r="F2329" s="14">
        <v>0.4215</v>
      </c>
      <c r="G2329" s="15"/>
      <c r="H2329" s="16"/>
      <c r="I2329" s="14"/>
    </row>
    <row r="2330">
      <c r="A2330" s="14">
        <v>671.0</v>
      </c>
      <c r="B2330" s="14">
        <v>5.9990613E7</v>
      </c>
      <c r="C2330" s="14">
        <v>2.40529475E8</v>
      </c>
      <c r="D2330" s="2" t="s">
        <v>2694</v>
      </c>
      <c r="E2330" s="1" t="s">
        <v>699</v>
      </c>
      <c r="F2330" s="14">
        <v>0.4215</v>
      </c>
      <c r="G2330" s="15"/>
      <c r="H2330" s="16"/>
      <c r="I2330" s="14"/>
    </row>
    <row r="2331">
      <c r="A2331" s="14">
        <v>173.0</v>
      </c>
      <c r="B2331" s="14">
        <v>6.272709E7</v>
      </c>
      <c r="C2331" s="14">
        <v>3.37921129E8</v>
      </c>
      <c r="D2331" s="2" t="s">
        <v>2582</v>
      </c>
      <c r="E2331" s="1" t="s">
        <v>699</v>
      </c>
      <c r="F2331" s="14">
        <v>0.4215</v>
      </c>
      <c r="G2331" s="15"/>
      <c r="H2331" s="16"/>
      <c r="I2331" s="14"/>
    </row>
    <row r="2332">
      <c r="A2332" s="14">
        <v>716.0</v>
      </c>
      <c r="B2332" s="14">
        <v>6.3110854E7</v>
      </c>
      <c r="C2332" s="14">
        <v>2.55781624E8</v>
      </c>
      <c r="D2332" s="2" t="s">
        <v>2561</v>
      </c>
      <c r="E2332" s="1" t="s">
        <v>699</v>
      </c>
      <c r="F2332" s="14">
        <v>0.4215</v>
      </c>
      <c r="G2332" s="15"/>
      <c r="H2332" s="16"/>
      <c r="I2332" s="14"/>
    </row>
    <row r="2333">
      <c r="A2333" s="14">
        <v>671.0</v>
      </c>
      <c r="B2333" s="14">
        <v>7.5836007E7</v>
      </c>
      <c r="C2333" s="14">
        <v>3.14522781E8</v>
      </c>
      <c r="D2333" s="2" t="s">
        <v>1978</v>
      </c>
      <c r="E2333" s="1" t="s">
        <v>699</v>
      </c>
      <c r="F2333" s="14">
        <v>0.4215</v>
      </c>
      <c r="G2333" s="15"/>
      <c r="H2333" s="16"/>
      <c r="I2333" s="14"/>
    </row>
    <row r="2334">
      <c r="A2334" s="14">
        <v>607.0</v>
      </c>
      <c r="B2334" s="14">
        <v>7.8245877E7</v>
      </c>
      <c r="C2334" s="14">
        <v>3.25732078E8</v>
      </c>
      <c r="D2334" s="2" t="s">
        <v>1835</v>
      </c>
      <c r="E2334" s="1" t="s">
        <v>699</v>
      </c>
      <c r="F2334" s="14">
        <v>0.4215</v>
      </c>
      <c r="G2334" s="15"/>
      <c r="H2334" s="16"/>
      <c r="I2334" s="14"/>
    </row>
    <row r="2335">
      <c r="A2335" s="14">
        <v>578.0</v>
      </c>
      <c r="B2335" s="14">
        <v>8.3198399E7</v>
      </c>
      <c r="C2335" s="14">
        <v>3.49579829E8</v>
      </c>
      <c r="D2335" s="2" t="s">
        <v>1558</v>
      </c>
      <c r="E2335" s="1" t="s">
        <v>699</v>
      </c>
      <c r="F2335" s="14">
        <v>0.4215</v>
      </c>
      <c r="G2335" s="15"/>
      <c r="H2335" s="16"/>
      <c r="I2335" s="14"/>
    </row>
    <row r="2336">
      <c r="A2336" s="14">
        <v>414.0</v>
      </c>
      <c r="B2336" s="14">
        <v>1572725.0</v>
      </c>
      <c r="C2336" s="14">
        <v>6.3806518E7</v>
      </c>
      <c r="D2336" s="2" t="s">
        <v>4653</v>
      </c>
      <c r="E2336" s="1" t="s">
        <v>121</v>
      </c>
      <c r="F2336" s="14">
        <v>0.4215</v>
      </c>
      <c r="G2336" s="15"/>
      <c r="H2336" s="16"/>
      <c r="I2336" s="14"/>
    </row>
    <row r="2337">
      <c r="A2337" s="14">
        <v>610.0</v>
      </c>
      <c r="B2337" s="14">
        <v>3631091.0</v>
      </c>
      <c r="C2337" s="14">
        <v>1.5403316E7</v>
      </c>
      <c r="D2337" s="2" t="s">
        <v>4654</v>
      </c>
      <c r="E2337" s="1" t="s">
        <v>121</v>
      </c>
      <c r="F2337" s="14">
        <v>0.4215</v>
      </c>
      <c r="G2337" s="15"/>
      <c r="H2337" s="16"/>
      <c r="I2337" s="14"/>
    </row>
    <row r="2338">
      <c r="A2338" s="14">
        <v>492.0</v>
      </c>
      <c r="B2338" s="14">
        <v>4249854.0</v>
      </c>
      <c r="C2338" s="14">
        <v>1.8023108E7</v>
      </c>
      <c r="D2338" s="2" t="s">
        <v>4655</v>
      </c>
      <c r="E2338" s="1" t="s">
        <v>121</v>
      </c>
      <c r="F2338" s="14">
        <v>0.4215</v>
      </c>
      <c r="G2338" s="15"/>
      <c r="H2338" s="16"/>
      <c r="I2338" s="14"/>
    </row>
    <row r="2339">
      <c r="A2339" s="14">
        <v>378.0</v>
      </c>
      <c r="B2339" s="14">
        <v>4991895.0</v>
      </c>
      <c r="C2339" s="14">
        <v>2.1237036E7</v>
      </c>
      <c r="D2339" s="2" t="s">
        <v>4656</v>
      </c>
      <c r="E2339" s="1" t="s">
        <v>121</v>
      </c>
      <c r="F2339" s="14">
        <v>0.4215</v>
      </c>
      <c r="G2339" s="15"/>
      <c r="H2339" s="16"/>
      <c r="I2339" s="14"/>
    </row>
    <row r="2340">
      <c r="A2340" s="14">
        <v>609.0</v>
      </c>
      <c r="B2340" s="14">
        <v>7994897.0</v>
      </c>
      <c r="C2340" s="14">
        <v>3.4311725E7</v>
      </c>
      <c r="D2340" s="2" t="s">
        <v>4545</v>
      </c>
      <c r="E2340" s="1" t="s">
        <v>121</v>
      </c>
      <c r="F2340" s="14">
        <v>0.4215</v>
      </c>
      <c r="G2340" s="15"/>
      <c r="H2340" s="16"/>
      <c r="I2340" s="14"/>
    </row>
    <row r="2341">
      <c r="A2341" s="14">
        <v>406.0</v>
      </c>
      <c r="B2341" s="14">
        <v>8112336.0</v>
      </c>
      <c r="C2341" s="14">
        <v>3.4387458E7</v>
      </c>
      <c r="D2341" s="2" t="s">
        <v>4534</v>
      </c>
      <c r="E2341" s="1" t="s">
        <v>121</v>
      </c>
      <c r="F2341" s="14">
        <v>0.4215</v>
      </c>
      <c r="G2341" s="15"/>
      <c r="H2341" s="16"/>
      <c r="I2341" s="14"/>
    </row>
    <row r="2342">
      <c r="A2342" s="14">
        <v>503.0</v>
      </c>
      <c r="B2342" s="14">
        <v>1.1091028E7</v>
      </c>
      <c r="C2342" s="14">
        <v>4.7219806E7</v>
      </c>
      <c r="D2342" s="2" t="s">
        <v>4313</v>
      </c>
      <c r="E2342" s="1" t="s">
        <v>121</v>
      </c>
      <c r="F2342" s="14">
        <v>0.4215</v>
      </c>
      <c r="G2342" s="15"/>
      <c r="H2342" s="16"/>
      <c r="I2342" s="14"/>
    </row>
    <row r="2343">
      <c r="A2343" s="14">
        <v>504.0</v>
      </c>
      <c r="B2343" s="14">
        <v>1.1175847E7</v>
      </c>
      <c r="C2343" s="14">
        <v>4.7542762E7</v>
      </c>
      <c r="D2343" s="2" t="s">
        <v>4303</v>
      </c>
      <c r="E2343" s="1" t="s">
        <v>121</v>
      </c>
      <c r="F2343" s="14">
        <v>0.4215</v>
      </c>
      <c r="G2343" s="15"/>
      <c r="H2343" s="16"/>
      <c r="I2343" s="14"/>
    </row>
    <row r="2344">
      <c r="A2344" s="14">
        <v>503.0</v>
      </c>
      <c r="B2344" s="14">
        <v>2.1060097E7</v>
      </c>
      <c r="C2344" s="14">
        <v>8.7334325E7</v>
      </c>
      <c r="D2344" s="2" t="s">
        <v>3830</v>
      </c>
      <c r="E2344" s="1" t="s">
        <v>121</v>
      </c>
      <c r="F2344" s="14">
        <v>0.4215</v>
      </c>
      <c r="G2344" s="15"/>
      <c r="H2344" s="16"/>
      <c r="I2344" s="14"/>
    </row>
    <row r="2345">
      <c r="A2345" s="14">
        <v>654.0</v>
      </c>
      <c r="B2345" s="14">
        <v>2.7453305E7</v>
      </c>
      <c r="C2345" s="14">
        <v>2.82527553E8</v>
      </c>
      <c r="D2345" s="2" t="s">
        <v>3663</v>
      </c>
      <c r="E2345" s="1" t="s">
        <v>121</v>
      </c>
      <c r="F2345" s="14">
        <v>0.4215</v>
      </c>
      <c r="G2345" s="15"/>
      <c r="H2345" s="16"/>
      <c r="I2345" s="14"/>
    </row>
    <row r="2346">
      <c r="A2346" s="14">
        <v>715.0</v>
      </c>
      <c r="B2346" s="14">
        <v>4.6335594E7</v>
      </c>
      <c r="C2346" s="14">
        <v>1.83037376E8</v>
      </c>
      <c r="D2346" s="2" t="s">
        <v>3199</v>
      </c>
      <c r="E2346" s="1" t="s">
        <v>121</v>
      </c>
      <c r="F2346" s="14">
        <v>0.4215</v>
      </c>
      <c r="G2346" s="15"/>
      <c r="H2346" s="16"/>
      <c r="I2346" s="14"/>
    </row>
    <row r="2347">
      <c r="A2347" s="14">
        <v>215.0</v>
      </c>
      <c r="B2347" s="14">
        <v>5.345363E7</v>
      </c>
      <c r="C2347" s="14">
        <v>2.12563391E8</v>
      </c>
      <c r="D2347" s="2" t="s">
        <v>2893</v>
      </c>
      <c r="E2347" s="1" t="s">
        <v>121</v>
      </c>
      <c r="F2347" s="14">
        <v>0.4215</v>
      </c>
      <c r="G2347" s="15"/>
      <c r="H2347" s="16"/>
      <c r="I2347" s="14"/>
    </row>
    <row r="2348">
      <c r="A2348" s="14">
        <v>455.0</v>
      </c>
      <c r="B2348" s="14">
        <v>6.1697291E7</v>
      </c>
      <c r="C2348" s="14">
        <v>2.48847982E8</v>
      </c>
      <c r="D2348" s="2" t="s">
        <v>2626</v>
      </c>
      <c r="E2348" s="1" t="s">
        <v>121</v>
      </c>
      <c r="F2348" s="14">
        <v>0.4215</v>
      </c>
      <c r="G2348" s="15"/>
      <c r="H2348" s="16"/>
      <c r="I2348" s="14"/>
    </row>
    <row r="2349">
      <c r="A2349" s="14">
        <v>715.0</v>
      </c>
      <c r="B2349" s="14">
        <v>6.9422293E7</v>
      </c>
      <c r="C2349" s="14">
        <v>2.85755655E8</v>
      </c>
      <c r="D2349" s="2" t="s">
        <v>2264</v>
      </c>
      <c r="E2349" s="1" t="s">
        <v>121</v>
      </c>
      <c r="F2349" s="14">
        <v>0.4215</v>
      </c>
      <c r="G2349" s="15"/>
      <c r="H2349" s="16"/>
      <c r="I2349" s="14"/>
    </row>
    <row r="2350">
      <c r="A2350" s="14">
        <v>455.0</v>
      </c>
      <c r="B2350" s="14">
        <v>9.108835E7</v>
      </c>
      <c r="C2350" s="14">
        <v>3.86295425E8</v>
      </c>
      <c r="D2350" s="2" t="s">
        <v>1078</v>
      </c>
      <c r="E2350" s="1" t="s">
        <v>121</v>
      </c>
      <c r="F2350" s="14">
        <v>0.4215</v>
      </c>
      <c r="G2350" s="15"/>
      <c r="H2350" s="16"/>
      <c r="I2350" s="14"/>
    </row>
    <row r="2351">
      <c r="A2351" s="14">
        <v>565.0</v>
      </c>
      <c r="B2351" s="14">
        <v>1.11144719E8</v>
      </c>
      <c r="C2351" s="14">
        <v>4.81969969E8</v>
      </c>
      <c r="D2351" s="2" t="s">
        <v>50</v>
      </c>
      <c r="E2351" s="1" t="s">
        <v>121</v>
      </c>
      <c r="F2351" s="14">
        <v>0.4215</v>
      </c>
      <c r="G2351" s="15"/>
      <c r="H2351" s="16"/>
      <c r="I2351" s="14"/>
    </row>
    <row r="2352">
      <c r="A2352" s="14">
        <v>609.0</v>
      </c>
      <c r="B2352" s="14">
        <v>6555220.0</v>
      </c>
      <c r="C2352" s="14">
        <v>2.7908808E7</v>
      </c>
      <c r="D2352" s="2" t="s">
        <v>4659</v>
      </c>
      <c r="E2352" s="1" t="s">
        <v>107</v>
      </c>
      <c r="F2352" s="14">
        <v>0.4201</v>
      </c>
      <c r="G2352" s="15"/>
      <c r="H2352" s="16"/>
      <c r="I2352" s="14"/>
    </row>
    <row r="2353">
      <c r="A2353" s="14">
        <v>215.0</v>
      </c>
      <c r="B2353" s="14">
        <v>2644273.0</v>
      </c>
      <c r="C2353" s="14">
        <v>1.1202332E7</v>
      </c>
      <c r="D2353" s="2" t="s">
        <v>4663</v>
      </c>
      <c r="E2353" s="1" t="s">
        <v>107</v>
      </c>
      <c r="F2353" s="14">
        <v>0.4199</v>
      </c>
      <c r="G2353" s="15"/>
      <c r="H2353" s="16"/>
      <c r="I2353" s="14"/>
    </row>
    <row r="2354">
      <c r="A2354" s="14">
        <v>602.0</v>
      </c>
      <c r="B2354" s="14">
        <v>3464607.0</v>
      </c>
      <c r="C2354" s="14">
        <v>1.4710268E7</v>
      </c>
      <c r="D2354" s="2" t="s">
        <v>4664</v>
      </c>
      <c r="E2354" s="1" t="s">
        <v>107</v>
      </c>
      <c r="F2354" s="14">
        <v>0.4199</v>
      </c>
      <c r="G2354" s="15"/>
      <c r="H2354" s="16"/>
      <c r="I2354" s="14"/>
    </row>
    <row r="2355">
      <c r="A2355" s="14">
        <v>601.0</v>
      </c>
      <c r="B2355" s="14">
        <v>7138098.0</v>
      </c>
      <c r="C2355" s="14">
        <v>3.0525024E7</v>
      </c>
      <c r="D2355" s="2" t="s">
        <v>4594</v>
      </c>
      <c r="E2355" s="1" t="s">
        <v>107</v>
      </c>
      <c r="F2355" s="14">
        <v>0.4199</v>
      </c>
      <c r="G2355" s="15"/>
      <c r="H2355" s="16"/>
      <c r="I2355" s="14"/>
    </row>
    <row r="2356">
      <c r="A2356" s="14">
        <v>603.0</v>
      </c>
      <c r="B2356" s="14">
        <v>8024837.0</v>
      </c>
      <c r="C2356" s="14">
        <v>3.4075375E7</v>
      </c>
      <c r="D2356" s="2" t="s">
        <v>4543</v>
      </c>
      <c r="E2356" s="1" t="s">
        <v>107</v>
      </c>
      <c r="F2356" s="14">
        <v>0.4199</v>
      </c>
      <c r="G2356" s="15"/>
      <c r="H2356" s="16"/>
      <c r="I2356" s="14"/>
    </row>
    <row r="2357">
      <c r="A2357" s="14">
        <v>671.0</v>
      </c>
      <c r="B2357" s="14">
        <v>2.2281097E7</v>
      </c>
      <c r="C2357" s="14">
        <v>9.2027394E7</v>
      </c>
      <c r="D2357" s="2" t="s">
        <v>3797</v>
      </c>
      <c r="E2357" s="1" t="s">
        <v>107</v>
      </c>
      <c r="F2357" s="14">
        <v>0.4199</v>
      </c>
      <c r="G2357" s="15"/>
      <c r="H2357" s="16"/>
      <c r="I2357" s="14"/>
    </row>
    <row r="2358">
      <c r="A2358" s="14">
        <v>173.0</v>
      </c>
      <c r="B2358" s="14">
        <v>3.3558753E7</v>
      </c>
      <c r="C2358" s="14">
        <v>2.00892752E8</v>
      </c>
      <c r="D2358" s="2" t="s">
        <v>3507</v>
      </c>
      <c r="E2358" s="1" t="s">
        <v>107</v>
      </c>
      <c r="F2358" s="14">
        <v>0.4199</v>
      </c>
      <c r="G2358" s="15"/>
      <c r="H2358" s="16"/>
      <c r="I2358" s="14"/>
    </row>
    <row r="2359">
      <c r="A2359" s="14">
        <v>173.0</v>
      </c>
      <c r="B2359" s="14">
        <v>6.0132634E7</v>
      </c>
      <c r="C2359" s="14">
        <v>2.41141188E8</v>
      </c>
      <c r="D2359" s="2" t="s">
        <v>2685</v>
      </c>
      <c r="E2359" s="1" t="s">
        <v>107</v>
      </c>
      <c r="F2359" s="14">
        <v>0.4199</v>
      </c>
      <c r="G2359" s="15"/>
      <c r="H2359" s="16"/>
      <c r="I2359" s="14"/>
    </row>
    <row r="2360">
      <c r="A2360" s="14">
        <v>154.0</v>
      </c>
      <c r="B2360" s="14">
        <v>1282851.0</v>
      </c>
      <c r="C2360" s="14">
        <v>5729079.0</v>
      </c>
      <c r="D2360" s="2" t="s">
        <v>4666</v>
      </c>
      <c r="E2360" s="1" t="s">
        <v>699</v>
      </c>
      <c r="F2360" s="14">
        <v>0.4199</v>
      </c>
      <c r="G2360" s="15"/>
      <c r="H2360" s="16"/>
      <c r="I2360" s="14"/>
    </row>
    <row r="2361">
      <c r="A2361" s="14">
        <v>380.0</v>
      </c>
      <c r="B2361" s="14">
        <v>7185839.0</v>
      </c>
      <c r="C2361" s="14">
        <v>3.0536378E7</v>
      </c>
      <c r="D2361" s="2" t="s">
        <v>4591</v>
      </c>
      <c r="E2361" s="1" t="s">
        <v>699</v>
      </c>
      <c r="F2361" s="14">
        <v>0.4199</v>
      </c>
      <c r="G2361" s="15"/>
      <c r="H2361" s="16"/>
      <c r="I2361" s="14"/>
    </row>
    <row r="2362">
      <c r="A2362" s="14">
        <v>577.0</v>
      </c>
      <c r="B2362" s="14">
        <v>1.2313794E7</v>
      </c>
      <c r="C2362" s="14">
        <v>1.71415266E8</v>
      </c>
      <c r="D2362" s="2" t="s">
        <v>4243</v>
      </c>
      <c r="E2362" s="1" t="s">
        <v>699</v>
      </c>
      <c r="F2362" s="14">
        <v>0.4199</v>
      </c>
      <c r="G2362" s="15"/>
      <c r="H2362" s="16"/>
      <c r="I2362" s="14"/>
    </row>
    <row r="2363">
      <c r="A2363" s="14">
        <v>407.0</v>
      </c>
      <c r="B2363" s="14">
        <v>2.537909E7</v>
      </c>
      <c r="C2363" s="14">
        <v>1.03006277E8</v>
      </c>
      <c r="D2363" s="2" t="s">
        <v>3720</v>
      </c>
      <c r="E2363" s="1" t="s">
        <v>699</v>
      </c>
      <c r="F2363" s="14">
        <v>0.4199</v>
      </c>
      <c r="G2363" s="15"/>
      <c r="H2363" s="16"/>
      <c r="I2363" s="14"/>
    </row>
    <row r="2364">
      <c r="A2364" s="14">
        <v>719.0</v>
      </c>
      <c r="B2364" s="14">
        <v>3.9531348E7</v>
      </c>
      <c r="C2364" s="14">
        <v>1.56822869E8</v>
      </c>
      <c r="D2364" s="2" t="s">
        <v>3389</v>
      </c>
      <c r="E2364" s="1" t="s">
        <v>699</v>
      </c>
      <c r="F2364" s="14">
        <v>0.4199</v>
      </c>
      <c r="G2364" s="15"/>
      <c r="H2364" s="16"/>
      <c r="I2364" s="14"/>
    </row>
    <row r="2365">
      <c r="A2365" s="14">
        <v>410.0</v>
      </c>
      <c r="B2365" s="14">
        <v>4.1611025E7</v>
      </c>
      <c r="C2365" s="14">
        <v>1.6477051E8</v>
      </c>
      <c r="D2365" s="2" t="s">
        <v>3334</v>
      </c>
      <c r="E2365" s="1" t="s">
        <v>699</v>
      </c>
      <c r="F2365" s="14">
        <v>0.4199</v>
      </c>
      <c r="G2365" s="15"/>
      <c r="H2365" s="16"/>
      <c r="I2365" s="14"/>
    </row>
    <row r="2366">
      <c r="A2366" s="14">
        <v>392.0</v>
      </c>
      <c r="B2366" s="14">
        <v>4.1949964E7</v>
      </c>
      <c r="C2366" s="14">
        <v>1.6607045E8</v>
      </c>
      <c r="D2366" s="2" t="s">
        <v>3322</v>
      </c>
      <c r="E2366" s="1" t="s">
        <v>699</v>
      </c>
      <c r="F2366" s="14">
        <v>0.4199</v>
      </c>
      <c r="G2366" s="15"/>
      <c r="H2366" s="16"/>
      <c r="I2366" s="14"/>
    </row>
    <row r="2367">
      <c r="A2367" s="14">
        <v>500.0</v>
      </c>
      <c r="B2367" s="14">
        <v>4.9075326E7</v>
      </c>
      <c r="C2367" s="14">
        <v>1.93983967E8</v>
      </c>
      <c r="D2367" s="2" t="s">
        <v>3052</v>
      </c>
      <c r="E2367" s="1" t="s">
        <v>699</v>
      </c>
      <c r="F2367" s="14">
        <v>0.4199</v>
      </c>
      <c r="G2367" s="15"/>
      <c r="H2367" s="16"/>
      <c r="I2367" s="14"/>
    </row>
    <row r="2368">
      <c r="A2368" s="14">
        <v>256.0</v>
      </c>
      <c r="B2368" s="14">
        <v>7.7037081E7</v>
      </c>
      <c r="C2368" s="14">
        <v>3.20039628E8</v>
      </c>
      <c r="D2368" s="2" t="s">
        <v>1915</v>
      </c>
      <c r="E2368" s="1" t="s">
        <v>699</v>
      </c>
      <c r="F2368" s="14">
        <v>0.4199</v>
      </c>
      <c r="G2368" s="15"/>
      <c r="H2368" s="16"/>
      <c r="I2368" s="14"/>
    </row>
    <row r="2369">
      <c r="A2369" s="14">
        <v>671.0</v>
      </c>
      <c r="B2369" s="14">
        <v>7.807265E7</v>
      </c>
      <c r="C2369" s="14">
        <v>3.24897888E8</v>
      </c>
      <c r="D2369" s="2" t="s">
        <v>1853</v>
      </c>
      <c r="E2369" s="1" t="s">
        <v>699</v>
      </c>
      <c r="F2369" s="14">
        <v>0.4199</v>
      </c>
      <c r="G2369" s="15"/>
      <c r="H2369" s="16"/>
      <c r="I2369" s="14"/>
    </row>
    <row r="2370">
      <c r="A2370" s="14">
        <v>673.0</v>
      </c>
      <c r="B2370" s="14">
        <v>9651324.0</v>
      </c>
      <c r="C2370" s="14">
        <v>4.0894938E7</v>
      </c>
      <c r="D2370" s="2" t="s">
        <v>4418</v>
      </c>
      <c r="E2370" s="1" t="s">
        <v>121</v>
      </c>
      <c r="F2370" s="14">
        <v>0.4199</v>
      </c>
      <c r="G2370" s="15"/>
      <c r="H2370" s="16"/>
      <c r="I2370" s="14"/>
    </row>
    <row r="2371">
      <c r="A2371" s="14">
        <v>492.0</v>
      </c>
      <c r="B2371" s="14">
        <v>1.4527428E7</v>
      </c>
      <c r="C2371" s="14">
        <v>6.1790502E7</v>
      </c>
      <c r="D2371" s="2" t="s">
        <v>4127</v>
      </c>
      <c r="E2371" s="1" t="s">
        <v>121</v>
      </c>
      <c r="F2371" s="14">
        <v>0.4189</v>
      </c>
      <c r="G2371" s="15"/>
      <c r="H2371" s="16"/>
      <c r="I2371" s="14"/>
    </row>
    <row r="2372">
      <c r="A2372" s="14">
        <v>601.0</v>
      </c>
      <c r="B2372" s="14">
        <v>1.9332854E7</v>
      </c>
      <c r="C2372" s="14">
        <v>8.1347391E7</v>
      </c>
      <c r="D2372" s="2" t="s">
        <v>3896</v>
      </c>
      <c r="E2372" s="1" t="s">
        <v>121</v>
      </c>
      <c r="F2372" s="14">
        <v>0.4173</v>
      </c>
      <c r="G2372" s="15"/>
      <c r="H2372" s="16"/>
      <c r="I2372" s="14"/>
    </row>
    <row r="2373">
      <c r="A2373" s="14">
        <v>353.0</v>
      </c>
      <c r="B2373" s="14">
        <v>4.7505169E7</v>
      </c>
      <c r="C2373" s="14">
        <v>1.87853933E8</v>
      </c>
      <c r="D2373" s="2" t="s">
        <v>3134</v>
      </c>
      <c r="E2373" s="1" t="s">
        <v>121</v>
      </c>
      <c r="F2373" s="14">
        <v>0.4173</v>
      </c>
      <c r="G2373" s="15"/>
      <c r="H2373" s="16"/>
      <c r="I2373" s="14"/>
    </row>
    <row r="2374">
      <c r="A2374" s="14">
        <v>602.0</v>
      </c>
      <c r="B2374" s="14">
        <v>1.0712668E7</v>
      </c>
      <c r="C2374" s="14">
        <v>4.5566379E7</v>
      </c>
      <c r="D2374" s="2" t="s">
        <v>4342</v>
      </c>
      <c r="E2374" s="1" t="s">
        <v>121</v>
      </c>
      <c r="F2374" s="14">
        <v>0.4168</v>
      </c>
      <c r="G2374" s="15"/>
      <c r="H2374" s="16"/>
      <c r="I2374" s="14"/>
    </row>
    <row r="2375">
      <c r="A2375" s="14">
        <v>403.0</v>
      </c>
      <c r="B2375" s="14">
        <v>8.3712385E7</v>
      </c>
      <c r="C2375" s="14">
        <v>3.51505642E8</v>
      </c>
      <c r="D2375" s="2" t="s">
        <v>1534</v>
      </c>
      <c r="E2375" s="1" t="s">
        <v>121</v>
      </c>
      <c r="F2375" s="14">
        <v>0.4168</v>
      </c>
      <c r="G2375" s="15"/>
      <c r="H2375" s="16"/>
      <c r="I2375" s="14"/>
    </row>
    <row r="2376">
      <c r="A2376" s="14">
        <v>244.0</v>
      </c>
      <c r="B2376" s="14">
        <v>4723199.0</v>
      </c>
      <c r="C2376" s="14">
        <v>2.0033452E7</v>
      </c>
      <c r="D2376" s="2" t="s">
        <v>4679</v>
      </c>
      <c r="E2376" s="1" t="s">
        <v>121</v>
      </c>
      <c r="F2376" s="14">
        <v>0.416</v>
      </c>
      <c r="G2376" s="15"/>
      <c r="H2376" s="16"/>
      <c r="I2376" s="14"/>
    </row>
    <row r="2377">
      <c r="A2377" s="14">
        <v>571.0</v>
      </c>
      <c r="B2377" s="14">
        <v>4282337.0</v>
      </c>
      <c r="C2377" s="14">
        <v>1.8125669E7</v>
      </c>
      <c r="D2377" s="2" t="s">
        <v>4681</v>
      </c>
      <c r="E2377" s="1" t="s">
        <v>121</v>
      </c>
      <c r="F2377" s="14">
        <v>0.4147</v>
      </c>
      <c r="G2377" s="15"/>
      <c r="H2377" s="16"/>
      <c r="I2377" s="14"/>
    </row>
    <row r="2378">
      <c r="A2378" s="14">
        <v>173.0</v>
      </c>
      <c r="B2378" s="14">
        <v>9.9637732E7</v>
      </c>
      <c r="C2378" s="14">
        <v>4.2663924E8</v>
      </c>
      <c r="D2378" s="2" t="s">
        <v>612</v>
      </c>
      <c r="E2378" s="1" t="s">
        <v>699</v>
      </c>
      <c r="F2378" s="14">
        <v>0.4144</v>
      </c>
      <c r="G2378" s="15"/>
      <c r="H2378" s="16"/>
      <c r="I2378" s="14"/>
    </row>
    <row r="2379">
      <c r="A2379" s="14">
        <v>402.0</v>
      </c>
      <c r="B2379" s="14">
        <v>2504193.0</v>
      </c>
      <c r="C2379" s="14">
        <v>1.0602832E7</v>
      </c>
      <c r="D2379" s="2" t="s">
        <v>4684</v>
      </c>
      <c r="E2379" s="1" t="s">
        <v>121</v>
      </c>
      <c r="F2379" s="14">
        <v>0.4118</v>
      </c>
      <c r="G2379" s="15"/>
      <c r="H2379" s="16"/>
      <c r="I2379" s="14"/>
    </row>
    <row r="2380">
      <c r="A2380" s="14">
        <v>406.0</v>
      </c>
      <c r="B2380" s="14">
        <v>1719647.0</v>
      </c>
      <c r="C2380" s="14">
        <v>7510445.0</v>
      </c>
      <c r="D2380" s="2" t="s">
        <v>4685</v>
      </c>
      <c r="E2380" s="1" t="s">
        <v>121</v>
      </c>
      <c r="F2380" s="14">
        <v>0.4112</v>
      </c>
      <c r="G2380" s="15"/>
      <c r="H2380" s="16"/>
      <c r="I2380" s="14"/>
    </row>
    <row r="2381">
      <c r="A2381" s="14">
        <v>319.0</v>
      </c>
      <c r="B2381" s="14">
        <v>5.7864858E7</v>
      </c>
      <c r="C2381" s="14">
        <v>2.30607653E8</v>
      </c>
      <c r="D2381" s="2" t="s">
        <v>2760</v>
      </c>
      <c r="E2381" s="1" t="s">
        <v>121</v>
      </c>
      <c r="F2381" s="14">
        <v>0.409</v>
      </c>
      <c r="G2381" s="15"/>
      <c r="H2381" s="16"/>
      <c r="I2381" s="14"/>
    </row>
    <row r="2382">
      <c r="A2382" s="14">
        <v>203.0</v>
      </c>
      <c r="B2382" s="14">
        <v>2.4257003E7</v>
      </c>
      <c r="C2382" s="14">
        <v>9.9677591E7</v>
      </c>
      <c r="D2382" s="2" t="s">
        <v>3739</v>
      </c>
      <c r="E2382" s="1" t="s">
        <v>107</v>
      </c>
      <c r="F2382" s="14">
        <v>0.4019</v>
      </c>
      <c r="G2382" s="15"/>
      <c r="H2382" s="16"/>
      <c r="I2382" s="14"/>
    </row>
    <row r="2383">
      <c r="A2383" s="14">
        <v>571.0</v>
      </c>
      <c r="B2383" s="14">
        <v>4.8713437E7</v>
      </c>
      <c r="C2383" s="14">
        <v>2.38619644E8</v>
      </c>
      <c r="D2383" s="2" t="s">
        <v>3068</v>
      </c>
      <c r="E2383" s="1" t="s">
        <v>107</v>
      </c>
      <c r="F2383" s="14">
        <v>0.4019</v>
      </c>
      <c r="G2383" s="15"/>
      <c r="H2383" s="16"/>
      <c r="I2383" s="14"/>
    </row>
    <row r="2384">
      <c r="A2384" s="14">
        <v>602.0</v>
      </c>
      <c r="B2384" s="14">
        <v>7.6354548E7</v>
      </c>
      <c r="C2384" s="14">
        <v>3.1703812E8</v>
      </c>
      <c r="D2384" s="2" t="s">
        <v>1953</v>
      </c>
      <c r="E2384" s="1" t="s">
        <v>107</v>
      </c>
      <c r="F2384" s="14">
        <v>0.4019</v>
      </c>
      <c r="G2384" s="15"/>
      <c r="H2384" s="16"/>
      <c r="I2384" s="14"/>
    </row>
    <row r="2385">
      <c r="A2385" s="14">
        <v>410.0</v>
      </c>
      <c r="B2385" s="14">
        <v>1006784.0</v>
      </c>
      <c r="C2385" s="14">
        <v>4617489.0</v>
      </c>
      <c r="D2385" s="2" t="s">
        <v>4689</v>
      </c>
      <c r="E2385" s="1" t="s">
        <v>699</v>
      </c>
      <c r="F2385" s="14">
        <v>0.4019</v>
      </c>
      <c r="G2385" s="15"/>
      <c r="H2385" s="16"/>
      <c r="I2385" s="14"/>
    </row>
    <row r="2386">
      <c r="A2386" s="14">
        <v>671.0</v>
      </c>
      <c r="B2386" s="14">
        <v>4346352.0</v>
      </c>
      <c r="C2386" s="14">
        <v>1.8457303E7</v>
      </c>
      <c r="D2386" s="2" t="s">
        <v>4690</v>
      </c>
      <c r="E2386" s="1" t="s">
        <v>699</v>
      </c>
      <c r="F2386" s="14">
        <v>0.4019</v>
      </c>
      <c r="G2386" s="15"/>
      <c r="H2386" s="16"/>
      <c r="I2386" s="14"/>
    </row>
    <row r="2387">
      <c r="A2387" s="14">
        <v>500.0</v>
      </c>
      <c r="B2387" s="14">
        <v>7990496.0</v>
      </c>
      <c r="C2387" s="14">
        <v>3.3860582E7</v>
      </c>
      <c r="D2387" s="2" t="s">
        <v>4547</v>
      </c>
      <c r="E2387" s="1" t="s">
        <v>699</v>
      </c>
      <c r="F2387" s="14">
        <v>0.4019</v>
      </c>
      <c r="G2387" s="15"/>
      <c r="H2387" s="16"/>
      <c r="I2387" s="14"/>
    </row>
    <row r="2388">
      <c r="A2388" s="14">
        <v>656.0</v>
      </c>
      <c r="B2388" s="14">
        <v>1.4995219E7</v>
      </c>
      <c r="C2388" s="14">
        <v>6.3819761E7</v>
      </c>
      <c r="D2388" s="2" t="s">
        <v>4105</v>
      </c>
      <c r="E2388" s="1" t="s">
        <v>699</v>
      </c>
      <c r="F2388" s="14">
        <v>0.4019</v>
      </c>
      <c r="G2388" s="15"/>
      <c r="H2388" s="16"/>
      <c r="I2388" s="14"/>
    </row>
    <row r="2389">
      <c r="A2389" s="14">
        <v>578.0</v>
      </c>
      <c r="B2389" s="14">
        <v>1.6516811E7</v>
      </c>
      <c r="C2389" s="14">
        <v>7.0015311E7</v>
      </c>
      <c r="D2389" s="2" t="s">
        <v>4002</v>
      </c>
      <c r="E2389" s="1" t="s">
        <v>699</v>
      </c>
      <c r="F2389" s="14">
        <v>0.4019</v>
      </c>
      <c r="G2389" s="15"/>
      <c r="H2389" s="16"/>
      <c r="I2389" s="14"/>
    </row>
    <row r="2390">
      <c r="A2390" s="14">
        <v>654.0</v>
      </c>
      <c r="B2390" s="14">
        <v>2.8937453E7</v>
      </c>
      <c r="C2390" s="14">
        <v>1.16430464E8</v>
      </c>
      <c r="D2390" s="2" t="s">
        <v>3613</v>
      </c>
      <c r="E2390" s="1" t="s">
        <v>699</v>
      </c>
      <c r="F2390" s="14">
        <v>0.4019</v>
      </c>
      <c r="G2390" s="15"/>
      <c r="H2390" s="16"/>
      <c r="I2390" s="14"/>
    </row>
    <row r="2391">
      <c r="A2391" s="14">
        <v>672.0</v>
      </c>
      <c r="B2391" s="14">
        <v>3.6556191E7</v>
      </c>
      <c r="C2391" s="14">
        <v>1.4594914E8</v>
      </c>
      <c r="D2391" s="2" t="s">
        <v>3457</v>
      </c>
      <c r="E2391" s="1" t="s">
        <v>699</v>
      </c>
      <c r="F2391" s="14">
        <v>0.4019</v>
      </c>
      <c r="G2391" s="15"/>
      <c r="H2391" s="16"/>
      <c r="I2391" s="14"/>
    </row>
    <row r="2392">
      <c r="A2392" s="14">
        <v>194.0</v>
      </c>
      <c r="B2392" s="14">
        <v>4.023686E7</v>
      </c>
      <c r="C2392" s="14">
        <v>1.59582571E8</v>
      </c>
      <c r="D2392" s="2" t="s">
        <v>3371</v>
      </c>
      <c r="E2392" s="1" t="s">
        <v>699</v>
      </c>
      <c r="F2392" s="14">
        <v>0.4019</v>
      </c>
      <c r="G2392" s="15"/>
      <c r="H2392" s="16"/>
      <c r="I2392" s="14"/>
    </row>
    <row r="2393">
      <c r="A2393" s="14">
        <v>587.0</v>
      </c>
      <c r="B2393" s="14">
        <v>4.8733762E7</v>
      </c>
      <c r="C2393" s="14">
        <v>1.9280039E8</v>
      </c>
      <c r="D2393" s="2" t="s">
        <v>3065</v>
      </c>
      <c r="E2393" s="1" t="s">
        <v>699</v>
      </c>
      <c r="F2393" s="14">
        <v>0.4019</v>
      </c>
      <c r="G2393" s="15"/>
      <c r="H2393" s="16"/>
      <c r="I2393" s="14"/>
    </row>
    <row r="2394">
      <c r="A2394" s="14">
        <v>403.0</v>
      </c>
      <c r="B2394" s="14">
        <v>5.8083951E7</v>
      </c>
      <c r="C2394" s="14">
        <v>3.42318191E8</v>
      </c>
      <c r="D2394" s="2" t="s">
        <v>2753</v>
      </c>
      <c r="E2394" s="1" t="s">
        <v>699</v>
      </c>
      <c r="F2394" s="14">
        <v>0.4019</v>
      </c>
      <c r="G2394" s="15"/>
      <c r="H2394" s="16"/>
      <c r="I2394" s="14"/>
    </row>
    <row r="2395">
      <c r="A2395" s="14">
        <v>671.0</v>
      </c>
      <c r="B2395" s="14">
        <v>6.278171E7</v>
      </c>
      <c r="C2395" s="14">
        <v>3.23965645E8</v>
      </c>
      <c r="D2395" s="2" t="s">
        <v>2581</v>
      </c>
      <c r="E2395" s="1" t="s">
        <v>699</v>
      </c>
      <c r="F2395" s="14">
        <v>0.4019</v>
      </c>
      <c r="G2395" s="15"/>
      <c r="H2395" s="16"/>
      <c r="I2395" s="14"/>
    </row>
    <row r="2396">
      <c r="A2396" s="14">
        <v>215.0</v>
      </c>
      <c r="B2396" s="14">
        <v>6.5610026E7</v>
      </c>
      <c r="C2396" s="14">
        <v>2.67555895E8</v>
      </c>
      <c r="D2396" s="2" t="s">
        <v>2466</v>
      </c>
      <c r="E2396" s="1" t="s">
        <v>699</v>
      </c>
      <c r="F2396" s="14">
        <v>0.4019</v>
      </c>
      <c r="G2396" s="15"/>
      <c r="H2396" s="16"/>
      <c r="I2396" s="14"/>
    </row>
    <row r="2397">
      <c r="A2397" s="14">
        <v>601.0</v>
      </c>
      <c r="B2397" s="14">
        <v>6.6055754E7</v>
      </c>
      <c r="C2397" s="14">
        <v>2.69840637E8</v>
      </c>
      <c r="D2397" s="2" t="s">
        <v>2432</v>
      </c>
      <c r="E2397" s="1" t="s">
        <v>699</v>
      </c>
      <c r="F2397" s="14">
        <v>0.4019</v>
      </c>
      <c r="G2397" s="15"/>
      <c r="H2397" s="16"/>
      <c r="I2397" s="14"/>
    </row>
    <row r="2398">
      <c r="A2398" s="14">
        <v>129.0</v>
      </c>
      <c r="B2398" s="14">
        <v>6.802351E7</v>
      </c>
      <c r="C2398" s="14">
        <v>2.79180354E8</v>
      </c>
      <c r="D2398" s="2" t="s">
        <v>2336</v>
      </c>
      <c r="E2398" s="1" t="s">
        <v>699</v>
      </c>
      <c r="F2398" s="14">
        <v>0.4019</v>
      </c>
      <c r="G2398" s="15"/>
      <c r="H2398" s="16"/>
      <c r="I2398" s="14"/>
    </row>
    <row r="2399">
      <c r="A2399" s="14">
        <v>571.0</v>
      </c>
      <c r="B2399" s="14">
        <v>7.5946828E7</v>
      </c>
      <c r="C2399" s="14">
        <v>3.15069424E8</v>
      </c>
      <c r="D2399" s="2" t="s">
        <v>1976</v>
      </c>
      <c r="E2399" s="1" t="s">
        <v>699</v>
      </c>
      <c r="F2399" s="14">
        <v>0.4019</v>
      </c>
      <c r="G2399" s="15"/>
      <c r="H2399" s="16"/>
      <c r="I2399" s="14"/>
    </row>
    <row r="2400">
      <c r="A2400" s="14">
        <v>504.0</v>
      </c>
      <c r="B2400" s="14">
        <v>7.663E7</v>
      </c>
      <c r="C2400" s="14">
        <v>3.18982687E8</v>
      </c>
      <c r="D2400" s="2" t="s">
        <v>1939</v>
      </c>
      <c r="E2400" s="1" t="s">
        <v>699</v>
      </c>
      <c r="F2400" s="14">
        <v>0.4019</v>
      </c>
      <c r="G2400" s="15"/>
      <c r="H2400" s="16"/>
      <c r="I2400" s="14"/>
    </row>
    <row r="2401">
      <c r="A2401" s="14">
        <v>602.0</v>
      </c>
      <c r="B2401" s="14">
        <v>7.8452611E7</v>
      </c>
      <c r="C2401" s="14">
        <v>3.26690967E8</v>
      </c>
      <c r="D2401" s="2" t="s">
        <v>1827</v>
      </c>
      <c r="E2401" s="1" t="s">
        <v>699</v>
      </c>
      <c r="F2401" s="14">
        <v>0.4019</v>
      </c>
      <c r="G2401" s="15"/>
      <c r="H2401" s="16"/>
      <c r="I2401" s="14"/>
    </row>
    <row r="2402">
      <c r="A2402" s="14">
        <v>550.0</v>
      </c>
      <c r="B2402" s="14">
        <v>8.1661476E7</v>
      </c>
      <c r="C2402" s="14">
        <v>3.41814589E8</v>
      </c>
      <c r="D2402" s="2" t="s">
        <v>1662</v>
      </c>
      <c r="E2402" s="1" t="s">
        <v>699</v>
      </c>
      <c r="F2402" s="14">
        <v>0.4019</v>
      </c>
      <c r="G2402" s="15"/>
      <c r="H2402" s="16"/>
      <c r="I2402" s="14"/>
    </row>
    <row r="2403">
      <c r="A2403" s="14">
        <v>129.0</v>
      </c>
      <c r="B2403" s="14">
        <v>9.0852438E7</v>
      </c>
      <c r="C2403" s="14">
        <v>3.85197367E8</v>
      </c>
      <c r="D2403" s="2" t="s">
        <v>1087</v>
      </c>
      <c r="E2403" s="1" t="s">
        <v>699</v>
      </c>
      <c r="F2403" s="14">
        <v>0.4019</v>
      </c>
      <c r="G2403" s="15"/>
      <c r="H2403" s="16"/>
      <c r="I2403" s="14"/>
    </row>
    <row r="2404">
      <c r="A2404" s="14">
        <v>570.0</v>
      </c>
      <c r="B2404" s="14">
        <v>9.7747414E7</v>
      </c>
      <c r="C2404" s="14">
        <v>4.17501691E8</v>
      </c>
      <c r="D2404" s="2" t="s">
        <v>724</v>
      </c>
      <c r="E2404" s="1" t="s">
        <v>699</v>
      </c>
      <c r="F2404" s="14">
        <v>0.4019</v>
      </c>
      <c r="G2404" s="15"/>
      <c r="H2404" s="16"/>
      <c r="I2404" s="14"/>
    </row>
    <row r="2405">
      <c r="A2405" s="14">
        <v>353.0</v>
      </c>
      <c r="B2405" s="14">
        <v>9.8161473E7</v>
      </c>
      <c r="C2405" s="14">
        <v>4.19877275E8</v>
      </c>
      <c r="D2405" s="2" t="s">
        <v>691</v>
      </c>
      <c r="E2405" s="1" t="s">
        <v>699</v>
      </c>
      <c r="F2405" s="14">
        <v>0.4019</v>
      </c>
      <c r="G2405" s="15"/>
      <c r="H2405" s="16"/>
      <c r="I2405" s="14"/>
    </row>
    <row r="2406">
      <c r="A2406" s="14">
        <v>485.0</v>
      </c>
      <c r="B2406" s="14">
        <v>9.9992145E7</v>
      </c>
      <c r="C2406" s="14">
        <v>4.28209178E8</v>
      </c>
      <c r="D2406" s="2" t="s">
        <v>589</v>
      </c>
      <c r="E2406" s="1" t="s">
        <v>699</v>
      </c>
      <c r="F2406" s="14">
        <v>0.4019</v>
      </c>
      <c r="G2406" s="15"/>
      <c r="H2406" s="16"/>
      <c r="I2406" s="14"/>
    </row>
    <row r="2407">
      <c r="A2407" s="14">
        <v>210.0</v>
      </c>
      <c r="B2407" s="14">
        <v>1.08091161E8</v>
      </c>
      <c r="C2407" s="14">
        <v>4.67376081E8</v>
      </c>
      <c r="D2407" s="2" t="s">
        <v>205</v>
      </c>
      <c r="E2407" s="1" t="s">
        <v>699</v>
      </c>
      <c r="F2407" s="14">
        <v>0.4019</v>
      </c>
      <c r="G2407" s="15"/>
      <c r="H2407" s="16"/>
      <c r="I2407" s="14"/>
    </row>
    <row r="2408">
      <c r="A2408" s="14">
        <v>671.0</v>
      </c>
      <c r="B2408" s="14">
        <v>1.10304241E8</v>
      </c>
      <c r="C2408" s="14">
        <v>4.78179075E8</v>
      </c>
      <c r="D2408" s="2" t="s">
        <v>73</v>
      </c>
      <c r="E2408" s="1" t="s">
        <v>699</v>
      </c>
      <c r="F2408" s="14">
        <v>0.4019</v>
      </c>
      <c r="G2408" s="15"/>
      <c r="H2408" s="16"/>
      <c r="I2408" s="14"/>
    </row>
    <row r="2409">
      <c r="A2409" s="14">
        <v>654.0</v>
      </c>
      <c r="B2409" s="14">
        <v>1.12445731E8</v>
      </c>
      <c r="C2409" s="14">
        <v>4.88171844E8</v>
      </c>
      <c r="D2409" s="2" t="s">
        <v>24</v>
      </c>
      <c r="E2409" s="1" t="s">
        <v>699</v>
      </c>
      <c r="F2409" s="14">
        <v>0.4019</v>
      </c>
      <c r="G2409" s="15"/>
      <c r="H2409" s="16"/>
      <c r="I2409" s="14"/>
    </row>
    <row r="2410">
      <c r="A2410" s="14">
        <v>120.0</v>
      </c>
      <c r="B2410" s="14">
        <v>551026.0</v>
      </c>
      <c r="C2410" s="14">
        <v>2655640.0</v>
      </c>
      <c r="D2410" s="2" t="s">
        <v>4704</v>
      </c>
      <c r="E2410" s="1" t="s">
        <v>121</v>
      </c>
      <c r="F2410" s="14">
        <v>0.4019</v>
      </c>
      <c r="G2410" s="15"/>
      <c r="H2410" s="16"/>
      <c r="I2410" s="14"/>
    </row>
    <row r="2411">
      <c r="A2411" s="14">
        <v>671.0</v>
      </c>
      <c r="B2411" s="14">
        <v>3948330.0</v>
      </c>
      <c r="C2411" s="14">
        <v>2.8434256E7</v>
      </c>
      <c r="D2411" s="2" t="s">
        <v>4706</v>
      </c>
      <c r="E2411" s="1" t="s">
        <v>121</v>
      </c>
      <c r="F2411" s="14">
        <v>0.4019</v>
      </c>
      <c r="G2411" s="15"/>
      <c r="H2411" s="16"/>
      <c r="I2411" s="14"/>
    </row>
    <row r="2412">
      <c r="A2412" s="14">
        <v>129.0</v>
      </c>
      <c r="B2412" s="14">
        <v>4178733.0</v>
      </c>
      <c r="C2412" s="14">
        <v>1.7719838E7</v>
      </c>
      <c r="D2412" s="2" t="s">
        <v>4708</v>
      </c>
      <c r="E2412" s="1" t="s">
        <v>121</v>
      </c>
      <c r="F2412" s="14">
        <v>0.4019</v>
      </c>
      <c r="G2412" s="15"/>
      <c r="H2412" s="16"/>
      <c r="I2412" s="14"/>
    </row>
    <row r="2413">
      <c r="A2413" s="14">
        <v>497.0</v>
      </c>
      <c r="B2413" s="14">
        <v>4297601.0</v>
      </c>
      <c r="C2413" s="14">
        <v>2.2752725E7</v>
      </c>
      <c r="D2413" s="2" t="s">
        <v>4709</v>
      </c>
      <c r="E2413" s="1" t="s">
        <v>121</v>
      </c>
      <c r="F2413" s="14">
        <v>0.4019</v>
      </c>
      <c r="G2413" s="15"/>
      <c r="H2413" s="16"/>
      <c r="I2413" s="14"/>
    </row>
    <row r="2414">
      <c r="A2414" s="14">
        <v>671.0</v>
      </c>
      <c r="B2414" s="14">
        <v>1.4426222E7</v>
      </c>
      <c r="C2414" s="14">
        <v>6.1551772E7</v>
      </c>
      <c r="D2414" s="2" t="s">
        <v>4132</v>
      </c>
      <c r="E2414" s="1" t="s">
        <v>121</v>
      </c>
      <c r="F2414" s="14">
        <v>0.4019</v>
      </c>
      <c r="G2414" s="15"/>
      <c r="H2414" s="16"/>
      <c r="I2414" s="14"/>
    </row>
    <row r="2415">
      <c r="A2415" s="14">
        <v>503.0</v>
      </c>
      <c r="B2415" s="14">
        <v>1.5048514E7</v>
      </c>
      <c r="C2415" s="14">
        <v>6.4003029E7</v>
      </c>
      <c r="D2415" s="2" t="s">
        <v>4100</v>
      </c>
      <c r="E2415" s="1" t="s">
        <v>121</v>
      </c>
      <c r="F2415" s="14">
        <v>0.4019</v>
      </c>
      <c r="G2415" s="15"/>
      <c r="H2415" s="16"/>
      <c r="I2415" s="14"/>
    </row>
    <row r="2416">
      <c r="A2416" s="14">
        <v>713.0</v>
      </c>
      <c r="B2416" s="14">
        <v>1.8470035E7</v>
      </c>
      <c r="C2416" s="14">
        <v>7.759621E7</v>
      </c>
      <c r="D2416" s="2" t="s">
        <v>3917</v>
      </c>
      <c r="E2416" s="1" t="s">
        <v>121</v>
      </c>
      <c r="F2416" s="14">
        <v>0.4019</v>
      </c>
      <c r="G2416" s="15"/>
      <c r="H2416" s="16"/>
      <c r="I2416" s="14"/>
    </row>
    <row r="2417">
      <c r="A2417" s="14">
        <v>120.0</v>
      </c>
      <c r="B2417" s="14">
        <v>2.1907218E7</v>
      </c>
      <c r="C2417" s="14">
        <v>9.0555806E7</v>
      </c>
      <c r="D2417" s="2" t="s">
        <v>3809</v>
      </c>
      <c r="E2417" s="1" t="s">
        <v>121</v>
      </c>
      <c r="F2417" s="14">
        <v>0.4019</v>
      </c>
      <c r="G2417" s="15"/>
      <c r="H2417" s="16"/>
      <c r="I2417" s="14"/>
    </row>
    <row r="2418">
      <c r="A2418" s="14">
        <v>173.0</v>
      </c>
      <c r="B2418" s="14">
        <v>3.2365728E7</v>
      </c>
      <c r="C2418" s="14">
        <v>1.29732491E8</v>
      </c>
      <c r="D2418" s="2" t="s">
        <v>3529</v>
      </c>
      <c r="E2418" s="1" t="s">
        <v>121</v>
      </c>
      <c r="F2418" s="14">
        <v>0.4019</v>
      </c>
      <c r="G2418" s="15"/>
      <c r="H2418" s="16"/>
      <c r="I2418" s="14"/>
    </row>
    <row r="2419">
      <c r="A2419" s="14">
        <v>671.0</v>
      </c>
      <c r="B2419" s="14">
        <v>4.5817382E7</v>
      </c>
      <c r="C2419" s="14">
        <v>1.80992121E8</v>
      </c>
      <c r="D2419" s="2" t="s">
        <v>3221</v>
      </c>
      <c r="E2419" s="1" t="s">
        <v>121</v>
      </c>
      <c r="F2419" s="14">
        <v>0.4019</v>
      </c>
      <c r="G2419" s="15"/>
      <c r="H2419" s="16"/>
      <c r="I2419" s="14"/>
    </row>
    <row r="2420">
      <c r="A2420" s="14">
        <v>571.0</v>
      </c>
      <c r="B2420" s="14">
        <v>4.9329611E7</v>
      </c>
      <c r="C2420" s="14">
        <v>2.68505271E8</v>
      </c>
      <c r="D2420" s="2" t="s">
        <v>3043</v>
      </c>
      <c r="E2420" s="1" t="s">
        <v>121</v>
      </c>
      <c r="F2420" s="14">
        <v>0.4019</v>
      </c>
      <c r="G2420" s="15"/>
      <c r="H2420" s="16"/>
      <c r="I2420" s="14"/>
    </row>
    <row r="2421">
      <c r="A2421" s="14">
        <v>642.0</v>
      </c>
      <c r="B2421" s="14">
        <v>5.8815232E7</v>
      </c>
      <c r="C2421" s="14">
        <v>2.34808003E8</v>
      </c>
      <c r="D2421" s="2" t="s">
        <v>2731</v>
      </c>
      <c r="E2421" s="1" t="s">
        <v>121</v>
      </c>
      <c r="F2421" s="14">
        <v>0.4019</v>
      </c>
      <c r="G2421" s="15"/>
      <c r="H2421" s="16"/>
      <c r="I2421" s="14"/>
    </row>
    <row r="2422">
      <c r="A2422" s="14">
        <v>671.0</v>
      </c>
      <c r="B2422" s="14">
        <v>6.3792727E7</v>
      </c>
      <c r="C2422" s="14">
        <v>2.58868483E8</v>
      </c>
      <c r="D2422" s="2" t="s">
        <v>2537</v>
      </c>
      <c r="E2422" s="1" t="s">
        <v>121</v>
      </c>
      <c r="F2422" s="14">
        <v>0.4019</v>
      </c>
      <c r="G2422" s="15"/>
      <c r="H2422" s="16"/>
      <c r="I2422" s="14"/>
    </row>
    <row r="2423">
      <c r="A2423" s="14">
        <v>671.0</v>
      </c>
      <c r="B2423" s="14">
        <v>6.7698553E7</v>
      </c>
      <c r="C2423" s="14">
        <v>2.77581505E8</v>
      </c>
      <c r="D2423" s="2" t="s">
        <v>2360</v>
      </c>
      <c r="E2423" s="1" t="s">
        <v>121</v>
      </c>
      <c r="F2423" s="14">
        <v>0.4019</v>
      </c>
      <c r="G2423" s="15"/>
      <c r="H2423" s="16"/>
      <c r="I2423" s="14"/>
    </row>
    <row r="2424">
      <c r="A2424" s="14">
        <v>319.0</v>
      </c>
      <c r="B2424" s="14">
        <v>6.7905418E7</v>
      </c>
      <c r="C2424" s="14">
        <v>2.78670719E8</v>
      </c>
      <c r="D2424" s="2" t="s">
        <v>2346</v>
      </c>
      <c r="E2424" s="1" t="s">
        <v>121</v>
      </c>
      <c r="F2424" s="14">
        <v>0.4019</v>
      </c>
      <c r="G2424" s="15"/>
      <c r="H2424" s="16"/>
      <c r="I2424" s="14"/>
    </row>
    <row r="2425">
      <c r="A2425" s="14">
        <v>392.0</v>
      </c>
      <c r="B2425" s="14">
        <v>7.2105266E7</v>
      </c>
      <c r="C2425" s="14">
        <v>2.98075104E8</v>
      </c>
      <c r="D2425" s="2" t="s">
        <v>2126</v>
      </c>
      <c r="E2425" s="1" t="s">
        <v>121</v>
      </c>
      <c r="F2425" s="14">
        <v>0.4019</v>
      </c>
      <c r="G2425" s="15"/>
      <c r="H2425" s="16"/>
      <c r="I2425" s="14"/>
    </row>
    <row r="2426">
      <c r="A2426" s="14">
        <v>578.0</v>
      </c>
      <c r="B2426" s="14">
        <v>7.8820375E7</v>
      </c>
      <c r="C2426" s="14">
        <v>3.28434164E8</v>
      </c>
      <c r="D2426" s="2" t="s">
        <v>1813</v>
      </c>
      <c r="E2426" s="1" t="s">
        <v>121</v>
      </c>
      <c r="F2426" s="14">
        <v>0.4019</v>
      </c>
      <c r="G2426" s="15"/>
      <c r="H2426" s="16"/>
      <c r="I2426" s="14"/>
    </row>
    <row r="2427">
      <c r="A2427" s="14">
        <v>532.0</v>
      </c>
      <c r="B2427" s="14">
        <v>9.2621329E7</v>
      </c>
      <c r="C2427" s="14">
        <v>3.93154991E8</v>
      </c>
      <c r="D2427" s="2" t="s">
        <v>997</v>
      </c>
      <c r="E2427" s="1" t="s">
        <v>121</v>
      </c>
      <c r="F2427" s="14">
        <v>0.4019</v>
      </c>
      <c r="G2427" s="15"/>
      <c r="H2427" s="16"/>
      <c r="I2427" s="14"/>
    </row>
    <row r="2428">
      <c r="A2428" s="14">
        <v>484.0</v>
      </c>
      <c r="B2428" s="14">
        <v>1.0147091E8</v>
      </c>
      <c r="C2428" s="14">
        <v>4.36822374E8</v>
      </c>
      <c r="D2428" s="2" t="s">
        <v>500</v>
      </c>
      <c r="E2428" s="1" t="s">
        <v>121</v>
      </c>
      <c r="F2428" s="14">
        <v>0.4019</v>
      </c>
      <c r="G2428" s="15"/>
      <c r="H2428" s="16"/>
      <c r="I2428" s="14"/>
    </row>
    <row r="2429">
      <c r="A2429" s="14">
        <v>488.0</v>
      </c>
      <c r="B2429" s="14">
        <v>9644115.0</v>
      </c>
      <c r="C2429" s="14">
        <v>4.091339E7</v>
      </c>
      <c r="D2429" s="2" t="s">
        <v>4420</v>
      </c>
      <c r="E2429" s="1" t="s">
        <v>121</v>
      </c>
      <c r="F2429" s="14">
        <v>0.4009</v>
      </c>
      <c r="G2429" s="15"/>
      <c r="H2429" s="16"/>
      <c r="I2429" s="14"/>
    </row>
    <row r="2430">
      <c r="A2430" s="14">
        <v>602.0</v>
      </c>
      <c r="B2430" s="14">
        <v>3979789.0</v>
      </c>
      <c r="C2430" s="14">
        <v>1.6910063E7</v>
      </c>
      <c r="D2430" s="2" t="s">
        <v>4715</v>
      </c>
      <c r="E2430" s="1" t="s">
        <v>121</v>
      </c>
      <c r="F2430" s="14">
        <v>0.4007</v>
      </c>
      <c r="G2430" s="15"/>
      <c r="H2430" s="16"/>
      <c r="I2430" s="14"/>
    </row>
    <row r="2431">
      <c r="A2431" s="14">
        <v>142.0</v>
      </c>
      <c r="B2431" s="14">
        <v>1.2795297E7</v>
      </c>
      <c r="C2431" s="14">
        <v>5.443063E7</v>
      </c>
      <c r="D2431" s="2" t="s">
        <v>4223</v>
      </c>
      <c r="E2431" s="1" t="s">
        <v>107</v>
      </c>
      <c r="F2431" s="14">
        <v>0.3989</v>
      </c>
      <c r="G2431" s="15"/>
      <c r="H2431" s="16"/>
      <c r="I2431" s="14"/>
    </row>
    <row r="2432">
      <c r="A2432" s="14">
        <v>285.0</v>
      </c>
      <c r="B2432" s="14">
        <v>9596125.0</v>
      </c>
      <c r="C2432" s="14">
        <v>4.0670454E7</v>
      </c>
      <c r="D2432" s="2" t="s">
        <v>4426</v>
      </c>
      <c r="E2432" s="1" t="s">
        <v>107</v>
      </c>
      <c r="F2432" s="14">
        <v>0.3987</v>
      </c>
      <c r="G2432" s="15"/>
      <c r="H2432" s="16"/>
      <c r="I2432" s="14"/>
    </row>
    <row r="2433">
      <c r="A2433" s="14">
        <v>403.0</v>
      </c>
      <c r="B2433" s="14">
        <v>5146256.0</v>
      </c>
      <c r="C2433" s="14">
        <v>2.190347E7</v>
      </c>
      <c r="D2433" s="2" t="s">
        <v>4717</v>
      </c>
      <c r="E2433" s="1" t="s">
        <v>121</v>
      </c>
      <c r="F2433" s="14">
        <v>0.3949</v>
      </c>
      <c r="G2433" s="15"/>
      <c r="H2433" s="16"/>
      <c r="I2433" s="14"/>
    </row>
    <row r="2434">
      <c r="A2434" s="14">
        <v>476.0</v>
      </c>
      <c r="B2434" s="14">
        <v>1050688.0</v>
      </c>
      <c r="C2434" s="14">
        <v>4813794.0</v>
      </c>
      <c r="D2434" s="2" t="s">
        <v>4718</v>
      </c>
      <c r="E2434" s="1" t="s">
        <v>121</v>
      </c>
      <c r="F2434" s="14">
        <v>0.3943</v>
      </c>
      <c r="G2434" s="15"/>
      <c r="H2434" s="16"/>
      <c r="I2434" s="14"/>
    </row>
    <row r="2435">
      <c r="A2435" s="14">
        <v>578.0</v>
      </c>
      <c r="B2435" s="14">
        <v>1.557986E7</v>
      </c>
      <c r="C2435" s="14">
        <v>6.615643E7</v>
      </c>
      <c r="D2435" s="2" t="s">
        <v>4064</v>
      </c>
      <c r="E2435" s="1" t="s">
        <v>107</v>
      </c>
      <c r="F2435" s="14">
        <v>0.3919</v>
      </c>
      <c r="G2435" s="15"/>
      <c r="H2435" s="16"/>
      <c r="I2435" s="14"/>
    </row>
    <row r="2436">
      <c r="A2436" s="14">
        <v>578.0</v>
      </c>
      <c r="B2436" s="14">
        <v>6.6689505E7</v>
      </c>
      <c r="C2436" s="14">
        <v>2.7322461E8</v>
      </c>
      <c r="D2436" s="2" t="s">
        <v>2407</v>
      </c>
      <c r="E2436" s="1" t="s">
        <v>699</v>
      </c>
      <c r="F2436" s="14">
        <v>0.3919</v>
      </c>
      <c r="G2436" s="15"/>
      <c r="H2436" s="16"/>
      <c r="I2436" s="14"/>
    </row>
    <row r="2437">
      <c r="A2437" s="14">
        <v>120.0</v>
      </c>
      <c r="B2437" s="14">
        <v>344656.0</v>
      </c>
      <c r="C2437" s="14">
        <v>1489310.0</v>
      </c>
      <c r="D2437" s="2" t="s">
        <v>4720</v>
      </c>
      <c r="E2437" s="1" t="s">
        <v>121</v>
      </c>
      <c r="F2437" s="14">
        <v>0.3919</v>
      </c>
      <c r="G2437" s="15"/>
      <c r="H2437" s="16"/>
      <c r="I2437" s="14"/>
    </row>
    <row r="2438">
      <c r="A2438" s="14">
        <v>663.0</v>
      </c>
      <c r="B2438" s="14">
        <v>6907123.0</v>
      </c>
      <c r="C2438" s="14">
        <v>2.9438722E7</v>
      </c>
      <c r="D2438" s="2" t="s">
        <v>4624</v>
      </c>
      <c r="E2438" s="1" t="s">
        <v>121</v>
      </c>
      <c r="F2438" s="14">
        <v>0.3919</v>
      </c>
      <c r="G2438" s="15"/>
      <c r="H2438" s="16"/>
      <c r="I2438" s="14"/>
    </row>
    <row r="2439">
      <c r="A2439" s="14">
        <v>531.0</v>
      </c>
      <c r="B2439" s="14">
        <v>1.1152136E7</v>
      </c>
      <c r="C2439" s="14">
        <v>4.7438975E7</v>
      </c>
      <c r="D2439" s="2" t="s">
        <v>4307</v>
      </c>
      <c r="E2439" s="1" t="s">
        <v>121</v>
      </c>
      <c r="F2439" s="14">
        <v>0.3919</v>
      </c>
      <c r="G2439" s="15"/>
      <c r="H2439" s="16"/>
      <c r="I2439" s="14"/>
    </row>
    <row r="2440">
      <c r="A2440" s="14">
        <v>676.0</v>
      </c>
      <c r="B2440" s="14">
        <v>7.6027369E7</v>
      </c>
      <c r="C2440" s="14">
        <v>3.15390289E8</v>
      </c>
      <c r="D2440" s="2" t="s">
        <v>1971</v>
      </c>
      <c r="E2440" s="1" t="s">
        <v>121</v>
      </c>
      <c r="F2440" s="14">
        <v>0.3919</v>
      </c>
      <c r="G2440" s="15"/>
      <c r="H2440" s="16"/>
      <c r="I2440" s="14"/>
    </row>
    <row r="2441">
      <c r="A2441" s="14">
        <v>403.0</v>
      </c>
      <c r="B2441" s="14">
        <v>1.0097701E7</v>
      </c>
      <c r="C2441" s="14">
        <v>4.2868017E7</v>
      </c>
      <c r="D2441" s="2" t="s">
        <v>4394</v>
      </c>
      <c r="E2441" s="1" t="s">
        <v>121</v>
      </c>
      <c r="F2441" s="14">
        <v>0.3905</v>
      </c>
      <c r="G2441" s="15"/>
      <c r="H2441" s="16"/>
      <c r="I2441" s="14"/>
    </row>
    <row r="2442">
      <c r="A2442" s="14">
        <v>586.0</v>
      </c>
      <c r="B2442" s="14">
        <v>5.294774E7</v>
      </c>
      <c r="C2442" s="14">
        <v>2.09904303E8</v>
      </c>
      <c r="D2442" s="2" t="s">
        <v>2914</v>
      </c>
      <c r="E2442" s="1" t="s">
        <v>107</v>
      </c>
      <c r="F2442" s="14">
        <v>0.3895</v>
      </c>
      <c r="G2442" s="15"/>
      <c r="H2442" s="16"/>
      <c r="I2442" s="14"/>
    </row>
    <row r="2443">
      <c r="A2443" s="14">
        <v>671.0</v>
      </c>
      <c r="B2443" s="14">
        <v>9.3888137E7</v>
      </c>
      <c r="C2443" s="14">
        <v>3.98911013E8</v>
      </c>
      <c r="D2443" s="2" t="s">
        <v>935</v>
      </c>
      <c r="E2443" s="1" t="s">
        <v>121</v>
      </c>
      <c r="F2443" s="14">
        <v>0.3889</v>
      </c>
      <c r="G2443" s="15"/>
      <c r="H2443" s="16"/>
      <c r="I2443" s="14"/>
    </row>
    <row r="2444">
      <c r="A2444" s="14">
        <v>157.0</v>
      </c>
      <c r="B2444" s="14">
        <v>540937.0</v>
      </c>
      <c r="C2444" s="14">
        <v>2599906.0</v>
      </c>
      <c r="D2444" s="2" t="s">
        <v>4724</v>
      </c>
      <c r="E2444" s="1" t="s">
        <v>121</v>
      </c>
      <c r="F2444" s="14">
        <v>0.3875</v>
      </c>
      <c r="G2444" s="15"/>
      <c r="H2444" s="16"/>
      <c r="I2444" s="14"/>
    </row>
    <row r="2445">
      <c r="A2445" s="14">
        <v>667.0</v>
      </c>
      <c r="B2445" s="14">
        <v>2.2412014E7</v>
      </c>
      <c r="C2445" s="14">
        <v>9.2523897E7</v>
      </c>
      <c r="D2445" s="2" t="s">
        <v>3792</v>
      </c>
      <c r="E2445" s="1" t="s">
        <v>121</v>
      </c>
      <c r="F2445" s="14">
        <v>0.3862</v>
      </c>
      <c r="G2445" s="15"/>
      <c r="H2445" s="16"/>
      <c r="I2445" s="14"/>
    </row>
    <row r="2446">
      <c r="A2446" s="14">
        <v>715.0</v>
      </c>
      <c r="B2446" s="14">
        <v>1.2231998E7</v>
      </c>
      <c r="C2446" s="14">
        <v>5.1952416E7</v>
      </c>
      <c r="D2446" s="2" t="s">
        <v>4248</v>
      </c>
      <c r="E2446" s="1" t="s">
        <v>121</v>
      </c>
      <c r="F2446" s="14">
        <v>0.3845</v>
      </c>
      <c r="G2446" s="15"/>
      <c r="H2446" s="16"/>
      <c r="I2446" s="14"/>
    </row>
    <row r="2447">
      <c r="A2447" s="14">
        <v>207.0</v>
      </c>
      <c r="B2447" s="14">
        <v>2674442.0</v>
      </c>
      <c r="C2447" s="14">
        <v>1.1289482E7</v>
      </c>
      <c r="D2447" s="2" t="s">
        <v>4726</v>
      </c>
      <c r="E2447" s="1" t="s">
        <v>121</v>
      </c>
      <c r="F2447" s="14">
        <v>0.3832</v>
      </c>
      <c r="G2447" s="15"/>
      <c r="H2447" s="16"/>
      <c r="I2447" s="14"/>
    </row>
    <row r="2448">
      <c r="A2448" s="14">
        <v>173.0</v>
      </c>
      <c r="B2448" s="14">
        <v>6.2073995E7</v>
      </c>
      <c r="C2448" s="14">
        <v>2.50494841E8</v>
      </c>
      <c r="D2448" s="2" t="s">
        <v>2610</v>
      </c>
      <c r="E2448" s="1" t="s">
        <v>107</v>
      </c>
      <c r="F2448" s="14">
        <v>0.3818</v>
      </c>
      <c r="G2448" s="15"/>
      <c r="H2448" s="16"/>
      <c r="I2448" s="14"/>
    </row>
    <row r="2449">
      <c r="A2449" s="14">
        <v>142.0</v>
      </c>
      <c r="B2449" s="14">
        <v>7348462.0</v>
      </c>
      <c r="C2449" s="14">
        <v>4.5898266E7</v>
      </c>
      <c r="D2449" s="2" t="s">
        <v>4587</v>
      </c>
      <c r="E2449" s="1" t="s">
        <v>699</v>
      </c>
      <c r="F2449" s="14">
        <v>0.3818</v>
      </c>
      <c r="G2449" s="15"/>
      <c r="H2449" s="16"/>
      <c r="I2449" s="14"/>
    </row>
    <row r="2450">
      <c r="A2450" s="14">
        <v>337.0</v>
      </c>
      <c r="B2450" s="14">
        <v>9818917.0</v>
      </c>
      <c r="C2450" s="14">
        <v>4.1640325E7</v>
      </c>
      <c r="D2450" s="2" t="s">
        <v>4411</v>
      </c>
      <c r="E2450" s="1" t="s">
        <v>699</v>
      </c>
      <c r="F2450" s="14">
        <v>0.3818</v>
      </c>
      <c r="G2450" s="15"/>
      <c r="H2450" s="16"/>
      <c r="I2450" s="14"/>
    </row>
    <row r="2451">
      <c r="A2451" s="14">
        <v>503.0</v>
      </c>
      <c r="B2451" s="14">
        <v>1.809603E7</v>
      </c>
      <c r="C2451" s="14">
        <v>7.6232806E7</v>
      </c>
      <c r="D2451" s="2" t="s">
        <v>3931</v>
      </c>
      <c r="E2451" s="1" t="s">
        <v>699</v>
      </c>
      <c r="F2451" s="14">
        <v>0.3818</v>
      </c>
      <c r="G2451" s="15"/>
      <c r="H2451" s="16"/>
      <c r="I2451" s="14"/>
    </row>
    <row r="2452">
      <c r="A2452" s="14">
        <v>650.0</v>
      </c>
      <c r="B2452" s="14">
        <v>5.0646067E7</v>
      </c>
      <c r="C2452" s="14">
        <v>2.00631792E8</v>
      </c>
      <c r="D2452" s="2" t="s">
        <v>2999</v>
      </c>
      <c r="E2452" s="1" t="s">
        <v>699</v>
      </c>
      <c r="F2452" s="14">
        <v>0.3818</v>
      </c>
      <c r="G2452" s="15"/>
      <c r="H2452" s="16"/>
      <c r="I2452" s="14"/>
    </row>
    <row r="2453">
      <c r="A2453" s="14">
        <v>194.0</v>
      </c>
      <c r="B2453" s="14">
        <v>5.1271235E7</v>
      </c>
      <c r="C2453" s="14">
        <v>2.03197871E8</v>
      </c>
      <c r="D2453" s="2" t="s">
        <v>2977</v>
      </c>
      <c r="E2453" s="1" t="s">
        <v>699</v>
      </c>
      <c r="F2453" s="14">
        <v>0.3818</v>
      </c>
      <c r="G2453" s="15"/>
      <c r="H2453" s="16"/>
      <c r="I2453" s="14"/>
    </row>
    <row r="2454">
      <c r="A2454" s="14">
        <v>337.0</v>
      </c>
      <c r="B2454" s="14">
        <v>6.2258291E7</v>
      </c>
      <c r="C2454" s="14">
        <v>3.04822584E8</v>
      </c>
      <c r="D2454" s="2" t="s">
        <v>2604</v>
      </c>
      <c r="E2454" s="1" t="s">
        <v>699</v>
      </c>
      <c r="F2454" s="14">
        <v>0.3818</v>
      </c>
      <c r="G2454" s="15"/>
      <c r="H2454" s="16"/>
      <c r="I2454" s="14"/>
    </row>
    <row r="2455">
      <c r="A2455" s="14">
        <v>656.0</v>
      </c>
      <c r="B2455" s="14">
        <v>6.6614835E7</v>
      </c>
      <c r="C2455" s="14">
        <v>2.72284651E8</v>
      </c>
      <c r="D2455" s="2" t="s">
        <v>2413</v>
      </c>
      <c r="E2455" s="1" t="s">
        <v>699</v>
      </c>
      <c r="F2455" s="14">
        <v>0.3818</v>
      </c>
      <c r="G2455" s="15"/>
      <c r="H2455" s="16"/>
      <c r="I2455" s="14"/>
    </row>
    <row r="2456">
      <c r="A2456" s="14">
        <v>173.0</v>
      </c>
      <c r="B2456" s="14">
        <v>7.0210674E7</v>
      </c>
      <c r="C2456" s="14">
        <v>2.89361602E8</v>
      </c>
      <c r="D2456" s="2" t="s">
        <v>2211</v>
      </c>
      <c r="E2456" s="1" t="s">
        <v>699</v>
      </c>
      <c r="F2456" s="14">
        <v>0.3818</v>
      </c>
      <c r="G2456" s="15"/>
      <c r="H2456" s="16"/>
      <c r="I2456" s="14"/>
    </row>
    <row r="2457">
      <c r="A2457" s="14">
        <v>721.0</v>
      </c>
      <c r="B2457" s="14">
        <v>7.2904867E7</v>
      </c>
      <c r="C2457" s="14">
        <v>3.01480409E8</v>
      </c>
      <c r="D2457" s="2" t="s">
        <v>2090</v>
      </c>
      <c r="E2457" s="1" t="s">
        <v>699</v>
      </c>
      <c r="F2457" s="14">
        <v>0.3818</v>
      </c>
      <c r="G2457" s="15"/>
      <c r="H2457" s="16"/>
      <c r="I2457" s="14"/>
    </row>
    <row r="2458">
      <c r="A2458" s="14">
        <v>700.0</v>
      </c>
      <c r="B2458" s="14">
        <v>8.9814512E7</v>
      </c>
      <c r="C2458" s="14">
        <v>3.80591238E8</v>
      </c>
      <c r="D2458" s="2" t="s">
        <v>1150</v>
      </c>
      <c r="E2458" s="1" t="s">
        <v>699</v>
      </c>
      <c r="F2458" s="14">
        <v>0.3818</v>
      </c>
      <c r="G2458" s="15"/>
      <c r="H2458" s="16"/>
      <c r="I2458" s="14"/>
    </row>
    <row r="2459">
      <c r="A2459" s="14">
        <v>414.0</v>
      </c>
      <c r="B2459" s="14">
        <v>1.09091628E8</v>
      </c>
      <c r="C2459" s="14">
        <v>4.72015291E8</v>
      </c>
      <c r="D2459" s="2" t="s">
        <v>152</v>
      </c>
      <c r="E2459" s="1" t="s">
        <v>699</v>
      </c>
      <c r="F2459" s="14">
        <v>0.3818</v>
      </c>
      <c r="G2459" s="15"/>
      <c r="H2459" s="16"/>
      <c r="I2459" s="14"/>
    </row>
    <row r="2460">
      <c r="A2460" s="14">
        <v>578.0</v>
      </c>
      <c r="B2460" s="14">
        <v>1.11221619E8</v>
      </c>
      <c r="C2460" s="14">
        <v>4.82603203E8</v>
      </c>
      <c r="D2460" s="2" t="s">
        <v>47</v>
      </c>
      <c r="E2460" s="1" t="s">
        <v>699</v>
      </c>
      <c r="F2460" s="14">
        <v>0.3818</v>
      </c>
      <c r="G2460" s="15"/>
      <c r="H2460" s="16"/>
      <c r="I2460" s="14"/>
    </row>
    <row r="2461">
      <c r="A2461" s="14">
        <v>172.0</v>
      </c>
      <c r="B2461" s="14">
        <v>87689.0</v>
      </c>
      <c r="C2461" s="14">
        <v>2492269.0</v>
      </c>
      <c r="D2461" s="2" t="s">
        <v>4736</v>
      </c>
      <c r="E2461" s="1" t="s">
        <v>121</v>
      </c>
      <c r="F2461" s="14">
        <v>0.3818</v>
      </c>
      <c r="G2461" s="15"/>
      <c r="H2461" s="16"/>
      <c r="I2461" s="14"/>
    </row>
    <row r="2462">
      <c r="A2462" s="14">
        <v>571.0</v>
      </c>
      <c r="B2462" s="14">
        <v>1.0808307E7</v>
      </c>
      <c r="C2462" s="14">
        <v>4.5950967E7</v>
      </c>
      <c r="D2462" s="2" t="s">
        <v>4335</v>
      </c>
      <c r="E2462" s="1" t="s">
        <v>121</v>
      </c>
      <c r="F2462" s="14">
        <v>0.3818</v>
      </c>
      <c r="G2462" s="15"/>
      <c r="H2462" s="16"/>
      <c r="I2462" s="14"/>
    </row>
    <row r="2463">
      <c r="A2463" s="14">
        <v>355.0</v>
      </c>
      <c r="B2463" s="14">
        <v>2.0161473E7</v>
      </c>
      <c r="C2463" s="14">
        <v>8.3983482E7</v>
      </c>
      <c r="D2463" s="2" t="s">
        <v>3876</v>
      </c>
      <c r="E2463" s="1" t="s">
        <v>121</v>
      </c>
      <c r="F2463" s="14">
        <v>0.3818</v>
      </c>
      <c r="G2463" s="15"/>
      <c r="H2463" s="16"/>
      <c r="I2463" s="14"/>
    </row>
    <row r="2464">
      <c r="A2464" s="14">
        <v>643.0</v>
      </c>
      <c r="B2464" s="14">
        <v>7.2686337E7</v>
      </c>
      <c r="C2464" s="14">
        <v>3.00346482E8</v>
      </c>
      <c r="D2464" s="2" t="s">
        <v>2095</v>
      </c>
      <c r="E2464" s="1" t="s">
        <v>121</v>
      </c>
      <c r="F2464" s="14">
        <v>0.3818</v>
      </c>
      <c r="G2464" s="15"/>
      <c r="H2464" s="16"/>
      <c r="I2464" s="14"/>
    </row>
    <row r="2465">
      <c r="A2465" s="14">
        <v>498.0</v>
      </c>
      <c r="B2465" s="14">
        <v>9.2036417E7</v>
      </c>
      <c r="C2465" s="14">
        <v>3.90885398E8</v>
      </c>
      <c r="D2465" s="2" t="s">
        <v>1036</v>
      </c>
      <c r="E2465" s="1" t="s">
        <v>121</v>
      </c>
      <c r="F2465" s="14">
        <v>0.3818</v>
      </c>
      <c r="G2465" s="15"/>
      <c r="H2465" s="16"/>
      <c r="I2465" s="14"/>
    </row>
    <row r="2466">
      <c r="A2466" s="14">
        <v>173.0</v>
      </c>
      <c r="B2466" s="14">
        <v>9.3710373E7</v>
      </c>
      <c r="C2466" s="14">
        <v>3.98393423E8</v>
      </c>
      <c r="D2466" s="2" t="s">
        <v>947</v>
      </c>
      <c r="E2466" s="1" t="s">
        <v>121</v>
      </c>
      <c r="F2466" s="14">
        <v>0.3818</v>
      </c>
      <c r="G2466" s="15"/>
      <c r="H2466" s="16"/>
      <c r="I2466" s="14"/>
    </row>
    <row r="2467">
      <c r="A2467" s="14">
        <v>643.0</v>
      </c>
      <c r="B2467" s="14">
        <v>9.9243676E7</v>
      </c>
      <c r="C2467" s="14">
        <v>4.24782595E8</v>
      </c>
      <c r="D2467" s="2" t="s">
        <v>633</v>
      </c>
      <c r="E2467" s="1" t="s">
        <v>121</v>
      </c>
      <c r="F2467" s="14">
        <v>0.3818</v>
      </c>
      <c r="G2467" s="15"/>
      <c r="H2467" s="16"/>
      <c r="I2467" s="14"/>
    </row>
    <row r="2468">
      <c r="A2468" s="14">
        <v>573.0</v>
      </c>
      <c r="B2468" s="14">
        <v>3033201.0</v>
      </c>
      <c r="C2468" s="14">
        <v>1.2875392E7</v>
      </c>
      <c r="D2468" s="2" t="s">
        <v>4738</v>
      </c>
      <c r="E2468" s="1" t="s">
        <v>121</v>
      </c>
      <c r="F2468" s="14">
        <v>0.3806</v>
      </c>
      <c r="G2468" s="15"/>
      <c r="H2468" s="16"/>
      <c r="I2468" s="14"/>
    </row>
    <row r="2469">
      <c r="A2469" s="14">
        <v>129.0</v>
      </c>
      <c r="B2469" s="14">
        <v>3.6694526E7</v>
      </c>
      <c r="C2469" s="14">
        <v>2.03811294E8</v>
      </c>
      <c r="D2469" s="2" t="s">
        <v>3454</v>
      </c>
      <c r="E2469" s="1" t="s">
        <v>121</v>
      </c>
      <c r="F2469" s="14">
        <v>0.3804</v>
      </c>
      <c r="G2469" s="15"/>
      <c r="H2469" s="16"/>
      <c r="I2469" s="14"/>
    </row>
    <row r="2470">
      <c r="A2470" s="14">
        <v>665.0</v>
      </c>
      <c r="B2470" s="14">
        <v>4.7843278E7</v>
      </c>
      <c r="C2470" s="14">
        <v>1.89089649E8</v>
      </c>
      <c r="D2470" s="2" t="s">
        <v>3120</v>
      </c>
      <c r="E2470" s="1" t="s">
        <v>699</v>
      </c>
      <c r="F2470" s="14">
        <v>0.3802</v>
      </c>
      <c r="G2470" s="15"/>
      <c r="H2470" s="16"/>
      <c r="I2470" s="14"/>
    </row>
    <row r="2471">
      <c r="A2471" s="14">
        <v>570.0</v>
      </c>
      <c r="B2471" s="14">
        <v>4850324.0</v>
      </c>
      <c r="C2471" s="14">
        <v>2.0607087E7</v>
      </c>
      <c r="D2471" s="2" t="s">
        <v>4741</v>
      </c>
      <c r="E2471" s="1" t="s">
        <v>121</v>
      </c>
      <c r="F2471" s="14">
        <v>0.3802</v>
      </c>
      <c r="G2471" s="15"/>
      <c r="H2471" s="16"/>
      <c r="I2471" s="14"/>
    </row>
    <row r="2472">
      <c r="A2472" s="14">
        <v>225.0</v>
      </c>
      <c r="B2472" s="14">
        <v>1.5895059E7</v>
      </c>
      <c r="C2472" s="14">
        <v>6.7464387E7</v>
      </c>
      <c r="D2472" s="2" t="s">
        <v>4045</v>
      </c>
      <c r="E2472" s="1" t="s">
        <v>121</v>
      </c>
      <c r="F2472" s="14">
        <v>0.3802</v>
      </c>
      <c r="G2472" s="15"/>
      <c r="H2472" s="16"/>
      <c r="I2472" s="14"/>
    </row>
    <row r="2473">
      <c r="A2473" s="14">
        <v>597.0</v>
      </c>
      <c r="B2473" s="14">
        <v>6931923.0</v>
      </c>
      <c r="C2473" s="14">
        <v>2.9533671E7</v>
      </c>
      <c r="D2473" s="2" t="s">
        <v>4618</v>
      </c>
      <c r="E2473" s="1" t="s">
        <v>121</v>
      </c>
      <c r="F2473" s="14">
        <v>0.3798</v>
      </c>
      <c r="G2473" s="15"/>
      <c r="H2473" s="16"/>
      <c r="I2473" s="14"/>
    </row>
    <row r="2474">
      <c r="A2474" s="14">
        <v>129.0</v>
      </c>
      <c r="B2474" s="14">
        <v>1.2849447E7</v>
      </c>
      <c r="C2474" s="14">
        <v>5.4533942E7</v>
      </c>
      <c r="D2474" s="2" t="s">
        <v>4220</v>
      </c>
      <c r="E2474" s="1" t="s">
        <v>699</v>
      </c>
      <c r="F2474" s="14">
        <v>0.3786</v>
      </c>
      <c r="G2474" s="15"/>
      <c r="H2474" s="16"/>
      <c r="I2474" s="14"/>
    </row>
    <row r="2475">
      <c r="A2475" s="14">
        <v>355.0</v>
      </c>
      <c r="B2475" s="14">
        <v>4.2924529E7</v>
      </c>
      <c r="C2475" s="14">
        <v>1.69797575E8</v>
      </c>
      <c r="D2475" s="2" t="s">
        <v>3299</v>
      </c>
      <c r="E2475" s="1" t="s">
        <v>699</v>
      </c>
      <c r="F2475" s="14">
        <v>0.3774</v>
      </c>
      <c r="G2475" s="15"/>
      <c r="H2475" s="16"/>
      <c r="I2475" s="14"/>
    </row>
    <row r="2476">
      <c r="A2476" s="14">
        <v>564.0</v>
      </c>
      <c r="B2476" s="14">
        <v>4.9740998E7</v>
      </c>
      <c r="C2476" s="14">
        <v>1.96741919E8</v>
      </c>
      <c r="D2476" s="2" t="s">
        <v>3029</v>
      </c>
      <c r="E2476" s="1" t="s">
        <v>699</v>
      </c>
      <c r="F2476" s="14">
        <v>0.3774</v>
      </c>
      <c r="G2476" s="15"/>
      <c r="H2476" s="16"/>
      <c r="I2476" s="14"/>
    </row>
    <row r="2477">
      <c r="A2477" s="14">
        <v>602.0</v>
      </c>
      <c r="B2477" s="14">
        <v>5.0180895E7</v>
      </c>
      <c r="C2477" s="14">
        <v>1.9866506E8</v>
      </c>
      <c r="D2477" s="2" t="s">
        <v>3017</v>
      </c>
      <c r="E2477" s="1" t="s">
        <v>699</v>
      </c>
      <c r="F2477" s="14">
        <v>0.3774</v>
      </c>
      <c r="G2477" s="15"/>
      <c r="H2477" s="16"/>
      <c r="I2477" s="14"/>
    </row>
    <row r="2478">
      <c r="A2478" s="14">
        <v>173.0</v>
      </c>
      <c r="B2478" s="14">
        <v>6.5660003E7</v>
      </c>
      <c r="C2478" s="14">
        <v>2.67740012E8</v>
      </c>
      <c r="D2478" s="2" t="s">
        <v>2464</v>
      </c>
      <c r="E2478" s="1" t="s">
        <v>699</v>
      </c>
      <c r="F2478" s="14">
        <v>0.3774</v>
      </c>
      <c r="G2478" s="15"/>
      <c r="H2478" s="16"/>
      <c r="I2478" s="14"/>
    </row>
    <row r="2479">
      <c r="A2479" s="14">
        <v>654.0</v>
      </c>
      <c r="B2479" s="14">
        <v>1.00685453E8</v>
      </c>
      <c r="C2479" s="14">
        <v>4.3167611E8</v>
      </c>
      <c r="D2479" s="2" t="s">
        <v>552</v>
      </c>
      <c r="E2479" s="1" t="s">
        <v>699</v>
      </c>
      <c r="F2479" s="14">
        <v>0.3774</v>
      </c>
      <c r="G2479" s="15"/>
      <c r="H2479" s="16"/>
      <c r="I2479" s="14"/>
    </row>
    <row r="2480">
      <c r="A2480" s="14">
        <v>194.0</v>
      </c>
      <c r="B2480" s="14">
        <v>6.7059524E7</v>
      </c>
      <c r="C2480" s="14">
        <v>2.74577414E8</v>
      </c>
      <c r="D2480" s="2" t="s">
        <v>2383</v>
      </c>
      <c r="E2480" s="1" t="s">
        <v>699</v>
      </c>
      <c r="F2480" s="14">
        <v>0.3769</v>
      </c>
      <c r="G2480" s="15"/>
      <c r="H2480" s="16"/>
      <c r="I2480" s="14"/>
    </row>
    <row r="2481">
      <c r="A2481" s="14">
        <v>571.0</v>
      </c>
      <c r="B2481" s="14">
        <v>9968281.0</v>
      </c>
      <c r="C2481" s="14">
        <v>4.2529787E7</v>
      </c>
      <c r="D2481" s="2" t="s">
        <v>4398</v>
      </c>
      <c r="E2481" s="1" t="s">
        <v>121</v>
      </c>
      <c r="F2481" s="14">
        <v>0.3749</v>
      </c>
      <c r="G2481" s="15"/>
      <c r="H2481" s="16"/>
      <c r="I2481" s="14"/>
    </row>
    <row r="2482">
      <c r="A2482" s="14">
        <v>426.0</v>
      </c>
      <c r="B2482" s="14">
        <v>6.1947478E7</v>
      </c>
      <c r="C2482" s="14">
        <v>2.49858817E8</v>
      </c>
      <c r="D2482" s="2" t="s">
        <v>2614</v>
      </c>
      <c r="E2482" s="1" t="s">
        <v>699</v>
      </c>
      <c r="F2482" s="14">
        <v>0.3744</v>
      </c>
      <c r="G2482" s="15"/>
      <c r="H2482" s="16"/>
      <c r="I2482" s="14"/>
    </row>
    <row r="2483">
      <c r="A2483" s="14">
        <v>173.0</v>
      </c>
      <c r="B2483" s="14">
        <v>8.2576932E7</v>
      </c>
      <c r="C2483" s="14">
        <v>4.75585834E8</v>
      </c>
      <c r="D2483" s="2" t="s">
        <v>1591</v>
      </c>
      <c r="E2483" s="1" t="s">
        <v>699</v>
      </c>
      <c r="F2483" s="14">
        <v>0.3744</v>
      </c>
      <c r="G2483" s="15"/>
      <c r="H2483" s="16"/>
      <c r="I2483" s="14"/>
    </row>
    <row r="2484">
      <c r="A2484" s="14">
        <v>173.0</v>
      </c>
      <c r="B2484" s="14">
        <v>1201307.0</v>
      </c>
      <c r="C2484" s="14">
        <v>3.18244359E8</v>
      </c>
      <c r="D2484" s="2" t="s">
        <v>4750</v>
      </c>
      <c r="E2484" s="1" t="s">
        <v>121</v>
      </c>
      <c r="F2484" s="14">
        <v>0.3744</v>
      </c>
      <c r="G2484" s="15"/>
      <c r="H2484" s="16"/>
      <c r="I2484" s="14"/>
    </row>
    <row r="2485">
      <c r="A2485" s="14">
        <v>669.0</v>
      </c>
      <c r="B2485" s="14">
        <v>4.4049001E7</v>
      </c>
      <c r="C2485" s="14">
        <v>1.73985871E8</v>
      </c>
      <c r="D2485" s="2" t="s">
        <v>3267</v>
      </c>
      <c r="E2485" s="1" t="s">
        <v>107</v>
      </c>
      <c r="F2485" s="14">
        <v>0.3722</v>
      </c>
      <c r="G2485" s="15"/>
      <c r="H2485" s="16"/>
      <c r="I2485" s="14"/>
    </row>
    <row r="2486">
      <c r="A2486" s="14">
        <v>395.0</v>
      </c>
      <c r="B2486" s="14">
        <v>963543.0</v>
      </c>
      <c r="C2486" s="14">
        <v>4469854.0</v>
      </c>
      <c r="D2486" s="2" t="s">
        <v>4751</v>
      </c>
      <c r="E2486" s="1" t="s">
        <v>121</v>
      </c>
      <c r="F2486" s="14">
        <v>0.3716</v>
      </c>
      <c r="G2486" s="15"/>
      <c r="H2486" s="16"/>
      <c r="I2486" s="14"/>
    </row>
    <row r="2487">
      <c r="A2487" s="14">
        <v>225.0</v>
      </c>
      <c r="B2487" s="14">
        <v>1.2886904E7</v>
      </c>
      <c r="C2487" s="14">
        <v>5.4653916E7</v>
      </c>
      <c r="D2487" s="2" t="s">
        <v>4218</v>
      </c>
      <c r="E2487" s="1" t="s">
        <v>121</v>
      </c>
      <c r="F2487" s="14">
        <v>0.3716</v>
      </c>
      <c r="G2487" s="15"/>
      <c r="H2487" s="16"/>
      <c r="I2487" s="14"/>
    </row>
    <row r="2488">
      <c r="A2488" s="14">
        <v>380.0</v>
      </c>
      <c r="B2488" s="14">
        <v>1.3060568E7</v>
      </c>
      <c r="C2488" s="14">
        <v>5.5435878E7</v>
      </c>
      <c r="D2488" s="2" t="s">
        <v>4209</v>
      </c>
      <c r="E2488" s="1" t="s">
        <v>121</v>
      </c>
      <c r="F2488" s="14">
        <v>0.3716</v>
      </c>
      <c r="G2488" s="15"/>
      <c r="H2488" s="16"/>
      <c r="I2488" s="14"/>
    </row>
    <row r="2489">
      <c r="A2489" s="14">
        <v>571.0</v>
      </c>
      <c r="B2489" s="14">
        <v>2.8163969E7</v>
      </c>
      <c r="C2489" s="14">
        <v>3.12705392E8</v>
      </c>
      <c r="D2489" s="2" t="s">
        <v>3639</v>
      </c>
      <c r="E2489" s="1" t="s">
        <v>121</v>
      </c>
      <c r="F2489" s="14">
        <v>0.3716</v>
      </c>
      <c r="G2489" s="15"/>
      <c r="H2489" s="16"/>
      <c r="I2489" s="14"/>
    </row>
    <row r="2490">
      <c r="A2490" s="14">
        <v>673.0</v>
      </c>
      <c r="B2490" s="14">
        <v>4.5628015E7</v>
      </c>
      <c r="C2490" s="14">
        <v>1.80060498E8</v>
      </c>
      <c r="D2490" s="2" t="s">
        <v>3231</v>
      </c>
      <c r="E2490" s="1" t="s">
        <v>121</v>
      </c>
      <c r="F2490" s="14">
        <v>0.3716</v>
      </c>
      <c r="G2490" s="15"/>
      <c r="H2490" s="16"/>
      <c r="I2490" s="14"/>
    </row>
    <row r="2491">
      <c r="A2491" s="14">
        <v>414.0</v>
      </c>
      <c r="B2491" s="14">
        <v>5.3727492E7</v>
      </c>
      <c r="C2491" s="14">
        <v>2.13175253E8</v>
      </c>
      <c r="D2491" s="2" t="s">
        <v>2885</v>
      </c>
      <c r="E2491" s="1" t="s">
        <v>121</v>
      </c>
      <c r="F2491" s="14">
        <v>0.3716</v>
      </c>
      <c r="G2491" s="15"/>
      <c r="H2491" s="16"/>
      <c r="I2491" s="14"/>
    </row>
    <row r="2492">
      <c r="A2492" s="14">
        <v>671.0</v>
      </c>
      <c r="B2492" s="14">
        <v>2742706.0</v>
      </c>
      <c r="C2492" s="14">
        <v>1.1533036E7</v>
      </c>
      <c r="D2492" s="2" t="s">
        <v>4755</v>
      </c>
      <c r="E2492" s="1" t="s">
        <v>121</v>
      </c>
      <c r="F2492" s="14">
        <v>0.3682</v>
      </c>
      <c r="G2492" s="15"/>
      <c r="H2492" s="16"/>
      <c r="I2492" s="14"/>
    </row>
    <row r="2493">
      <c r="A2493" s="14">
        <v>475.0</v>
      </c>
      <c r="B2493" s="14">
        <v>1.0255032E7</v>
      </c>
      <c r="C2493" s="14">
        <v>4.3527253E7</v>
      </c>
      <c r="D2493" s="2" t="s">
        <v>4378</v>
      </c>
      <c r="E2493" s="1" t="s">
        <v>121</v>
      </c>
      <c r="F2493" s="14">
        <v>0.368</v>
      </c>
      <c r="G2493" s="15"/>
      <c r="H2493" s="16"/>
      <c r="I2493" s="14"/>
    </row>
    <row r="2494">
      <c r="A2494" s="14">
        <v>403.0</v>
      </c>
      <c r="B2494" s="14">
        <v>8.4573434E7</v>
      </c>
      <c r="C2494" s="14">
        <v>3.55688947E8</v>
      </c>
      <c r="D2494" s="2" t="s">
        <v>1462</v>
      </c>
      <c r="E2494" s="1" t="s">
        <v>121</v>
      </c>
      <c r="F2494" s="14">
        <v>0.368</v>
      </c>
      <c r="G2494" s="15"/>
      <c r="H2494" s="16"/>
      <c r="I2494" s="14"/>
    </row>
    <row r="2495">
      <c r="A2495" s="14">
        <v>671.0</v>
      </c>
      <c r="B2495" s="14">
        <v>3291801.0</v>
      </c>
      <c r="C2495" s="14">
        <v>1.3937143E7</v>
      </c>
      <c r="D2495" s="2" t="s">
        <v>4761</v>
      </c>
      <c r="E2495" s="1" t="s">
        <v>121</v>
      </c>
      <c r="F2495" s="14">
        <v>0.3672</v>
      </c>
      <c r="G2495" s="15"/>
      <c r="H2495" s="16"/>
      <c r="I2495" s="14"/>
    </row>
    <row r="2496">
      <c r="A2496" s="14">
        <v>601.0</v>
      </c>
      <c r="B2496" s="14">
        <v>8.1872413E7</v>
      </c>
      <c r="C2496" s="14">
        <v>3.4346677E8</v>
      </c>
      <c r="D2496" s="2" t="s">
        <v>1646</v>
      </c>
      <c r="E2496" s="1" t="s">
        <v>121</v>
      </c>
      <c r="F2496" s="14">
        <v>0.3657</v>
      </c>
      <c r="G2496" s="15"/>
      <c r="H2496" s="16"/>
      <c r="I2496" s="14"/>
    </row>
    <row r="2497">
      <c r="A2497" s="14">
        <v>587.0</v>
      </c>
      <c r="B2497" s="14">
        <v>2594855.0</v>
      </c>
      <c r="C2497" s="14">
        <v>1.093297E7</v>
      </c>
      <c r="D2497" s="2" t="s">
        <v>4762</v>
      </c>
      <c r="E2497" s="1" t="s">
        <v>107</v>
      </c>
      <c r="F2497" s="14">
        <v>0.3612</v>
      </c>
      <c r="G2497" s="15"/>
      <c r="H2497" s="16"/>
      <c r="I2497" s="14"/>
    </row>
    <row r="2498">
      <c r="A2498" s="14">
        <v>406.0</v>
      </c>
      <c r="B2498" s="14">
        <v>6229069.0</v>
      </c>
      <c r="C2498" s="14">
        <v>2.653701E7</v>
      </c>
      <c r="D2498" s="2" t="s">
        <v>4693</v>
      </c>
      <c r="E2498" s="1" t="s">
        <v>107</v>
      </c>
      <c r="F2498" s="14">
        <v>0.3612</v>
      </c>
      <c r="G2498" s="15"/>
      <c r="H2498" s="16"/>
      <c r="I2498" s="14"/>
    </row>
    <row r="2499">
      <c r="A2499" s="14">
        <v>321.0</v>
      </c>
      <c r="B2499" s="14">
        <v>1.3934672E7</v>
      </c>
      <c r="C2499" s="14">
        <v>5.9150518E7</v>
      </c>
      <c r="D2499" s="2" t="s">
        <v>4160</v>
      </c>
      <c r="E2499" s="1" t="s">
        <v>107</v>
      </c>
      <c r="F2499" s="14">
        <v>0.3612</v>
      </c>
      <c r="G2499" s="15"/>
      <c r="H2499" s="16"/>
      <c r="I2499" s="14"/>
    </row>
    <row r="2500">
      <c r="A2500" s="14">
        <v>610.0</v>
      </c>
      <c r="B2500" s="14">
        <v>4.346825E7</v>
      </c>
      <c r="C2500" s="14">
        <v>2.32078853E8</v>
      </c>
      <c r="D2500" s="2" t="s">
        <v>3283</v>
      </c>
      <c r="E2500" s="1" t="s">
        <v>107</v>
      </c>
      <c r="F2500" s="14">
        <v>0.3612</v>
      </c>
      <c r="G2500" s="15"/>
      <c r="H2500" s="16"/>
      <c r="I2500" s="14"/>
    </row>
    <row r="2501">
      <c r="A2501" s="14">
        <v>392.0</v>
      </c>
      <c r="B2501" s="14">
        <v>5.903226E7</v>
      </c>
      <c r="C2501" s="14">
        <v>2.35824002E8</v>
      </c>
      <c r="D2501" s="2" t="s">
        <v>2722</v>
      </c>
      <c r="E2501" s="1" t="s">
        <v>107</v>
      </c>
      <c r="F2501" s="14">
        <v>0.3612</v>
      </c>
      <c r="G2501" s="15"/>
      <c r="H2501" s="16"/>
      <c r="I2501" s="14"/>
    </row>
    <row r="2502">
      <c r="A2502" s="14">
        <v>671.0</v>
      </c>
      <c r="B2502" s="14">
        <v>6.3916866E7</v>
      </c>
      <c r="C2502" s="14">
        <v>2.59407471E8</v>
      </c>
      <c r="D2502" s="2" t="s">
        <v>2534</v>
      </c>
      <c r="E2502" s="1" t="s">
        <v>107</v>
      </c>
      <c r="F2502" s="14">
        <v>0.3612</v>
      </c>
      <c r="G2502" s="15"/>
      <c r="H2502" s="16"/>
      <c r="I2502" s="14"/>
    </row>
    <row r="2503">
      <c r="A2503" s="14">
        <v>475.0</v>
      </c>
      <c r="B2503" s="14">
        <v>9.9389051E7</v>
      </c>
      <c r="C2503" s="14">
        <v>4.25378092E8</v>
      </c>
      <c r="D2503" s="2" t="s">
        <v>623</v>
      </c>
      <c r="E2503" s="1" t="s">
        <v>107</v>
      </c>
      <c r="F2503" s="14">
        <v>0.3612</v>
      </c>
      <c r="G2503" s="15"/>
      <c r="H2503" s="16"/>
      <c r="I2503" s="14"/>
    </row>
    <row r="2504">
      <c r="A2504" s="14">
        <v>120.0</v>
      </c>
      <c r="B2504" s="14">
        <v>254953.0</v>
      </c>
      <c r="C2504" s="14">
        <v>1076045.0</v>
      </c>
      <c r="D2504" s="2" t="s">
        <v>4767</v>
      </c>
      <c r="E2504" s="1" t="s">
        <v>699</v>
      </c>
      <c r="F2504" s="14">
        <v>0.3612</v>
      </c>
      <c r="G2504" s="15"/>
      <c r="H2504" s="16"/>
      <c r="I2504" s="14"/>
    </row>
    <row r="2505">
      <c r="A2505" s="14">
        <v>120.0</v>
      </c>
      <c r="B2505" s="14">
        <v>370020.0</v>
      </c>
      <c r="C2505" s="14">
        <v>2068025.0</v>
      </c>
      <c r="D2505" s="2" t="s">
        <v>4769</v>
      </c>
      <c r="E2505" s="1" t="s">
        <v>699</v>
      </c>
      <c r="F2505" s="14">
        <v>0.3612</v>
      </c>
      <c r="G2505" s="15"/>
      <c r="H2505" s="16"/>
      <c r="I2505" s="14"/>
    </row>
    <row r="2506">
      <c r="A2506" s="14">
        <v>403.0</v>
      </c>
      <c r="B2506" s="14">
        <v>756220.0</v>
      </c>
      <c r="C2506" s="14">
        <v>4.81260773E8</v>
      </c>
      <c r="D2506" s="2" t="s">
        <v>4771</v>
      </c>
      <c r="E2506" s="1" t="s">
        <v>699</v>
      </c>
      <c r="F2506" s="14">
        <v>0.3612</v>
      </c>
      <c r="G2506" s="15"/>
      <c r="H2506" s="16"/>
      <c r="I2506" s="14"/>
    </row>
    <row r="2507">
      <c r="A2507" s="14">
        <v>120.0</v>
      </c>
      <c r="B2507" s="14">
        <v>1334028.0</v>
      </c>
      <c r="C2507" s="14">
        <v>5958608.0</v>
      </c>
      <c r="D2507" s="2" t="s">
        <v>4772</v>
      </c>
      <c r="E2507" s="1" t="s">
        <v>699</v>
      </c>
      <c r="F2507" s="14">
        <v>0.3612</v>
      </c>
      <c r="G2507" s="15"/>
      <c r="H2507" s="16"/>
      <c r="I2507" s="14"/>
    </row>
    <row r="2508">
      <c r="A2508" s="14">
        <v>484.0</v>
      </c>
      <c r="B2508" s="14">
        <v>1678982.0</v>
      </c>
      <c r="C2508" s="14">
        <v>8.1842976E7</v>
      </c>
      <c r="D2508" s="2" t="s">
        <v>4774</v>
      </c>
      <c r="E2508" s="1" t="s">
        <v>699</v>
      </c>
      <c r="F2508" s="14">
        <v>0.3612</v>
      </c>
      <c r="G2508" s="15"/>
      <c r="H2508" s="16"/>
      <c r="I2508" s="14"/>
    </row>
    <row r="2509">
      <c r="A2509" s="14">
        <v>665.0</v>
      </c>
      <c r="B2509" s="14">
        <v>2725617.0</v>
      </c>
      <c r="C2509" s="14">
        <v>1.1487933E7</v>
      </c>
      <c r="D2509" s="2" t="s">
        <v>4775</v>
      </c>
      <c r="E2509" s="1" t="s">
        <v>699</v>
      </c>
      <c r="F2509" s="14">
        <v>0.3612</v>
      </c>
      <c r="G2509" s="15"/>
      <c r="H2509" s="16"/>
      <c r="I2509" s="14"/>
    </row>
    <row r="2510">
      <c r="A2510" s="14">
        <v>207.0</v>
      </c>
      <c r="B2510" s="14">
        <v>3634803.0</v>
      </c>
      <c r="C2510" s="14">
        <v>1.5404574E7</v>
      </c>
      <c r="D2510" s="2" t="s">
        <v>4776</v>
      </c>
      <c r="E2510" s="1" t="s">
        <v>699</v>
      </c>
      <c r="F2510" s="14">
        <v>0.3612</v>
      </c>
      <c r="G2510" s="15"/>
      <c r="H2510" s="16"/>
      <c r="I2510" s="14"/>
    </row>
    <row r="2511">
      <c r="A2511" s="14">
        <v>409.0</v>
      </c>
      <c r="B2511" s="14">
        <v>4169401.0</v>
      </c>
      <c r="C2511" s="14">
        <v>1.7697307E7</v>
      </c>
      <c r="D2511" s="2" t="s">
        <v>4778</v>
      </c>
      <c r="E2511" s="1" t="s">
        <v>699</v>
      </c>
      <c r="F2511" s="14">
        <v>0.3612</v>
      </c>
      <c r="G2511" s="15"/>
      <c r="H2511" s="16"/>
      <c r="I2511" s="14"/>
    </row>
    <row r="2512">
      <c r="A2512" s="14">
        <v>228.0</v>
      </c>
      <c r="B2512" s="14">
        <v>4182590.0</v>
      </c>
      <c r="C2512" s="14">
        <v>1.7788111E7</v>
      </c>
      <c r="D2512" s="2" t="s">
        <v>4780</v>
      </c>
      <c r="E2512" s="1" t="s">
        <v>699</v>
      </c>
      <c r="F2512" s="14">
        <v>0.3612</v>
      </c>
      <c r="G2512" s="15"/>
      <c r="H2512" s="16"/>
      <c r="I2512" s="14"/>
    </row>
    <row r="2513">
      <c r="A2513" s="14">
        <v>504.0</v>
      </c>
      <c r="B2513" s="14">
        <v>6361882.0</v>
      </c>
      <c r="C2513" s="14">
        <v>4.14288756E8</v>
      </c>
      <c r="D2513" s="2" t="s">
        <v>4677</v>
      </c>
      <c r="E2513" s="1" t="s">
        <v>699</v>
      </c>
      <c r="F2513" s="14">
        <v>0.3612</v>
      </c>
      <c r="G2513" s="15"/>
      <c r="H2513" s="16"/>
      <c r="I2513" s="14"/>
    </row>
    <row r="2514">
      <c r="A2514" s="14">
        <v>610.0</v>
      </c>
      <c r="B2514" s="14">
        <v>6373327.0</v>
      </c>
      <c r="C2514" s="14">
        <v>3.1960666E8</v>
      </c>
      <c r="D2514" s="2" t="s">
        <v>4675</v>
      </c>
      <c r="E2514" s="1" t="s">
        <v>699</v>
      </c>
      <c r="F2514" s="14">
        <v>0.3612</v>
      </c>
      <c r="G2514" s="15"/>
      <c r="H2514" s="16"/>
      <c r="I2514" s="14"/>
    </row>
    <row r="2515">
      <c r="A2515" s="14">
        <v>664.0</v>
      </c>
      <c r="B2515" s="14">
        <v>7094653.0</v>
      </c>
      <c r="C2515" s="14">
        <v>3.0179406E7</v>
      </c>
      <c r="D2515" s="2" t="s">
        <v>4598</v>
      </c>
      <c r="E2515" s="1" t="s">
        <v>699</v>
      </c>
      <c r="F2515" s="14">
        <v>0.3612</v>
      </c>
      <c r="G2515" s="15"/>
      <c r="H2515" s="16"/>
      <c r="I2515" s="14"/>
    </row>
    <row r="2516">
      <c r="A2516" s="14">
        <v>664.0</v>
      </c>
      <c r="B2516" s="14">
        <v>7134015.0</v>
      </c>
      <c r="C2516" s="14">
        <v>3.0345436E7</v>
      </c>
      <c r="D2516" s="2" t="s">
        <v>4595</v>
      </c>
      <c r="E2516" s="1" t="s">
        <v>699</v>
      </c>
      <c r="F2516" s="14">
        <v>0.3612</v>
      </c>
      <c r="G2516" s="15"/>
      <c r="H2516" s="16"/>
      <c r="I2516" s="14"/>
    </row>
    <row r="2517">
      <c r="A2517" s="14">
        <v>407.0</v>
      </c>
      <c r="B2517" s="14">
        <v>9179885.0</v>
      </c>
      <c r="C2517" s="14">
        <v>3.8925031E7</v>
      </c>
      <c r="D2517" s="2" t="s">
        <v>4456</v>
      </c>
      <c r="E2517" s="1" t="s">
        <v>699</v>
      </c>
      <c r="F2517" s="14">
        <v>0.3612</v>
      </c>
      <c r="G2517" s="15"/>
      <c r="H2517" s="16"/>
      <c r="I2517" s="14"/>
    </row>
    <row r="2518">
      <c r="A2518" s="14">
        <v>671.0</v>
      </c>
      <c r="B2518" s="14">
        <v>1.2100973E7</v>
      </c>
      <c r="C2518" s="14">
        <v>5.1349297E7</v>
      </c>
      <c r="D2518" s="2" t="s">
        <v>4253</v>
      </c>
      <c r="E2518" s="1" t="s">
        <v>699</v>
      </c>
      <c r="F2518" s="14">
        <v>0.3612</v>
      </c>
      <c r="G2518" s="15"/>
      <c r="H2518" s="16"/>
      <c r="I2518" s="14"/>
    </row>
    <row r="2519">
      <c r="A2519" s="14">
        <v>1185.0</v>
      </c>
      <c r="B2519" s="14">
        <v>1.2961302E7</v>
      </c>
      <c r="C2519" s="14">
        <v>5.4982369E7</v>
      </c>
      <c r="D2519" s="2" t="s">
        <v>4215</v>
      </c>
      <c r="E2519" s="1" t="s">
        <v>699</v>
      </c>
      <c r="F2519" s="14">
        <v>0.3612</v>
      </c>
      <c r="G2519" s="15"/>
      <c r="H2519" s="16"/>
      <c r="I2519" s="14"/>
    </row>
    <row r="2520">
      <c r="A2520" s="14">
        <v>395.0</v>
      </c>
      <c r="B2520" s="14">
        <v>1.3371853E7</v>
      </c>
      <c r="C2520" s="14">
        <v>5.6775122E7</v>
      </c>
      <c r="D2520" s="2" t="s">
        <v>4191</v>
      </c>
      <c r="E2520" s="1" t="s">
        <v>699</v>
      </c>
      <c r="F2520" s="14">
        <v>0.3612</v>
      </c>
      <c r="G2520" s="15"/>
      <c r="H2520" s="16"/>
      <c r="I2520" s="14"/>
    </row>
    <row r="2521">
      <c r="A2521" s="14">
        <v>587.0</v>
      </c>
      <c r="B2521" s="14">
        <v>1.4058656E7</v>
      </c>
      <c r="C2521" s="14">
        <v>3.86405166E8</v>
      </c>
      <c r="D2521" s="2" t="s">
        <v>4147</v>
      </c>
      <c r="E2521" s="1" t="s">
        <v>699</v>
      </c>
      <c r="F2521" s="14">
        <v>0.3612</v>
      </c>
      <c r="G2521" s="15"/>
      <c r="H2521" s="16"/>
      <c r="I2521" s="14"/>
    </row>
    <row r="2522">
      <c r="A2522" s="14">
        <v>473.0</v>
      </c>
      <c r="B2522" s="14">
        <v>1.5919724E7</v>
      </c>
      <c r="C2522" s="14">
        <v>1.65345956E8</v>
      </c>
      <c r="D2522" s="2" t="s">
        <v>4039</v>
      </c>
      <c r="E2522" s="1" t="s">
        <v>699</v>
      </c>
      <c r="F2522" s="14">
        <v>0.3612</v>
      </c>
      <c r="G2522" s="15"/>
      <c r="H2522" s="16"/>
      <c r="I2522" s="14"/>
    </row>
    <row r="2523">
      <c r="A2523" s="14">
        <v>671.0</v>
      </c>
      <c r="B2523" s="14">
        <v>1.6807128E7</v>
      </c>
      <c r="C2523" s="14">
        <v>7.1318544E7</v>
      </c>
      <c r="D2523" s="2" t="s">
        <v>3983</v>
      </c>
      <c r="E2523" s="1" t="s">
        <v>699</v>
      </c>
      <c r="F2523" s="14">
        <v>0.3612</v>
      </c>
      <c r="G2523" s="15"/>
      <c r="H2523" s="16"/>
      <c r="I2523" s="14"/>
    </row>
    <row r="2524">
      <c r="A2524" s="14">
        <v>405.0</v>
      </c>
      <c r="B2524" s="14">
        <v>1.7580014E7</v>
      </c>
      <c r="C2524" s="14">
        <v>7.428343E7</v>
      </c>
      <c r="D2524" s="2" t="s">
        <v>3955</v>
      </c>
      <c r="E2524" s="1" t="s">
        <v>699</v>
      </c>
      <c r="F2524" s="14">
        <v>0.3612</v>
      </c>
      <c r="G2524" s="15"/>
      <c r="H2524" s="16"/>
      <c r="I2524" s="14"/>
    </row>
    <row r="2525">
      <c r="A2525" s="14">
        <v>503.0</v>
      </c>
      <c r="B2525" s="14">
        <v>2.1588987E7</v>
      </c>
      <c r="C2525" s="14">
        <v>8.9694986E7</v>
      </c>
      <c r="D2525" s="2" t="s">
        <v>3820</v>
      </c>
      <c r="E2525" s="1" t="s">
        <v>699</v>
      </c>
      <c r="F2525" s="14">
        <v>0.3612</v>
      </c>
      <c r="G2525" s="15"/>
      <c r="H2525" s="16"/>
      <c r="I2525" s="14"/>
    </row>
    <row r="2526">
      <c r="A2526" s="14">
        <v>609.0</v>
      </c>
      <c r="B2526" s="14">
        <v>2.2575798E7</v>
      </c>
      <c r="C2526" s="14">
        <v>9.3134576E7</v>
      </c>
      <c r="D2526" s="2" t="s">
        <v>3786</v>
      </c>
      <c r="E2526" s="1" t="s">
        <v>699</v>
      </c>
      <c r="F2526" s="14">
        <v>0.3612</v>
      </c>
      <c r="G2526" s="15"/>
      <c r="H2526" s="16"/>
      <c r="I2526" s="14"/>
    </row>
    <row r="2527">
      <c r="A2527" s="14">
        <v>671.0</v>
      </c>
      <c r="B2527" s="14">
        <v>2.4676183E7</v>
      </c>
      <c r="C2527" s="14">
        <v>1.00726592E8</v>
      </c>
      <c r="D2527" s="2" t="s">
        <v>3734</v>
      </c>
      <c r="E2527" s="1" t="s">
        <v>699</v>
      </c>
      <c r="F2527" s="14">
        <v>0.3612</v>
      </c>
      <c r="G2527" s="15"/>
      <c r="H2527" s="16"/>
      <c r="I2527" s="14"/>
    </row>
    <row r="2528">
      <c r="A2528" s="14">
        <v>586.0</v>
      </c>
      <c r="B2528" s="14">
        <v>2.5557221E7</v>
      </c>
      <c r="C2528" s="14">
        <v>1.03694619E8</v>
      </c>
      <c r="D2528" s="2" t="s">
        <v>3711</v>
      </c>
      <c r="E2528" s="1" t="s">
        <v>699</v>
      </c>
      <c r="F2528" s="14">
        <v>0.3612</v>
      </c>
      <c r="G2528" s="15"/>
      <c r="H2528" s="16"/>
      <c r="I2528" s="14"/>
    </row>
    <row r="2529">
      <c r="A2529" s="14">
        <v>410.0</v>
      </c>
      <c r="B2529" s="14">
        <v>2.7678871E7</v>
      </c>
      <c r="C2529" s="14">
        <v>1.11672132E8</v>
      </c>
      <c r="D2529" s="2" t="s">
        <v>3655</v>
      </c>
      <c r="E2529" s="1" t="s">
        <v>699</v>
      </c>
      <c r="F2529" s="14">
        <v>0.3612</v>
      </c>
      <c r="G2529" s="15"/>
      <c r="H2529" s="16"/>
      <c r="I2529" s="14"/>
    </row>
    <row r="2530">
      <c r="A2530" s="14">
        <v>392.0</v>
      </c>
      <c r="B2530" s="14">
        <v>3.7803228E7</v>
      </c>
      <c r="C2530" s="14">
        <v>1.50320269E8</v>
      </c>
      <c r="D2530" s="2" t="s">
        <v>3434</v>
      </c>
      <c r="E2530" s="1" t="s">
        <v>699</v>
      </c>
      <c r="F2530" s="14">
        <v>0.3612</v>
      </c>
      <c r="G2530" s="15"/>
      <c r="H2530" s="16"/>
      <c r="I2530" s="14"/>
    </row>
    <row r="2531">
      <c r="A2531" s="14">
        <v>630.0</v>
      </c>
      <c r="B2531" s="14">
        <v>3.7903103E7</v>
      </c>
      <c r="C2531" s="14">
        <v>1.5082291E8</v>
      </c>
      <c r="D2531" s="2" t="s">
        <v>3432</v>
      </c>
      <c r="E2531" s="1" t="s">
        <v>699</v>
      </c>
      <c r="F2531" s="14">
        <v>0.3612</v>
      </c>
      <c r="G2531" s="15"/>
      <c r="H2531" s="16"/>
      <c r="I2531" s="14"/>
    </row>
    <row r="2532">
      <c r="A2532" s="14">
        <v>406.0</v>
      </c>
      <c r="B2532" s="14">
        <v>4.2776721E7</v>
      </c>
      <c r="C2532" s="14">
        <v>2.81121616E8</v>
      </c>
      <c r="D2532" s="2" t="s">
        <v>3301</v>
      </c>
      <c r="E2532" s="1" t="s">
        <v>699</v>
      </c>
      <c r="F2532" s="14">
        <v>0.3612</v>
      </c>
      <c r="G2532" s="15"/>
      <c r="H2532" s="16"/>
      <c r="I2532" s="14"/>
    </row>
    <row r="2533">
      <c r="A2533" s="14">
        <v>215.0</v>
      </c>
      <c r="B2533" s="14">
        <v>4.7034257E7</v>
      </c>
      <c r="C2533" s="14">
        <v>1.86109528E8</v>
      </c>
      <c r="D2533" s="2" t="s">
        <v>3155</v>
      </c>
      <c r="E2533" s="1" t="s">
        <v>699</v>
      </c>
      <c r="F2533" s="14">
        <v>0.3612</v>
      </c>
      <c r="G2533" s="15"/>
      <c r="H2533" s="16"/>
      <c r="I2533" s="14"/>
    </row>
    <row r="2534">
      <c r="A2534" s="14">
        <v>696.0</v>
      </c>
      <c r="B2534" s="14">
        <v>4.7155614E7</v>
      </c>
      <c r="C2534" s="14">
        <v>1.86258584E8</v>
      </c>
      <c r="D2534" s="2" t="s">
        <v>3147</v>
      </c>
      <c r="E2534" s="1" t="s">
        <v>699</v>
      </c>
      <c r="F2534" s="14">
        <v>0.3612</v>
      </c>
      <c r="G2534" s="15"/>
      <c r="H2534" s="16"/>
      <c r="I2534" s="14"/>
    </row>
    <row r="2535">
      <c r="A2535" s="14">
        <v>713.0</v>
      </c>
      <c r="B2535" s="14">
        <v>4.8836232E7</v>
      </c>
      <c r="C2535" s="14">
        <v>1.93545021E8</v>
      </c>
      <c r="D2535" s="2" t="s">
        <v>3059</v>
      </c>
      <c r="E2535" s="1" t="s">
        <v>699</v>
      </c>
      <c r="F2535" s="14">
        <v>0.3612</v>
      </c>
      <c r="G2535" s="15"/>
      <c r="H2535" s="16"/>
      <c r="I2535" s="14"/>
    </row>
    <row r="2536">
      <c r="A2536" s="14">
        <v>401.0</v>
      </c>
      <c r="B2536" s="14">
        <v>5.0824355E7</v>
      </c>
      <c r="C2536" s="14">
        <v>2.01231871E8</v>
      </c>
      <c r="D2536" s="2" t="s">
        <v>2993</v>
      </c>
      <c r="E2536" s="1" t="s">
        <v>699</v>
      </c>
      <c r="F2536" s="14">
        <v>0.3612</v>
      </c>
      <c r="G2536" s="15"/>
      <c r="H2536" s="16"/>
      <c r="I2536" s="14"/>
    </row>
    <row r="2537">
      <c r="A2537" s="14">
        <v>488.0</v>
      </c>
      <c r="B2537" s="14">
        <v>5.1029756E7</v>
      </c>
      <c r="C2537" s="14">
        <v>2.02390215E8</v>
      </c>
      <c r="D2537" s="2" t="s">
        <v>2986</v>
      </c>
      <c r="E2537" s="1" t="s">
        <v>699</v>
      </c>
      <c r="F2537" s="14">
        <v>0.3612</v>
      </c>
      <c r="G2537" s="15"/>
      <c r="H2537" s="16"/>
      <c r="I2537" s="14"/>
    </row>
    <row r="2538">
      <c r="A2538" s="14">
        <v>602.0</v>
      </c>
      <c r="B2538" s="14">
        <v>5.1713429E7</v>
      </c>
      <c r="C2538" s="14">
        <v>2.46080233E8</v>
      </c>
      <c r="D2538" s="2" t="s">
        <v>2956</v>
      </c>
      <c r="E2538" s="1" t="s">
        <v>699</v>
      </c>
      <c r="F2538" s="14">
        <v>0.3612</v>
      </c>
      <c r="G2538" s="15"/>
      <c r="H2538" s="16"/>
      <c r="I2538" s="14"/>
    </row>
    <row r="2539">
      <c r="A2539" s="14">
        <v>587.0</v>
      </c>
      <c r="B2539" s="14">
        <v>5.2704482E7</v>
      </c>
      <c r="C2539" s="14">
        <v>2.09203188E8</v>
      </c>
      <c r="D2539" s="2" t="s">
        <v>2921</v>
      </c>
      <c r="E2539" s="1" t="s">
        <v>699</v>
      </c>
      <c r="F2539" s="14">
        <v>0.3612</v>
      </c>
      <c r="G2539" s="15"/>
      <c r="H2539" s="16"/>
      <c r="I2539" s="14"/>
    </row>
    <row r="2540">
      <c r="A2540" s="14">
        <v>571.0</v>
      </c>
      <c r="B2540" s="14">
        <v>5.4266333E7</v>
      </c>
      <c r="C2540" s="14">
        <v>2.15559665E8</v>
      </c>
      <c r="D2540" s="2" t="s">
        <v>2869</v>
      </c>
      <c r="E2540" s="1" t="s">
        <v>699</v>
      </c>
      <c r="F2540" s="14">
        <v>0.3612</v>
      </c>
      <c r="G2540" s="15"/>
      <c r="H2540" s="16"/>
      <c r="I2540" s="14"/>
    </row>
    <row r="2541">
      <c r="A2541" s="14">
        <v>654.0</v>
      </c>
      <c r="B2541" s="14">
        <v>6.0214237E7</v>
      </c>
      <c r="C2541" s="14">
        <v>2.41498765E8</v>
      </c>
      <c r="D2541" s="2" t="s">
        <v>2683</v>
      </c>
      <c r="E2541" s="1" t="s">
        <v>699</v>
      </c>
      <c r="F2541" s="14">
        <v>0.3612</v>
      </c>
      <c r="G2541" s="15"/>
      <c r="H2541" s="16"/>
      <c r="I2541" s="14"/>
    </row>
    <row r="2542">
      <c r="A2542" s="14">
        <v>320.0</v>
      </c>
      <c r="B2542" s="14">
        <v>6.1259443E7</v>
      </c>
      <c r="C2542" s="14">
        <v>2.46550013E8</v>
      </c>
      <c r="D2542" s="2" t="s">
        <v>2641</v>
      </c>
      <c r="E2542" s="1" t="s">
        <v>699</v>
      </c>
      <c r="F2542" s="14">
        <v>0.3612</v>
      </c>
      <c r="G2542" s="15"/>
      <c r="H2542" s="16"/>
      <c r="I2542" s="14"/>
    </row>
    <row r="2543">
      <c r="A2543" s="14">
        <v>173.0</v>
      </c>
      <c r="B2543" s="14">
        <v>6.5747274E7</v>
      </c>
      <c r="C2543" s="14">
        <v>2.68119809E8</v>
      </c>
      <c r="D2543" s="2" t="s">
        <v>2452</v>
      </c>
      <c r="E2543" s="1" t="s">
        <v>699</v>
      </c>
      <c r="F2543" s="14">
        <v>0.3612</v>
      </c>
      <c r="G2543" s="15"/>
      <c r="H2543" s="16"/>
      <c r="I2543" s="14"/>
    </row>
    <row r="2544">
      <c r="A2544" s="14">
        <v>700.0</v>
      </c>
      <c r="B2544" s="14">
        <v>6.9209938E7</v>
      </c>
      <c r="C2544" s="14">
        <v>2.84795487E8</v>
      </c>
      <c r="D2544" s="2" t="s">
        <v>2274</v>
      </c>
      <c r="E2544" s="1" t="s">
        <v>699</v>
      </c>
      <c r="F2544" s="14">
        <v>0.3612</v>
      </c>
      <c r="G2544" s="15"/>
      <c r="H2544" s="16"/>
      <c r="I2544" s="14"/>
    </row>
    <row r="2545">
      <c r="A2545" s="14">
        <v>504.0</v>
      </c>
      <c r="B2545" s="14">
        <v>7.3488329E7</v>
      </c>
      <c r="C2545" s="14">
        <v>3.04099357E8</v>
      </c>
      <c r="D2545" s="2" t="s">
        <v>2077</v>
      </c>
      <c r="E2545" s="1" t="s">
        <v>699</v>
      </c>
      <c r="F2545" s="14">
        <v>0.3612</v>
      </c>
      <c r="G2545" s="15"/>
      <c r="H2545" s="16"/>
      <c r="I2545" s="14"/>
    </row>
    <row r="2546">
      <c r="A2546" s="14">
        <v>504.0</v>
      </c>
      <c r="B2546" s="14">
        <v>7.6724634E7</v>
      </c>
      <c r="C2546" s="14">
        <v>3.1871189E8</v>
      </c>
      <c r="D2546" s="2" t="s">
        <v>1932</v>
      </c>
      <c r="E2546" s="1" t="s">
        <v>699</v>
      </c>
      <c r="F2546" s="14">
        <v>0.3612</v>
      </c>
      <c r="G2546" s="15"/>
      <c r="H2546" s="16"/>
      <c r="I2546" s="14"/>
    </row>
    <row r="2547">
      <c r="A2547" s="14">
        <v>671.0</v>
      </c>
      <c r="B2547" s="14">
        <v>7.6753335E7</v>
      </c>
      <c r="C2547" s="14">
        <v>3.18773904E8</v>
      </c>
      <c r="D2547" s="2" t="s">
        <v>1928</v>
      </c>
      <c r="E2547" s="1" t="s">
        <v>699</v>
      </c>
      <c r="F2547" s="14">
        <v>0.3612</v>
      </c>
      <c r="G2547" s="15"/>
      <c r="H2547" s="16"/>
      <c r="I2547" s="14"/>
    </row>
    <row r="2548">
      <c r="A2548" s="14">
        <v>645.0</v>
      </c>
      <c r="B2548" s="14">
        <v>7.7489896E7</v>
      </c>
      <c r="C2548" s="14">
        <v>3.22293521E8</v>
      </c>
      <c r="D2548" s="2" t="s">
        <v>1895</v>
      </c>
      <c r="E2548" s="1" t="s">
        <v>699</v>
      </c>
      <c r="F2548" s="14">
        <v>0.3612</v>
      </c>
      <c r="G2548" s="15"/>
      <c r="H2548" s="16"/>
      <c r="I2548" s="14"/>
    </row>
    <row r="2549">
      <c r="A2549" s="14">
        <v>673.0</v>
      </c>
      <c r="B2549" s="14">
        <v>8.0762186E7</v>
      </c>
      <c r="C2549" s="14">
        <v>3.38131553E8</v>
      </c>
      <c r="D2549" s="2" t="s">
        <v>1709</v>
      </c>
      <c r="E2549" s="1" t="s">
        <v>699</v>
      </c>
      <c r="F2549" s="14">
        <v>0.3612</v>
      </c>
      <c r="G2549" s="15"/>
      <c r="H2549" s="16"/>
      <c r="I2549" s="14"/>
    </row>
    <row r="2550">
      <c r="A2550" s="14">
        <v>504.0</v>
      </c>
      <c r="B2550" s="14">
        <v>8.1737002E7</v>
      </c>
      <c r="C2550" s="14">
        <v>3.42277943E8</v>
      </c>
      <c r="D2550" s="2" t="s">
        <v>1656</v>
      </c>
      <c r="E2550" s="1" t="s">
        <v>699</v>
      </c>
      <c r="F2550" s="14">
        <v>0.3612</v>
      </c>
      <c r="G2550" s="15"/>
      <c r="H2550" s="16"/>
      <c r="I2550" s="14"/>
    </row>
    <row r="2551">
      <c r="A2551" s="14">
        <v>597.0</v>
      </c>
      <c r="B2551" s="14">
        <v>8.4091961E7</v>
      </c>
      <c r="C2551" s="14">
        <v>3.53636406E8</v>
      </c>
      <c r="D2551" s="2" t="s">
        <v>1504</v>
      </c>
      <c r="E2551" s="1" t="s">
        <v>699</v>
      </c>
      <c r="F2551" s="14">
        <v>0.3612</v>
      </c>
      <c r="G2551" s="15"/>
      <c r="H2551" s="16"/>
      <c r="I2551" s="14"/>
    </row>
    <row r="2552">
      <c r="A2552" s="14">
        <v>504.0</v>
      </c>
      <c r="B2552" s="14">
        <v>8.5182448E7</v>
      </c>
      <c r="C2552" s="14">
        <v>3.58930261E8</v>
      </c>
      <c r="D2552" s="2" t="s">
        <v>1417</v>
      </c>
      <c r="E2552" s="1" t="s">
        <v>699</v>
      </c>
      <c r="F2552" s="14">
        <v>0.3612</v>
      </c>
      <c r="G2552" s="15"/>
      <c r="H2552" s="16"/>
      <c r="I2552" s="14"/>
    </row>
    <row r="2553">
      <c r="A2553" s="14">
        <v>700.0</v>
      </c>
      <c r="B2553" s="14">
        <v>8.542083E7</v>
      </c>
      <c r="C2553" s="14">
        <v>3.60049793E8</v>
      </c>
      <c r="D2553" s="2" t="s">
        <v>1398</v>
      </c>
      <c r="E2553" s="1" t="s">
        <v>699</v>
      </c>
      <c r="F2553" s="14">
        <v>0.3612</v>
      </c>
      <c r="G2553" s="15"/>
      <c r="H2553" s="16"/>
      <c r="I2553" s="14"/>
    </row>
    <row r="2554">
      <c r="A2554" s="14">
        <v>597.0</v>
      </c>
      <c r="B2554" s="14">
        <v>8.6976529E7</v>
      </c>
      <c r="C2554" s="14">
        <v>3.67620385E8</v>
      </c>
      <c r="D2554" s="2" t="s">
        <v>1301</v>
      </c>
      <c r="E2554" s="1" t="s">
        <v>699</v>
      </c>
      <c r="F2554" s="14">
        <v>0.3612</v>
      </c>
      <c r="G2554" s="15"/>
      <c r="H2554" s="16"/>
      <c r="I2554" s="14"/>
    </row>
    <row r="2555">
      <c r="A2555" s="14">
        <v>353.0</v>
      </c>
      <c r="B2555" s="14">
        <v>8.7245924E7</v>
      </c>
      <c r="C2555" s="14">
        <v>3.68751263E8</v>
      </c>
      <c r="D2555" s="2" t="s">
        <v>1283</v>
      </c>
      <c r="E2555" s="1" t="s">
        <v>699</v>
      </c>
      <c r="F2555" s="14">
        <v>0.3612</v>
      </c>
      <c r="G2555" s="15"/>
      <c r="H2555" s="16"/>
      <c r="I2555" s="14"/>
    </row>
    <row r="2556">
      <c r="A2556" s="14">
        <v>484.0</v>
      </c>
      <c r="B2556" s="14">
        <v>8.7482812E7</v>
      </c>
      <c r="C2556" s="14">
        <v>3.82258983E8</v>
      </c>
      <c r="D2556" s="2" t="s">
        <v>1270</v>
      </c>
      <c r="E2556" s="1" t="s">
        <v>699</v>
      </c>
      <c r="F2556" s="14">
        <v>0.3612</v>
      </c>
      <c r="G2556" s="15"/>
      <c r="H2556" s="16"/>
      <c r="I2556" s="14"/>
    </row>
    <row r="2557">
      <c r="A2557" s="14">
        <v>571.0</v>
      </c>
      <c r="B2557" s="14">
        <v>8.8976796E7</v>
      </c>
      <c r="C2557" s="14">
        <v>3.77065195E8</v>
      </c>
      <c r="D2557" s="2" t="s">
        <v>1188</v>
      </c>
      <c r="E2557" s="1" t="s">
        <v>699</v>
      </c>
      <c r="F2557" s="14">
        <v>0.3612</v>
      </c>
      <c r="G2557" s="15"/>
      <c r="H2557" s="16"/>
      <c r="I2557" s="14"/>
    </row>
    <row r="2558">
      <c r="A2558" s="14">
        <v>597.0</v>
      </c>
      <c r="B2558" s="14">
        <v>8.9770615E7</v>
      </c>
      <c r="C2558" s="14">
        <v>3.80353282E8</v>
      </c>
      <c r="D2558" s="2" t="s">
        <v>1152</v>
      </c>
      <c r="E2558" s="1" t="s">
        <v>699</v>
      </c>
      <c r="F2558" s="14">
        <v>0.3612</v>
      </c>
      <c r="G2558" s="15"/>
      <c r="H2558" s="16"/>
      <c r="I2558" s="14"/>
    </row>
    <row r="2559">
      <c r="A2559" s="14">
        <v>593.0</v>
      </c>
      <c r="B2559" s="14">
        <v>9.1714923E7</v>
      </c>
      <c r="C2559" s="14">
        <v>3.89493735E8</v>
      </c>
      <c r="D2559" s="2" t="s">
        <v>1047</v>
      </c>
      <c r="E2559" s="1" t="s">
        <v>699</v>
      </c>
      <c r="F2559" s="14">
        <v>0.3612</v>
      </c>
      <c r="G2559" s="15"/>
      <c r="H2559" s="16"/>
      <c r="I2559" s="14"/>
    </row>
    <row r="2560">
      <c r="A2560" s="14">
        <v>213.0</v>
      </c>
      <c r="B2560" s="14">
        <v>9.2786567E7</v>
      </c>
      <c r="C2560" s="14">
        <v>4.02985685E8</v>
      </c>
      <c r="D2560" s="2" t="s">
        <v>994</v>
      </c>
      <c r="E2560" s="1" t="s">
        <v>699</v>
      </c>
      <c r="F2560" s="14">
        <v>0.3612</v>
      </c>
      <c r="G2560" s="15"/>
      <c r="H2560" s="16"/>
      <c r="I2560" s="14"/>
    </row>
    <row r="2561">
      <c r="A2561" s="14">
        <v>571.0</v>
      </c>
      <c r="B2561" s="14">
        <v>9.2822137E7</v>
      </c>
      <c r="C2561" s="14">
        <v>4.50503595E8</v>
      </c>
      <c r="D2561" s="2" t="s">
        <v>991</v>
      </c>
      <c r="E2561" s="1" t="s">
        <v>699</v>
      </c>
      <c r="F2561" s="14">
        <v>0.3612</v>
      </c>
      <c r="G2561" s="15"/>
      <c r="H2561" s="16"/>
      <c r="I2561" s="14"/>
    </row>
    <row r="2562">
      <c r="A2562" s="14">
        <v>484.0</v>
      </c>
      <c r="B2562" s="14">
        <v>9.3893747E7</v>
      </c>
      <c r="C2562" s="14">
        <v>4.63497726E8</v>
      </c>
      <c r="D2562" s="2" t="s">
        <v>934</v>
      </c>
      <c r="E2562" s="1" t="s">
        <v>699</v>
      </c>
      <c r="F2562" s="14">
        <v>0.3612</v>
      </c>
      <c r="G2562" s="15"/>
      <c r="H2562" s="16"/>
      <c r="I2562" s="14"/>
    </row>
    <row r="2563">
      <c r="A2563" s="14">
        <v>504.0</v>
      </c>
      <c r="B2563" s="14">
        <v>9.4377707E7</v>
      </c>
      <c r="C2563" s="14">
        <v>4.01305391E8</v>
      </c>
      <c r="D2563" s="2" t="s">
        <v>915</v>
      </c>
      <c r="E2563" s="1" t="s">
        <v>699</v>
      </c>
      <c r="F2563" s="14">
        <v>0.3612</v>
      </c>
      <c r="G2563" s="15"/>
      <c r="H2563" s="16"/>
      <c r="I2563" s="14"/>
    </row>
    <row r="2564">
      <c r="A2564" s="14">
        <v>504.0</v>
      </c>
      <c r="B2564" s="14">
        <v>9.5253004E7</v>
      </c>
      <c r="C2564" s="14">
        <v>4.05242231E8</v>
      </c>
      <c r="D2564" s="2" t="s">
        <v>869</v>
      </c>
      <c r="E2564" s="1" t="s">
        <v>699</v>
      </c>
      <c r="F2564" s="14">
        <v>0.3612</v>
      </c>
      <c r="G2564" s="15"/>
      <c r="H2564" s="16"/>
      <c r="I2564" s="14"/>
    </row>
    <row r="2565">
      <c r="A2565" s="14">
        <v>673.0</v>
      </c>
      <c r="B2565" s="14">
        <v>9.7253514E7</v>
      </c>
      <c r="C2565" s="14">
        <v>4.15158793E8</v>
      </c>
      <c r="D2565" s="2" t="s">
        <v>757</v>
      </c>
      <c r="E2565" s="1" t="s">
        <v>699</v>
      </c>
      <c r="F2565" s="14">
        <v>0.3612</v>
      </c>
      <c r="G2565" s="15"/>
      <c r="H2565" s="16"/>
      <c r="I2565" s="14"/>
    </row>
    <row r="2566">
      <c r="A2566" s="14">
        <v>571.0</v>
      </c>
      <c r="B2566" s="14">
        <v>9.9569403E7</v>
      </c>
      <c r="C2566" s="14">
        <v>4.26677838E8</v>
      </c>
      <c r="D2566" s="2" t="s">
        <v>616</v>
      </c>
      <c r="E2566" s="1" t="s">
        <v>699</v>
      </c>
      <c r="F2566" s="14">
        <v>0.3612</v>
      </c>
      <c r="G2566" s="15"/>
      <c r="H2566" s="16"/>
      <c r="I2566" s="14"/>
    </row>
    <row r="2567">
      <c r="A2567" s="14">
        <v>565.0</v>
      </c>
      <c r="B2567" s="14">
        <v>9.9977428E7</v>
      </c>
      <c r="C2567" s="14">
        <v>4.29259687E8</v>
      </c>
      <c r="D2567" s="2" t="s">
        <v>591</v>
      </c>
      <c r="E2567" s="1" t="s">
        <v>699</v>
      </c>
      <c r="F2567" s="14">
        <v>0.3612</v>
      </c>
      <c r="G2567" s="15"/>
      <c r="H2567" s="16"/>
      <c r="I2567" s="14"/>
    </row>
    <row r="2568">
      <c r="A2568" s="14">
        <v>633.0</v>
      </c>
      <c r="B2568" s="14">
        <v>1.02515279E8</v>
      </c>
      <c r="C2568" s="14">
        <v>4.42470127E8</v>
      </c>
      <c r="D2568" s="2" t="s">
        <v>435</v>
      </c>
      <c r="E2568" s="1" t="s">
        <v>699</v>
      </c>
      <c r="F2568" s="14">
        <v>0.3612</v>
      </c>
      <c r="G2568" s="15"/>
      <c r="H2568" s="16"/>
      <c r="I2568" s="14"/>
    </row>
    <row r="2569">
      <c r="A2569" s="14">
        <v>565.0</v>
      </c>
      <c r="B2569" s="14">
        <v>1.05179736E8</v>
      </c>
      <c r="C2569" s="14">
        <v>4.53459959E8</v>
      </c>
      <c r="D2569" s="2" t="s">
        <v>341</v>
      </c>
      <c r="E2569" s="1" t="s">
        <v>699</v>
      </c>
      <c r="F2569" s="14">
        <v>0.3612</v>
      </c>
      <c r="G2569" s="15"/>
      <c r="H2569" s="16"/>
      <c r="I2569" s="14"/>
    </row>
    <row r="2570">
      <c r="A2570" s="14">
        <v>173.0</v>
      </c>
      <c r="B2570" s="14">
        <v>1.07377242E8</v>
      </c>
      <c r="C2570" s="14">
        <v>4.63255962E8</v>
      </c>
      <c r="D2570" s="2" t="s">
        <v>242</v>
      </c>
      <c r="E2570" s="1" t="s">
        <v>699</v>
      </c>
      <c r="F2570" s="14">
        <v>0.3612</v>
      </c>
      <c r="G2570" s="15"/>
      <c r="H2570" s="16"/>
      <c r="I2570" s="14"/>
    </row>
    <row r="2571">
      <c r="A2571" s="14">
        <v>353.0</v>
      </c>
      <c r="B2571" s="14">
        <v>1.07747725E8</v>
      </c>
      <c r="C2571" s="14">
        <v>4.65117107E8</v>
      </c>
      <c r="D2571" s="2" t="s">
        <v>224</v>
      </c>
      <c r="E2571" s="1" t="s">
        <v>699</v>
      </c>
      <c r="F2571" s="14">
        <v>0.3612</v>
      </c>
      <c r="G2571" s="15"/>
      <c r="H2571" s="16"/>
      <c r="I2571" s="14"/>
    </row>
    <row r="2572">
      <c r="A2572" s="14">
        <v>532.0</v>
      </c>
      <c r="B2572" s="14">
        <v>1.09931454E8</v>
      </c>
      <c r="C2572" s="14">
        <v>4.75934652E8</v>
      </c>
      <c r="D2572" s="2" t="s">
        <v>94</v>
      </c>
      <c r="E2572" s="1" t="s">
        <v>699</v>
      </c>
      <c r="F2572" s="14">
        <v>0.3612</v>
      </c>
      <c r="G2572" s="15"/>
      <c r="H2572" s="16"/>
      <c r="I2572" s="14"/>
    </row>
    <row r="2573">
      <c r="A2573" s="14">
        <v>173.0</v>
      </c>
      <c r="B2573" s="14">
        <v>856808.0</v>
      </c>
      <c r="C2573" s="14">
        <v>4045253.0</v>
      </c>
      <c r="D2573" s="2" t="s">
        <v>4805</v>
      </c>
      <c r="E2573" s="1" t="s">
        <v>121</v>
      </c>
      <c r="F2573" s="14">
        <v>0.3612</v>
      </c>
      <c r="G2573" s="15"/>
      <c r="H2573" s="16"/>
      <c r="I2573" s="14"/>
    </row>
    <row r="2574">
      <c r="A2574" s="14">
        <v>403.0</v>
      </c>
      <c r="B2574" s="14">
        <v>1104494.0</v>
      </c>
      <c r="C2574" s="14">
        <v>5044918.0</v>
      </c>
      <c r="D2574" s="2" t="s">
        <v>4807</v>
      </c>
      <c r="E2574" s="1" t="s">
        <v>121</v>
      </c>
      <c r="F2574" s="14">
        <v>0.3612</v>
      </c>
      <c r="G2574" s="15"/>
      <c r="H2574" s="16"/>
      <c r="I2574" s="14"/>
    </row>
    <row r="2575">
      <c r="A2575" s="14">
        <v>609.0</v>
      </c>
      <c r="B2575" s="14">
        <v>4975365.0</v>
      </c>
      <c r="C2575" s="14">
        <v>2.1182083E7</v>
      </c>
      <c r="D2575" s="2" t="s">
        <v>4797</v>
      </c>
      <c r="E2575" s="1" t="s">
        <v>121</v>
      </c>
      <c r="F2575" s="14">
        <v>0.3612</v>
      </c>
      <c r="G2575" s="15"/>
      <c r="H2575" s="16"/>
      <c r="I2575" s="14"/>
    </row>
    <row r="2576">
      <c r="A2576" s="14">
        <v>504.0</v>
      </c>
      <c r="B2576" s="14">
        <v>5789152.0</v>
      </c>
      <c r="C2576" s="14">
        <v>2.4765973E7</v>
      </c>
      <c r="D2576" s="2" t="s">
        <v>4716</v>
      </c>
      <c r="E2576" s="1" t="s">
        <v>121</v>
      </c>
      <c r="F2576" s="14">
        <v>0.3612</v>
      </c>
      <c r="G2576" s="15"/>
      <c r="H2576" s="16"/>
      <c r="I2576" s="14"/>
    </row>
    <row r="2577">
      <c r="A2577" s="14">
        <v>571.0</v>
      </c>
      <c r="B2577" s="14">
        <v>7479482.0</v>
      </c>
      <c r="C2577" s="14">
        <v>7.5613699E7</v>
      </c>
      <c r="D2577" s="2" t="s">
        <v>4577</v>
      </c>
      <c r="E2577" s="1" t="s">
        <v>121</v>
      </c>
      <c r="F2577" s="14">
        <v>0.3612</v>
      </c>
      <c r="G2577" s="15"/>
      <c r="H2577" s="16"/>
      <c r="I2577" s="14"/>
    </row>
    <row r="2578">
      <c r="A2578" s="14">
        <v>365.0</v>
      </c>
      <c r="B2578" s="14">
        <v>8053620.0</v>
      </c>
      <c r="C2578" s="14">
        <v>1.67532744E8</v>
      </c>
      <c r="D2578" s="2" t="s">
        <v>4538</v>
      </c>
      <c r="E2578" s="1" t="s">
        <v>121</v>
      </c>
      <c r="F2578" s="14">
        <v>0.3612</v>
      </c>
      <c r="G2578" s="15"/>
      <c r="H2578" s="16"/>
      <c r="I2578" s="14"/>
    </row>
    <row r="2579">
      <c r="A2579" s="14">
        <v>644.0</v>
      </c>
      <c r="B2579" s="14">
        <v>8257559.0</v>
      </c>
      <c r="C2579" s="14">
        <v>3.5019438E7</v>
      </c>
      <c r="D2579" s="2" t="s">
        <v>4523</v>
      </c>
      <c r="E2579" s="1" t="s">
        <v>121</v>
      </c>
      <c r="F2579" s="14">
        <v>0.3612</v>
      </c>
      <c r="G2579" s="15"/>
      <c r="H2579" s="16"/>
      <c r="I2579" s="14"/>
    </row>
    <row r="2580">
      <c r="A2580" s="14">
        <v>395.0</v>
      </c>
      <c r="B2580" s="14">
        <v>9161053.0</v>
      </c>
      <c r="C2580" s="14">
        <v>3.8888788E7</v>
      </c>
      <c r="D2580" s="2" t="s">
        <v>4459</v>
      </c>
      <c r="E2580" s="1" t="s">
        <v>121</v>
      </c>
      <c r="F2580" s="14">
        <v>0.3612</v>
      </c>
      <c r="G2580" s="15"/>
      <c r="H2580" s="16"/>
      <c r="I2580" s="14"/>
    </row>
    <row r="2581">
      <c r="A2581" s="14">
        <v>401.0</v>
      </c>
      <c r="B2581" s="14">
        <v>9898495.0</v>
      </c>
      <c r="C2581" s="14">
        <v>4.2109332E7</v>
      </c>
      <c r="D2581" s="2" t="s">
        <v>4404</v>
      </c>
      <c r="E2581" s="1" t="s">
        <v>121</v>
      </c>
      <c r="F2581" s="14">
        <v>0.3612</v>
      </c>
      <c r="G2581" s="15"/>
      <c r="H2581" s="16"/>
      <c r="I2581" s="14"/>
    </row>
    <row r="2582">
      <c r="A2582" s="14">
        <v>503.0</v>
      </c>
      <c r="B2582" s="14">
        <v>1.0576536E7</v>
      </c>
      <c r="C2582" s="14">
        <v>4.4930844E7</v>
      </c>
      <c r="D2582" s="2" t="s">
        <v>4356</v>
      </c>
      <c r="E2582" s="1" t="s">
        <v>121</v>
      </c>
      <c r="F2582" s="14">
        <v>0.3612</v>
      </c>
      <c r="G2582" s="15"/>
      <c r="H2582" s="16"/>
      <c r="I2582" s="14"/>
    </row>
    <row r="2583">
      <c r="A2583" s="14">
        <v>713.0</v>
      </c>
      <c r="B2583" s="14">
        <v>2.1003108E7</v>
      </c>
      <c r="C2583" s="14">
        <v>8.7094028E7</v>
      </c>
      <c r="D2583" s="2" t="s">
        <v>3833</v>
      </c>
      <c r="E2583" s="1" t="s">
        <v>121</v>
      </c>
      <c r="F2583" s="14">
        <v>0.3612</v>
      </c>
      <c r="G2583" s="15"/>
      <c r="H2583" s="16"/>
      <c r="I2583" s="14"/>
    </row>
    <row r="2584">
      <c r="A2584" s="14">
        <v>410.0</v>
      </c>
      <c r="B2584" s="14">
        <v>2.5920379E7</v>
      </c>
      <c r="C2584" s="14">
        <v>1.05089298E8</v>
      </c>
      <c r="D2584" s="2" t="s">
        <v>3707</v>
      </c>
      <c r="E2584" s="1" t="s">
        <v>121</v>
      </c>
      <c r="F2584" s="14">
        <v>0.3612</v>
      </c>
      <c r="G2584" s="15"/>
      <c r="H2584" s="16"/>
      <c r="I2584" s="14"/>
    </row>
    <row r="2585">
      <c r="A2585" s="14">
        <v>696.0</v>
      </c>
      <c r="B2585" s="14">
        <v>2.7131385E7</v>
      </c>
      <c r="C2585" s="14">
        <v>1.09667548E8</v>
      </c>
      <c r="D2585" s="2" t="s">
        <v>3674</v>
      </c>
      <c r="E2585" s="1" t="s">
        <v>121</v>
      </c>
      <c r="F2585" s="14">
        <v>0.3612</v>
      </c>
      <c r="G2585" s="15"/>
      <c r="H2585" s="16"/>
      <c r="I2585" s="14"/>
    </row>
    <row r="2586">
      <c r="A2586" s="14">
        <v>643.0</v>
      </c>
      <c r="B2586" s="14">
        <v>2.9368165E7</v>
      </c>
      <c r="C2586" s="14">
        <v>1.18022661E8</v>
      </c>
      <c r="D2586" s="2" t="s">
        <v>3607</v>
      </c>
      <c r="E2586" s="1" t="s">
        <v>121</v>
      </c>
      <c r="F2586" s="14">
        <v>0.3612</v>
      </c>
      <c r="G2586" s="15"/>
      <c r="H2586" s="16"/>
      <c r="I2586" s="14"/>
    </row>
    <row r="2587">
      <c r="A2587" s="14">
        <v>602.0</v>
      </c>
      <c r="B2587" s="14">
        <v>3.0704387E7</v>
      </c>
      <c r="C2587" s="14">
        <v>1.23169524E8</v>
      </c>
      <c r="D2587" s="2" t="s">
        <v>3568</v>
      </c>
      <c r="E2587" s="1" t="s">
        <v>121</v>
      </c>
      <c r="F2587" s="14">
        <v>0.3612</v>
      </c>
      <c r="G2587" s="15"/>
      <c r="H2587" s="16"/>
      <c r="I2587" s="14"/>
    </row>
    <row r="2588">
      <c r="A2588" s="14">
        <v>403.0</v>
      </c>
      <c r="B2588" s="14">
        <v>5.8134375E7</v>
      </c>
      <c r="C2588" s="14">
        <v>2.31889934E8</v>
      </c>
      <c r="D2588" s="2" t="s">
        <v>2750</v>
      </c>
      <c r="E2588" s="1" t="s">
        <v>121</v>
      </c>
      <c r="F2588" s="14">
        <v>0.3612</v>
      </c>
      <c r="G2588" s="15"/>
      <c r="H2588" s="16"/>
      <c r="I2588" s="14"/>
    </row>
    <row r="2589">
      <c r="A2589" s="14">
        <v>671.0</v>
      </c>
      <c r="B2589" s="14">
        <v>7.489533E7</v>
      </c>
      <c r="C2589" s="14">
        <v>3.4459314E8</v>
      </c>
      <c r="D2589" s="2" t="s">
        <v>2033</v>
      </c>
      <c r="E2589" s="1" t="s">
        <v>121</v>
      </c>
      <c r="F2589" s="14">
        <v>0.3612</v>
      </c>
      <c r="G2589" s="15"/>
      <c r="H2589" s="16"/>
      <c r="I2589" s="14"/>
    </row>
    <row r="2590">
      <c r="A2590" s="14">
        <v>602.0</v>
      </c>
      <c r="B2590" s="14">
        <v>8.0157311E7</v>
      </c>
      <c r="C2590" s="14">
        <v>3.34899111E8</v>
      </c>
      <c r="D2590" s="2" t="s">
        <v>1739</v>
      </c>
      <c r="E2590" s="1" t="s">
        <v>121</v>
      </c>
      <c r="F2590" s="14">
        <v>0.3612</v>
      </c>
      <c r="G2590" s="15"/>
      <c r="H2590" s="16"/>
      <c r="I2590" s="14"/>
    </row>
    <row r="2591">
      <c r="A2591" s="14">
        <v>403.0</v>
      </c>
      <c r="B2591" s="14">
        <v>9.9200659E7</v>
      </c>
      <c r="C2591" s="14">
        <v>4.24772317E8</v>
      </c>
      <c r="D2591" s="2" t="s">
        <v>636</v>
      </c>
      <c r="E2591" s="1" t="s">
        <v>121</v>
      </c>
      <c r="F2591" s="14">
        <v>0.3612</v>
      </c>
      <c r="G2591" s="15"/>
      <c r="H2591" s="16"/>
      <c r="I2591" s="14"/>
    </row>
    <row r="2592">
      <c r="A2592" s="14">
        <v>651.0</v>
      </c>
      <c r="B2592" s="14">
        <v>9.9452984E7</v>
      </c>
      <c r="C2592" s="14">
        <v>4.25766918E8</v>
      </c>
      <c r="D2592" s="2" t="s">
        <v>620</v>
      </c>
      <c r="E2592" s="1" t="s">
        <v>121</v>
      </c>
      <c r="F2592" s="14">
        <v>0.3612</v>
      </c>
      <c r="G2592" s="15"/>
      <c r="H2592" s="16"/>
      <c r="I2592" s="14"/>
    </row>
    <row r="2593">
      <c r="A2593" s="14">
        <v>488.0</v>
      </c>
      <c r="B2593" s="14">
        <v>9.7223181E7</v>
      </c>
      <c r="C2593" s="14">
        <v>4.15381167E8</v>
      </c>
      <c r="D2593" s="2" t="s">
        <v>759</v>
      </c>
      <c r="E2593" s="1" t="s">
        <v>121</v>
      </c>
      <c r="F2593" s="14">
        <v>0.3609</v>
      </c>
      <c r="G2593" s="15"/>
      <c r="H2593" s="16"/>
      <c r="I2593" s="14"/>
    </row>
    <row r="2594">
      <c r="A2594" s="14">
        <v>609.0</v>
      </c>
      <c r="B2594" s="14">
        <v>8844608.0</v>
      </c>
      <c r="C2594" s="14">
        <v>3.7556411E7</v>
      </c>
      <c r="D2594" s="2" t="s">
        <v>4484</v>
      </c>
      <c r="E2594" s="1" t="s">
        <v>121</v>
      </c>
      <c r="F2594" s="14">
        <v>0.3604</v>
      </c>
      <c r="G2594" s="15"/>
      <c r="H2594" s="16"/>
      <c r="I2594" s="14"/>
    </row>
    <row r="2595">
      <c r="A2595" s="14">
        <v>215.0</v>
      </c>
      <c r="B2595" s="14">
        <v>1.07355255E8</v>
      </c>
      <c r="C2595" s="14">
        <v>4.63392271E8</v>
      </c>
      <c r="D2595" s="2" t="s">
        <v>254</v>
      </c>
      <c r="E2595" s="1" t="s">
        <v>699</v>
      </c>
      <c r="F2595" s="14">
        <v>0.3595</v>
      </c>
      <c r="G2595" s="15"/>
      <c r="H2595" s="16"/>
      <c r="I2595" s="14"/>
    </row>
    <row r="2596">
      <c r="A2596" s="14">
        <v>401.0</v>
      </c>
      <c r="B2596" s="14">
        <v>4.0379851E7</v>
      </c>
      <c r="C2596" s="14">
        <v>1.60238229E8</v>
      </c>
      <c r="D2596" s="2" t="s">
        <v>3362</v>
      </c>
      <c r="E2596" s="1" t="s">
        <v>121</v>
      </c>
      <c r="F2596" s="14">
        <v>0.3581</v>
      </c>
      <c r="G2596" s="15"/>
      <c r="H2596" s="16"/>
      <c r="I2596" s="14"/>
    </row>
    <row r="2597">
      <c r="A2597" s="14">
        <v>601.0</v>
      </c>
      <c r="B2597" s="14">
        <v>9936835.0</v>
      </c>
      <c r="C2597" s="14">
        <v>4.2198244E7</v>
      </c>
      <c r="D2597" s="2" t="s">
        <v>4402</v>
      </c>
      <c r="E2597" s="1" t="s">
        <v>121</v>
      </c>
      <c r="F2597" s="14">
        <v>0.3578</v>
      </c>
      <c r="G2597" s="15"/>
      <c r="H2597" s="16"/>
      <c r="I2597" s="14"/>
    </row>
    <row r="2598">
      <c r="A2598" s="14">
        <v>120.0</v>
      </c>
      <c r="B2598" s="14">
        <v>335116.0</v>
      </c>
      <c r="C2598" s="14">
        <v>1439520.0</v>
      </c>
      <c r="D2598" s="2" t="s">
        <v>4818</v>
      </c>
      <c r="E2598" s="1" t="s">
        <v>107</v>
      </c>
      <c r="F2598" s="14">
        <v>0.3561</v>
      </c>
      <c r="G2598" s="15"/>
      <c r="H2598" s="16"/>
      <c r="I2598" s="14"/>
    </row>
    <row r="2599">
      <c r="A2599" s="14">
        <v>571.0</v>
      </c>
      <c r="B2599" s="14">
        <v>6.0441939E7</v>
      </c>
      <c r="C2599" s="14">
        <v>2.42728485E8</v>
      </c>
      <c r="D2599" s="2" t="s">
        <v>2670</v>
      </c>
      <c r="E2599" s="1" t="s">
        <v>121</v>
      </c>
      <c r="F2599" s="14">
        <v>0.354</v>
      </c>
      <c r="G2599" s="15"/>
      <c r="H2599" s="16"/>
      <c r="I2599" s="14"/>
    </row>
    <row r="2600">
      <c r="A2600" s="14">
        <v>610.0</v>
      </c>
      <c r="B2600" s="14">
        <v>6.0305693E7</v>
      </c>
      <c r="C2600" s="14">
        <v>2.41910337E8</v>
      </c>
      <c r="D2600" s="2" t="s">
        <v>2676</v>
      </c>
      <c r="E2600" s="1" t="s">
        <v>121</v>
      </c>
      <c r="F2600" s="14">
        <v>0.3515</v>
      </c>
      <c r="G2600" s="15"/>
      <c r="H2600" s="16"/>
      <c r="I2600" s="14"/>
    </row>
    <row r="2601">
      <c r="A2601" s="14">
        <v>602.0</v>
      </c>
      <c r="B2601" s="14">
        <v>2357798.0</v>
      </c>
      <c r="C2601" s="14">
        <v>4.48108785E8</v>
      </c>
      <c r="D2601" s="2" t="s">
        <v>4821</v>
      </c>
      <c r="E2601" s="1" t="s">
        <v>121</v>
      </c>
      <c r="F2601" s="14">
        <v>0.3506</v>
      </c>
      <c r="G2601" s="15"/>
      <c r="H2601" s="16"/>
      <c r="I2601" s="14"/>
    </row>
    <row r="2602">
      <c r="A2602" s="14">
        <v>671.0</v>
      </c>
      <c r="B2602" s="14">
        <v>6.3661836E7</v>
      </c>
      <c r="C2602" s="14">
        <v>2.58280452E8</v>
      </c>
      <c r="D2602" s="2" t="s">
        <v>2542</v>
      </c>
      <c r="E2602" s="1" t="s">
        <v>121</v>
      </c>
      <c r="F2602" s="14">
        <v>0.3506</v>
      </c>
      <c r="G2602" s="15"/>
      <c r="H2602" s="16"/>
      <c r="I2602" s="14"/>
    </row>
    <row r="2603">
      <c r="A2603" s="14">
        <v>210.0</v>
      </c>
      <c r="B2603" s="14">
        <v>1.0203253E8</v>
      </c>
      <c r="C2603" s="14">
        <v>4.39314318E8</v>
      </c>
      <c r="D2603" s="2" t="s">
        <v>457</v>
      </c>
      <c r="E2603" s="1" t="s">
        <v>121</v>
      </c>
      <c r="F2603" s="14">
        <v>0.3493</v>
      </c>
      <c r="G2603" s="15"/>
      <c r="H2603" s="16"/>
      <c r="I2603" s="14"/>
    </row>
    <row r="2604">
      <c r="A2604" s="14">
        <v>228.0</v>
      </c>
      <c r="B2604" s="14">
        <v>643142.0</v>
      </c>
      <c r="C2604" s="14">
        <v>3681304.0</v>
      </c>
      <c r="D2604" s="2" t="s">
        <v>4825</v>
      </c>
      <c r="E2604" s="1" t="s">
        <v>121</v>
      </c>
      <c r="F2604" s="14">
        <v>0.3488</v>
      </c>
      <c r="G2604" s="15"/>
      <c r="H2604" s="16"/>
      <c r="I2604" s="14"/>
    </row>
    <row r="2605">
      <c r="A2605" s="14">
        <v>120.0</v>
      </c>
      <c r="B2605" s="14">
        <v>4.4860413E7</v>
      </c>
      <c r="C2605" s="14">
        <v>1.77172799E8</v>
      </c>
      <c r="D2605" s="2" t="s">
        <v>3251</v>
      </c>
      <c r="E2605" s="1" t="s">
        <v>121</v>
      </c>
      <c r="F2605" s="14">
        <v>0.3451</v>
      </c>
      <c r="G2605" s="15"/>
      <c r="H2605" s="16"/>
      <c r="I2605" s="14"/>
    </row>
    <row r="2606">
      <c r="A2606" s="14">
        <v>405.0</v>
      </c>
      <c r="B2606" s="14">
        <v>1.4254218E7</v>
      </c>
      <c r="C2606" s="14">
        <v>6.0678429E7</v>
      </c>
      <c r="D2606" s="2" t="s">
        <v>4143</v>
      </c>
      <c r="E2606" s="1" t="s">
        <v>699</v>
      </c>
      <c r="F2606" s="14">
        <v>0.34</v>
      </c>
      <c r="G2606" s="15"/>
      <c r="H2606" s="16"/>
      <c r="I2606" s="14"/>
    </row>
    <row r="2607">
      <c r="A2607" s="14">
        <v>696.0</v>
      </c>
      <c r="B2607" s="14">
        <v>6.7263538E7</v>
      </c>
      <c r="C2607" s="14">
        <v>2.7545675E8</v>
      </c>
      <c r="D2607" s="2" t="s">
        <v>2370</v>
      </c>
      <c r="E2607" s="1" t="s">
        <v>699</v>
      </c>
      <c r="F2607" s="14">
        <v>0.34</v>
      </c>
      <c r="G2607" s="15"/>
      <c r="H2607" s="16"/>
      <c r="I2607" s="14"/>
    </row>
    <row r="2608">
      <c r="A2608" s="14">
        <v>571.0</v>
      </c>
      <c r="B2608" s="14">
        <v>8.0252106E7</v>
      </c>
      <c r="C2608" s="14">
        <v>3.35601238E8</v>
      </c>
      <c r="D2608" s="2" t="s">
        <v>1730</v>
      </c>
      <c r="E2608" s="1" t="s">
        <v>699</v>
      </c>
      <c r="F2608" s="14">
        <v>0.34</v>
      </c>
      <c r="G2608" s="15"/>
      <c r="H2608" s="16"/>
      <c r="I2608" s="14"/>
    </row>
    <row r="2609">
      <c r="A2609" s="14">
        <v>421.0</v>
      </c>
      <c r="B2609" s="14">
        <v>8.9961487E7</v>
      </c>
      <c r="C2609" s="14">
        <v>3.81590351E8</v>
      </c>
      <c r="D2609" s="2" t="s">
        <v>1142</v>
      </c>
      <c r="E2609" s="1" t="s">
        <v>699</v>
      </c>
      <c r="F2609" s="14">
        <v>0.34</v>
      </c>
      <c r="G2609" s="15"/>
      <c r="H2609" s="16"/>
      <c r="I2609" s="14"/>
    </row>
    <row r="2610">
      <c r="A2610" s="14">
        <v>157.0</v>
      </c>
      <c r="B2610" s="14">
        <v>79244.0</v>
      </c>
      <c r="C2610" s="14">
        <v>289669.0</v>
      </c>
      <c r="D2610" s="2" t="s">
        <v>4828</v>
      </c>
      <c r="E2610" s="1" t="s">
        <v>121</v>
      </c>
      <c r="F2610" s="14">
        <v>0.34</v>
      </c>
      <c r="G2610" s="15"/>
      <c r="H2610" s="16"/>
      <c r="I2610" s="14"/>
    </row>
    <row r="2611">
      <c r="A2611" s="14">
        <v>162.0</v>
      </c>
      <c r="B2611" s="14">
        <v>215400.0</v>
      </c>
      <c r="C2611" s="14">
        <v>887030.0</v>
      </c>
      <c r="D2611" s="2" t="s">
        <v>4829</v>
      </c>
      <c r="E2611" s="1" t="s">
        <v>121</v>
      </c>
      <c r="F2611" s="14">
        <v>0.34</v>
      </c>
      <c r="G2611" s="15"/>
      <c r="H2611" s="16"/>
      <c r="I2611" s="14"/>
    </row>
    <row r="2612">
      <c r="A2612" s="14">
        <v>671.0</v>
      </c>
      <c r="B2612" s="14">
        <v>2251752.0</v>
      </c>
      <c r="C2612" s="14">
        <v>9593476.0</v>
      </c>
      <c r="D2612" s="2" t="s">
        <v>4830</v>
      </c>
      <c r="E2612" s="1" t="s">
        <v>121</v>
      </c>
      <c r="F2612" s="14">
        <v>0.34</v>
      </c>
      <c r="G2612" s="15"/>
      <c r="H2612" s="16"/>
      <c r="I2612" s="14"/>
    </row>
    <row r="2613">
      <c r="A2613" s="14">
        <v>120.0</v>
      </c>
      <c r="B2613" s="14">
        <v>9027660.0</v>
      </c>
      <c r="C2613" s="14">
        <v>3.8284678E7</v>
      </c>
      <c r="D2613" s="2" t="s">
        <v>4471</v>
      </c>
      <c r="E2613" s="1" t="s">
        <v>121</v>
      </c>
      <c r="F2613" s="14">
        <v>0.34</v>
      </c>
      <c r="G2613" s="15"/>
      <c r="H2613" s="16"/>
      <c r="I2613" s="14"/>
    </row>
    <row r="2614">
      <c r="A2614" s="14">
        <v>716.0</v>
      </c>
      <c r="B2614" s="14">
        <v>3.8676399E7</v>
      </c>
      <c r="C2614" s="14">
        <v>1.54336304E8</v>
      </c>
      <c r="D2614" s="2" t="s">
        <v>3423</v>
      </c>
      <c r="E2614" s="1" t="s">
        <v>121</v>
      </c>
      <c r="F2614" s="14">
        <v>0.3391</v>
      </c>
      <c r="G2614" s="15"/>
      <c r="H2614" s="16"/>
      <c r="I2614" s="14"/>
    </row>
    <row r="2615">
      <c r="A2615" s="14">
        <v>392.0</v>
      </c>
      <c r="B2615" s="14">
        <v>6.4041278E7</v>
      </c>
      <c r="C2615" s="14">
        <v>2.59980921E8</v>
      </c>
      <c r="D2615" s="2" t="s">
        <v>2529</v>
      </c>
      <c r="E2615" s="1" t="s">
        <v>107</v>
      </c>
      <c r="F2615" s="14">
        <v>0.3384</v>
      </c>
      <c r="G2615" s="15"/>
      <c r="H2615" s="16"/>
      <c r="I2615" s="14"/>
    </row>
    <row r="2616">
      <c r="A2616" s="14">
        <v>604.0</v>
      </c>
      <c r="B2616" s="14">
        <v>7.3454079E7</v>
      </c>
      <c r="C2616" s="14">
        <v>3.03948475E8</v>
      </c>
      <c r="D2616" s="2" t="s">
        <v>2081</v>
      </c>
      <c r="E2616" s="1" t="s">
        <v>107</v>
      </c>
      <c r="F2616" s="14">
        <v>0.3382</v>
      </c>
      <c r="G2616" s="15"/>
      <c r="H2616" s="16"/>
      <c r="I2616" s="14"/>
    </row>
    <row r="2617">
      <c r="A2617" s="14">
        <v>593.0</v>
      </c>
      <c r="B2617" s="14">
        <v>7.6130229E7</v>
      </c>
      <c r="C2617" s="14">
        <v>3.15990636E8</v>
      </c>
      <c r="D2617" s="2" t="s">
        <v>1960</v>
      </c>
      <c r="E2617" s="1" t="s">
        <v>107</v>
      </c>
      <c r="F2617" s="14">
        <v>0.3382</v>
      </c>
      <c r="G2617" s="15"/>
      <c r="H2617" s="16"/>
      <c r="I2617" s="14"/>
    </row>
    <row r="2618">
      <c r="A2618" s="14">
        <v>504.0</v>
      </c>
      <c r="B2618" s="14">
        <v>1.06303746E8</v>
      </c>
      <c r="C2618" s="14">
        <v>4.58157767E8</v>
      </c>
      <c r="D2618" s="2" t="s">
        <v>297</v>
      </c>
      <c r="E2618" s="1" t="s">
        <v>121</v>
      </c>
      <c r="F2618" s="14">
        <v>0.3376</v>
      </c>
      <c r="G2618" s="15"/>
      <c r="H2618" s="16"/>
      <c r="I2618" s="14"/>
    </row>
    <row r="2619">
      <c r="A2619" s="14">
        <v>395.0</v>
      </c>
      <c r="B2619" s="14">
        <v>7399346.0</v>
      </c>
      <c r="C2619" s="14">
        <v>3.1497232E7</v>
      </c>
      <c r="D2619" s="2" t="s">
        <v>4583</v>
      </c>
      <c r="E2619" s="1" t="s">
        <v>121</v>
      </c>
      <c r="F2619" s="14">
        <v>0.3307</v>
      </c>
      <c r="G2619" s="15"/>
      <c r="H2619" s="16"/>
      <c r="I2619" s="14"/>
    </row>
    <row r="2620">
      <c r="A2620" s="14">
        <v>715.0</v>
      </c>
      <c r="B2620" s="14">
        <v>9939566.0</v>
      </c>
      <c r="C2620" s="14">
        <v>4.2195696E7</v>
      </c>
      <c r="D2620" s="2" t="s">
        <v>4401</v>
      </c>
      <c r="E2620" s="1" t="s">
        <v>121</v>
      </c>
      <c r="F2620" s="14">
        <v>0.3291</v>
      </c>
      <c r="G2620" s="15"/>
      <c r="H2620" s="16"/>
      <c r="I2620" s="14"/>
    </row>
    <row r="2621">
      <c r="A2621" s="14">
        <v>697.0</v>
      </c>
      <c r="B2621" s="14">
        <v>9.1282127E7</v>
      </c>
      <c r="C2621" s="14">
        <v>3.87331772E8</v>
      </c>
      <c r="D2621" s="2" t="s">
        <v>1064</v>
      </c>
      <c r="E2621" s="1" t="s">
        <v>121</v>
      </c>
      <c r="F2621" s="14">
        <v>0.3274</v>
      </c>
      <c r="G2621" s="15"/>
      <c r="H2621" s="16"/>
      <c r="I2621" s="14"/>
    </row>
    <row r="2622">
      <c r="A2622" s="14">
        <v>716.0</v>
      </c>
      <c r="B2622" s="14">
        <v>3081571.0</v>
      </c>
      <c r="C2622" s="14">
        <v>1.3084481E7</v>
      </c>
      <c r="D2622" s="2" t="s">
        <v>4839</v>
      </c>
      <c r="E2622" s="1" t="s">
        <v>121</v>
      </c>
      <c r="F2622" s="14">
        <v>0.327</v>
      </c>
      <c r="G2622" s="15"/>
      <c r="H2622" s="16"/>
      <c r="I2622" s="14"/>
    </row>
    <row r="2623">
      <c r="A2623" s="14">
        <v>224.0</v>
      </c>
      <c r="B2623" s="14">
        <v>7.4162592E7</v>
      </c>
      <c r="C2623" s="14">
        <v>3.06885383E8</v>
      </c>
      <c r="D2623" s="2" t="s">
        <v>2056</v>
      </c>
      <c r="E2623" s="1" t="s">
        <v>121</v>
      </c>
      <c r="F2623" s="14">
        <v>0.3246</v>
      </c>
      <c r="G2623" s="15"/>
      <c r="H2623" s="16"/>
      <c r="I2623" s="14"/>
    </row>
    <row r="2624">
      <c r="A2624" s="14">
        <v>353.0</v>
      </c>
      <c r="B2624" s="14">
        <v>8.5643045E7</v>
      </c>
      <c r="C2624" s="14">
        <v>3.61087043E8</v>
      </c>
      <c r="D2624" s="2" t="s">
        <v>1387</v>
      </c>
      <c r="E2624" s="1" t="s">
        <v>107</v>
      </c>
      <c r="F2624" s="14">
        <v>0.3182</v>
      </c>
      <c r="G2624" s="15"/>
      <c r="H2624" s="16"/>
      <c r="I2624" s="14"/>
    </row>
    <row r="2625">
      <c r="A2625" s="14">
        <v>353.0</v>
      </c>
      <c r="B2625" s="14">
        <v>1.03779735E8</v>
      </c>
      <c r="C2625" s="14">
        <v>4.46486851E8</v>
      </c>
      <c r="D2625" s="2" t="s">
        <v>351</v>
      </c>
      <c r="E2625" s="1" t="s">
        <v>107</v>
      </c>
      <c r="F2625" s="14">
        <v>0.3182</v>
      </c>
      <c r="G2625" s="15"/>
      <c r="H2625" s="16"/>
      <c r="I2625" s="14"/>
    </row>
    <row r="2626">
      <c r="A2626" s="14">
        <v>353.0</v>
      </c>
      <c r="B2626" s="14">
        <v>1.04784353E8</v>
      </c>
      <c r="C2626" s="14">
        <v>4.51092746E8</v>
      </c>
      <c r="D2626" s="2" t="s">
        <v>351</v>
      </c>
      <c r="E2626" s="1" t="s">
        <v>107</v>
      </c>
      <c r="F2626" s="14">
        <v>0.3182</v>
      </c>
      <c r="G2626" s="15"/>
      <c r="H2626" s="16"/>
      <c r="I2626" s="14"/>
    </row>
    <row r="2627">
      <c r="A2627" s="14">
        <v>257.0</v>
      </c>
      <c r="B2627" s="14">
        <v>202032.0</v>
      </c>
      <c r="C2627" s="14">
        <v>822951.0</v>
      </c>
      <c r="D2627" s="2" t="s">
        <v>4842</v>
      </c>
      <c r="E2627" s="1" t="s">
        <v>699</v>
      </c>
      <c r="F2627" s="14">
        <v>0.3182</v>
      </c>
      <c r="G2627" s="15"/>
      <c r="H2627" s="16"/>
      <c r="I2627" s="14"/>
    </row>
    <row r="2628">
      <c r="A2628" s="14">
        <v>12.0</v>
      </c>
      <c r="B2628" s="14">
        <v>361721.0</v>
      </c>
      <c r="C2628" s="14">
        <v>1572762.0</v>
      </c>
      <c r="D2628" s="2" t="s">
        <v>4843</v>
      </c>
      <c r="E2628" s="1" t="s">
        <v>699</v>
      </c>
      <c r="F2628" s="14">
        <v>0.3182</v>
      </c>
      <c r="G2628" s="15"/>
      <c r="H2628" s="16"/>
      <c r="I2628" s="14"/>
    </row>
    <row r="2629">
      <c r="A2629" s="14">
        <v>120.0</v>
      </c>
      <c r="B2629" s="14">
        <v>1276175.0</v>
      </c>
      <c r="C2629" s="14">
        <v>5696970.0</v>
      </c>
      <c r="D2629" s="2" t="s">
        <v>4845</v>
      </c>
      <c r="E2629" s="1" t="s">
        <v>699</v>
      </c>
      <c r="F2629" s="14">
        <v>0.3182</v>
      </c>
      <c r="G2629" s="15"/>
      <c r="H2629" s="16"/>
      <c r="I2629" s="14"/>
    </row>
    <row r="2630">
      <c r="A2630" s="14">
        <v>120.0</v>
      </c>
      <c r="B2630" s="14">
        <v>1346782.0</v>
      </c>
      <c r="C2630" s="14">
        <v>5999346.0</v>
      </c>
      <c r="D2630" s="2" t="s">
        <v>4847</v>
      </c>
      <c r="E2630" s="1" t="s">
        <v>699</v>
      </c>
      <c r="F2630" s="14">
        <v>0.3182</v>
      </c>
      <c r="G2630" s="15"/>
      <c r="H2630" s="16"/>
      <c r="I2630" s="14"/>
    </row>
    <row r="2631">
      <c r="A2631" s="14">
        <v>570.0</v>
      </c>
      <c r="B2631" s="14">
        <v>1668216.0</v>
      </c>
      <c r="C2631" s="14">
        <v>4.16190553E8</v>
      </c>
      <c r="D2631" s="2" t="s">
        <v>4848</v>
      </c>
      <c r="E2631" s="1" t="s">
        <v>699</v>
      </c>
      <c r="F2631" s="14">
        <v>0.3182</v>
      </c>
      <c r="G2631" s="15"/>
      <c r="H2631" s="16"/>
      <c r="I2631" s="14"/>
    </row>
    <row r="2632">
      <c r="A2632" s="14">
        <v>120.0</v>
      </c>
      <c r="B2632" s="14">
        <v>2724592.0</v>
      </c>
      <c r="C2632" s="14">
        <v>3.54170664E8</v>
      </c>
      <c r="D2632" s="2" t="s">
        <v>4851</v>
      </c>
      <c r="E2632" s="1" t="s">
        <v>699</v>
      </c>
      <c r="F2632" s="14">
        <v>0.3182</v>
      </c>
      <c r="G2632" s="15"/>
      <c r="H2632" s="16"/>
      <c r="I2632" s="14"/>
    </row>
    <row r="2633">
      <c r="A2633" s="14">
        <v>403.0</v>
      </c>
      <c r="B2633" s="14">
        <v>3971474.0</v>
      </c>
      <c r="C2633" s="14">
        <v>2.72977718E8</v>
      </c>
      <c r="D2633" s="2" t="s">
        <v>4852</v>
      </c>
      <c r="E2633" s="1" t="s">
        <v>699</v>
      </c>
      <c r="F2633" s="14">
        <v>0.3182</v>
      </c>
      <c r="G2633" s="15"/>
      <c r="H2633" s="16"/>
      <c r="I2633" s="14"/>
    </row>
    <row r="2634">
      <c r="A2634" s="14">
        <v>172.0</v>
      </c>
      <c r="B2634" s="14">
        <v>4701635.0</v>
      </c>
      <c r="C2634" s="14">
        <v>1.9937626E7</v>
      </c>
      <c r="D2634" s="2" t="s">
        <v>4810</v>
      </c>
      <c r="E2634" s="1" t="s">
        <v>699</v>
      </c>
      <c r="F2634" s="14">
        <v>0.3182</v>
      </c>
      <c r="G2634" s="15"/>
      <c r="H2634" s="16"/>
      <c r="I2634" s="14"/>
    </row>
    <row r="2635">
      <c r="A2635" s="14">
        <v>120.0</v>
      </c>
      <c r="B2635" s="14">
        <v>5155760.0</v>
      </c>
      <c r="C2635" s="14">
        <v>2.1973605E7</v>
      </c>
      <c r="D2635" s="2" t="s">
        <v>4785</v>
      </c>
      <c r="E2635" s="1" t="s">
        <v>699</v>
      </c>
      <c r="F2635" s="14">
        <v>0.3182</v>
      </c>
      <c r="G2635" s="15"/>
      <c r="H2635" s="16"/>
      <c r="I2635" s="14"/>
    </row>
    <row r="2636">
      <c r="A2636" s="14">
        <v>713.0</v>
      </c>
      <c r="B2636" s="14">
        <v>5627229.0</v>
      </c>
      <c r="C2636" s="14">
        <v>2.4118413E7</v>
      </c>
      <c r="D2636" s="2" t="s">
        <v>4730</v>
      </c>
      <c r="E2636" s="1" t="s">
        <v>699</v>
      </c>
      <c r="F2636" s="14">
        <v>0.3182</v>
      </c>
      <c r="G2636" s="15"/>
      <c r="H2636" s="16"/>
      <c r="I2636" s="14"/>
    </row>
    <row r="2637">
      <c r="A2637" s="14">
        <v>194.0</v>
      </c>
      <c r="B2637" s="14">
        <v>6653737.0</v>
      </c>
      <c r="C2637" s="14">
        <v>1.42309505E8</v>
      </c>
      <c r="D2637" s="2" t="s">
        <v>4650</v>
      </c>
      <c r="E2637" s="1" t="s">
        <v>699</v>
      </c>
      <c r="F2637" s="14">
        <v>0.3182</v>
      </c>
      <c r="G2637" s="15"/>
      <c r="H2637" s="16"/>
      <c r="I2637" s="14"/>
    </row>
    <row r="2638">
      <c r="A2638" s="14">
        <v>157.0</v>
      </c>
      <c r="B2638" s="14">
        <v>6807989.0</v>
      </c>
      <c r="C2638" s="14">
        <v>2.8983112E7</v>
      </c>
      <c r="D2638" s="2" t="s">
        <v>4633</v>
      </c>
      <c r="E2638" s="1" t="s">
        <v>699</v>
      </c>
      <c r="F2638" s="14">
        <v>0.3182</v>
      </c>
      <c r="G2638" s="15"/>
      <c r="H2638" s="16"/>
      <c r="I2638" s="14"/>
    </row>
    <row r="2639">
      <c r="A2639" s="14">
        <v>667.0</v>
      </c>
      <c r="B2639" s="14">
        <v>7019146.0</v>
      </c>
      <c r="C2639" s="14">
        <v>2.9799529E7</v>
      </c>
      <c r="D2639" s="2" t="s">
        <v>4610</v>
      </c>
      <c r="E2639" s="1" t="s">
        <v>699</v>
      </c>
      <c r="F2639" s="14">
        <v>0.3182</v>
      </c>
      <c r="G2639" s="15"/>
      <c r="H2639" s="16"/>
      <c r="I2639" s="14"/>
    </row>
    <row r="2640">
      <c r="A2640" s="14">
        <v>504.0</v>
      </c>
      <c r="B2640" s="14">
        <v>7730601.0</v>
      </c>
      <c r="C2640" s="14">
        <v>3.02403632E8</v>
      </c>
      <c r="D2640" s="2" t="s">
        <v>4561</v>
      </c>
      <c r="E2640" s="1" t="s">
        <v>699</v>
      </c>
      <c r="F2640" s="14">
        <v>0.3182</v>
      </c>
      <c r="G2640" s="15"/>
      <c r="H2640" s="16"/>
      <c r="I2640" s="14"/>
    </row>
    <row r="2641">
      <c r="A2641" s="14">
        <v>677.0</v>
      </c>
      <c r="B2641" s="14">
        <v>1.0650367E7</v>
      </c>
      <c r="C2641" s="14">
        <v>4.5270406E7</v>
      </c>
      <c r="D2641" s="2" t="s">
        <v>4344</v>
      </c>
      <c r="E2641" s="1" t="s">
        <v>699</v>
      </c>
      <c r="F2641" s="14">
        <v>0.3182</v>
      </c>
      <c r="G2641" s="15"/>
      <c r="H2641" s="16"/>
      <c r="I2641" s="14"/>
    </row>
    <row r="2642">
      <c r="A2642" s="14">
        <v>142.0</v>
      </c>
      <c r="B2642" s="14">
        <v>1.4887684E7</v>
      </c>
      <c r="C2642" s="14">
        <v>6.3560121E7</v>
      </c>
      <c r="D2642" s="2" t="s">
        <v>4112</v>
      </c>
      <c r="E2642" s="1" t="s">
        <v>699</v>
      </c>
      <c r="F2642" s="14">
        <v>0.3182</v>
      </c>
      <c r="G2642" s="15"/>
      <c r="H2642" s="16"/>
      <c r="I2642" s="14"/>
    </row>
    <row r="2643">
      <c r="A2643" s="14">
        <v>380.0</v>
      </c>
      <c r="B2643" s="14">
        <v>2.2270756E7</v>
      </c>
      <c r="C2643" s="14">
        <v>9.1845005E7</v>
      </c>
      <c r="D2643" s="2" t="s">
        <v>3798</v>
      </c>
      <c r="E2643" s="1" t="s">
        <v>699</v>
      </c>
      <c r="F2643" s="14">
        <v>0.3182</v>
      </c>
      <c r="G2643" s="15"/>
      <c r="H2643" s="16"/>
      <c r="I2643" s="14"/>
    </row>
    <row r="2644">
      <c r="A2644" s="14">
        <v>353.0</v>
      </c>
      <c r="B2644" s="14">
        <v>3.2161373E7</v>
      </c>
      <c r="C2644" s="14">
        <v>1.29045288E8</v>
      </c>
      <c r="D2644" s="2" t="s">
        <v>3536</v>
      </c>
      <c r="E2644" s="1" t="s">
        <v>699</v>
      </c>
      <c r="F2644" s="14">
        <v>0.3182</v>
      </c>
      <c r="G2644" s="15"/>
      <c r="H2644" s="16"/>
      <c r="I2644" s="14"/>
    </row>
    <row r="2645">
      <c r="A2645" s="14">
        <v>215.0</v>
      </c>
      <c r="B2645" s="14">
        <v>3.9804063E7</v>
      </c>
      <c r="C2645" s="14">
        <v>1.58148204E8</v>
      </c>
      <c r="D2645" s="2" t="s">
        <v>3384</v>
      </c>
      <c r="E2645" s="1" t="s">
        <v>699</v>
      </c>
      <c r="F2645" s="14">
        <v>0.3182</v>
      </c>
      <c r="G2645" s="15"/>
      <c r="H2645" s="16"/>
      <c r="I2645" s="14"/>
    </row>
    <row r="2646">
      <c r="A2646" s="14">
        <v>414.0</v>
      </c>
      <c r="B2646" s="14">
        <v>5.0008488E7</v>
      </c>
      <c r="C2646" s="14">
        <v>1.97835139E8</v>
      </c>
      <c r="D2646" s="2" t="s">
        <v>3022</v>
      </c>
      <c r="E2646" s="1" t="s">
        <v>699</v>
      </c>
      <c r="F2646" s="14">
        <v>0.3182</v>
      </c>
      <c r="G2646" s="15"/>
      <c r="H2646" s="16"/>
      <c r="I2646" s="14"/>
    </row>
    <row r="2647">
      <c r="A2647" s="14">
        <v>671.0</v>
      </c>
      <c r="B2647" s="14">
        <v>5.0577754E7</v>
      </c>
      <c r="C2647" s="14">
        <v>2.00144821E8</v>
      </c>
      <c r="D2647" s="2" t="s">
        <v>3000</v>
      </c>
      <c r="E2647" s="1" t="s">
        <v>699</v>
      </c>
      <c r="F2647" s="14">
        <v>0.3182</v>
      </c>
      <c r="G2647" s="15"/>
      <c r="H2647" s="16"/>
      <c r="I2647" s="14"/>
    </row>
    <row r="2648">
      <c r="A2648" s="14">
        <v>570.0</v>
      </c>
      <c r="B2648" s="14">
        <v>5.2168003E7</v>
      </c>
      <c r="C2648" s="14">
        <v>2.06964398E8</v>
      </c>
      <c r="D2648" s="2" t="s">
        <v>2938</v>
      </c>
      <c r="E2648" s="1" t="s">
        <v>699</v>
      </c>
      <c r="F2648" s="14">
        <v>0.3182</v>
      </c>
      <c r="G2648" s="15"/>
      <c r="H2648" s="16"/>
      <c r="I2648" s="14"/>
    </row>
    <row r="2649">
      <c r="A2649" s="14">
        <v>410.0</v>
      </c>
      <c r="B2649" s="14">
        <v>5.3952775E7</v>
      </c>
      <c r="C2649" s="14">
        <v>2.13977635E8</v>
      </c>
      <c r="D2649" s="2" t="s">
        <v>2881</v>
      </c>
      <c r="E2649" s="1" t="s">
        <v>699</v>
      </c>
      <c r="F2649" s="14">
        <v>0.3182</v>
      </c>
      <c r="G2649" s="15"/>
      <c r="H2649" s="16"/>
      <c r="I2649" s="14"/>
    </row>
    <row r="2650">
      <c r="A2650" s="14">
        <v>571.0</v>
      </c>
      <c r="B2650" s="14">
        <v>5.5630901E7</v>
      </c>
      <c r="C2650" s="14">
        <v>4.91552075E8</v>
      </c>
      <c r="D2650" s="2" t="s">
        <v>2823</v>
      </c>
      <c r="E2650" s="1" t="s">
        <v>699</v>
      </c>
      <c r="F2650" s="14">
        <v>0.3182</v>
      </c>
      <c r="G2650" s="15"/>
      <c r="H2650" s="16"/>
      <c r="I2650" s="14"/>
    </row>
    <row r="2651">
      <c r="A2651" s="14">
        <v>320.0</v>
      </c>
      <c r="B2651" s="14">
        <v>6.1978765E7</v>
      </c>
      <c r="C2651" s="14">
        <v>2.50355405E8</v>
      </c>
      <c r="D2651" s="2" t="s">
        <v>2612</v>
      </c>
      <c r="E2651" s="1" t="s">
        <v>699</v>
      </c>
      <c r="F2651" s="14">
        <v>0.3182</v>
      </c>
      <c r="G2651" s="15"/>
      <c r="H2651" s="16"/>
      <c r="I2651" s="14"/>
    </row>
    <row r="2652">
      <c r="A2652" s="14">
        <v>602.0</v>
      </c>
      <c r="B2652" s="14">
        <v>6.3988199E7</v>
      </c>
      <c r="C2652" s="14">
        <v>2.5971688E8</v>
      </c>
      <c r="D2652" s="2" t="s">
        <v>2530</v>
      </c>
      <c r="E2652" s="1" t="s">
        <v>699</v>
      </c>
      <c r="F2652" s="14">
        <v>0.3182</v>
      </c>
      <c r="G2652" s="15"/>
      <c r="H2652" s="16"/>
      <c r="I2652" s="14"/>
    </row>
    <row r="2653">
      <c r="A2653" s="14">
        <v>593.0</v>
      </c>
      <c r="B2653" s="14">
        <v>6.773402E7</v>
      </c>
      <c r="C2653" s="14">
        <v>2.77864867E8</v>
      </c>
      <c r="D2653" s="2" t="s">
        <v>2353</v>
      </c>
      <c r="E2653" s="1" t="s">
        <v>699</v>
      </c>
      <c r="F2653" s="14">
        <v>0.3182</v>
      </c>
      <c r="G2653" s="15"/>
      <c r="H2653" s="16"/>
      <c r="I2653" s="14"/>
    </row>
    <row r="2654">
      <c r="A2654" s="14">
        <v>602.0</v>
      </c>
      <c r="B2654" s="14">
        <v>6.988013E7</v>
      </c>
      <c r="C2654" s="14">
        <v>2.8798605E8</v>
      </c>
      <c r="D2654" s="2" t="s">
        <v>2233</v>
      </c>
      <c r="E2654" s="1" t="s">
        <v>699</v>
      </c>
      <c r="F2654" s="14">
        <v>0.3182</v>
      </c>
      <c r="G2654" s="15"/>
      <c r="H2654" s="16"/>
      <c r="I2654" s="14"/>
    </row>
    <row r="2655">
      <c r="A2655" s="14">
        <v>173.0</v>
      </c>
      <c r="B2655" s="14">
        <v>7.0836404E7</v>
      </c>
      <c r="C2655" s="14">
        <v>2.92166036E8</v>
      </c>
      <c r="D2655" s="2" t="s">
        <v>2177</v>
      </c>
      <c r="E2655" s="1" t="s">
        <v>699</v>
      </c>
      <c r="F2655" s="14">
        <v>0.3182</v>
      </c>
      <c r="G2655" s="15"/>
      <c r="H2655" s="16"/>
      <c r="I2655" s="14"/>
    </row>
    <row r="2656">
      <c r="A2656" s="14">
        <v>610.0</v>
      </c>
      <c r="B2656" s="14">
        <v>7.1261331E7</v>
      </c>
      <c r="C2656" s="14">
        <v>3.44168013E8</v>
      </c>
      <c r="D2656" s="2" t="s">
        <v>2165</v>
      </c>
      <c r="E2656" s="1" t="s">
        <v>699</v>
      </c>
      <c r="F2656" s="14">
        <v>0.3182</v>
      </c>
      <c r="G2656" s="15"/>
      <c r="H2656" s="16"/>
      <c r="I2656" s="14"/>
    </row>
    <row r="2657">
      <c r="A2657" s="14">
        <v>671.0</v>
      </c>
      <c r="B2657" s="14">
        <v>7.1270364E7</v>
      </c>
      <c r="C2657" s="14">
        <v>2.94107343E8</v>
      </c>
      <c r="D2657" s="2" t="s">
        <v>2164</v>
      </c>
      <c r="E2657" s="1" t="s">
        <v>699</v>
      </c>
      <c r="F2657" s="14">
        <v>0.3182</v>
      </c>
      <c r="G2657" s="15"/>
      <c r="H2657" s="16"/>
      <c r="I2657" s="14"/>
    </row>
    <row r="2658">
      <c r="A2658" s="14">
        <v>673.0</v>
      </c>
      <c r="B2658" s="14">
        <v>7.3763186E7</v>
      </c>
      <c r="C2658" s="14">
        <v>3.05455832E8</v>
      </c>
      <c r="D2658" s="2" t="s">
        <v>2069</v>
      </c>
      <c r="E2658" s="1" t="s">
        <v>699</v>
      </c>
      <c r="F2658" s="14">
        <v>0.3182</v>
      </c>
      <c r="G2658" s="15"/>
      <c r="H2658" s="16"/>
      <c r="I2658" s="14"/>
    </row>
    <row r="2659">
      <c r="A2659" s="14">
        <v>484.0</v>
      </c>
      <c r="B2659" s="14">
        <v>7.3919348E7</v>
      </c>
      <c r="C2659" s="14">
        <v>3.14133809E8</v>
      </c>
      <c r="D2659" s="2" t="s">
        <v>2065</v>
      </c>
      <c r="E2659" s="1" t="s">
        <v>699</v>
      </c>
      <c r="F2659" s="14">
        <v>0.3182</v>
      </c>
      <c r="G2659" s="15"/>
      <c r="H2659" s="16"/>
      <c r="I2659" s="14"/>
    </row>
    <row r="2660">
      <c r="A2660" s="14">
        <v>630.0</v>
      </c>
      <c r="B2660" s="14">
        <v>7.417903E7</v>
      </c>
      <c r="C2660" s="14">
        <v>3.0713466E8</v>
      </c>
      <c r="D2660" s="2" t="s">
        <v>2055</v>
      </c>
      <c r="E2660" s="1" t="s">
        <v>699</v>
      </c>
      <c r="F2660" s="14">
        <v>0.3182</v>
      </c>
      <c r="G2660" s="15"/>
      <c r="H2660" s="16"/>
      <c r="I2660" s="14"/>
    </row>
    <row r="2661">
      <c r="A2661" s="14">
        <v>392.0</v>
      </c>
      <c r="B2661" s="14">
        <v>7.4426936E7</v>
      </c>
      <c r="C2661" s="14">
        <v>3.08507438E8</v>
      </c>
      <c r="D2661" s="2" t="s">
        <v>2050</v>
      </c>
      <c r="E2661" s="1" t="s">
        <v>699</v>
      </c>
      <c r="F2661" s="14">
        <v>0.3182</v>
      </c>
      <c r="G2661" s="15"/>
      <c r="H2661" s="16"/>
      <c r="I2661" s="14"/>
    </row>
    <row r="2662">
      <c r="A2662" s="14">
        <v>380.0</v>
      </c>
      <c r="B2662" s="14">
        <v>7.7371809E7</v>
      </c>
      <c r="C2662" s="14">
        <v>3.21715081E8</v>
      </c>
      <c r="D2662" s="2" t="s">
        <v>1903</v>
      </c>
      <c r="E2662" s="1" t="s">
        <v>699</v>
      </c>
      <c r="F2662" s="14">
        <v>0.3182</v>
      </c>
      <c r="G2662" s="15"/>
      <c r="H2662" s="16"/>
      <c r="I2662" s="14"/>
    </row>
    <row r="2663">
      <c r="A2663" s="14">
        <v>337.0</v>
      </c>
      <c r="B2663" s="14">
        <v>7.9689153E7</v>
      </c>
      <c r="C2663" s="14">
        <v>3.33294194E8</v>
      </c>
      <c r="D2663" s="2" t="s">
        <v>1758</v>
      </c>
      <c r="E2663" s="1" t="s">
        <v>699</v>
      </c>
      <c r="F2663" s="14">
        <v>0.3182</v>
      </c>
      <c r="G2663" s="15"/>
      <c r="H2663" s="16"/>
      <c r="I2663" s="14"/>
    </row>
    <row r="2664">
      <c r="A2664" s="14">
        <v>353.0</v>
      </c>
      <c r="B2664" s="14">
        <v>8.2507938E7</v>
      </c>
      <c r="C2664" s="14">
        <v>3.45905252E8</v>
      </c>
      <c r="D2664" s="2" t="s">
        <v>1598</v>
      </c>
      <c r="E2664" s="1" t="s">
        <v>699</v>
      </c>
      <c r="F2664" s="14">
        <v>0.3182</v>
      </c>
      <c r="G2664" s="15"/>
      <c r="H2664" s="16"/>
      <c r="I2664" s="14"/>
    </row>
    <row r="2665">
      <c r="A2665" s="14">
        <v>671.0</v>
      </c>
      <c r="B2665" s="14">
        <v>8.4779639E7</v>
      </c>
      <c r="C2665" s="14">
        <v>3.57038373E8</v>
      </c>
      <c r="D2665" s="2" t="s">
        <v>1446</v>
      </c>
      <c r="E2665" s="1" t="s">
        <v>699</v>
      </c>
      <c r="F2665" s="14">
        <v>0.3182</v>
      </c>
      <c r="G2665" s="15"/>
      <c r="H2665" s="16"/>
      <c r="I2665" s="14"/>
    </row>
    <row r="2666">
      <c r="A2666" s="14">
        <v>173.0</v>
      </c>
      <c r="B2666" s="14">
        <v>8.488928E7</v>
      </c>
      <c r="C2666" s="14">
        <v>3.5732401E8</v>
      </c>
      <c r="D2666" s="2" t="s">
        <v>1434</v>
      </c>
      <c r="E2666" s="1" t="s">
        <v>699</v>
      </c>
      <c r="F2666" s="14">
        <v>0.3182</v>
      </c>
      <c r="G2666" s="15"/>
      <c r="H2666" s="16"/>
      <c r="I2666" s="14"/>
    </row>
    <row r="2667">
      <c r="A2667" s="14">
        <v>194.0</v>
      </c>
      <c r="B2667" s="14">
        <v>8.5714787E7</v>
      </c>
      <c r="C2667" s="14">
        <v>3.61359431E8</v>
      </c>
      <c r="D2667" s="2" t="s">
        <v>1379</v>
      </c>
      <c r="E2667" s="1" t="s">
        <v>699</v>
      </c>
      <c r="F2667" s="14">
        <v>0.3182</v>
      </c>
      <c r="G2667" s="15"/>
      <c r="H2667" s="16"/>
      <c r="I2667" s="14"/>
    </row>
    <row r="2668">
      <c r="A2668" s="14">
        <v>570.0</v>
      </c>
      <c r="B2668" s="14">
        <v>8.6584106E7</v>
      </c>
      <c r="C2668" s="14">
        <v>3.65852922E8</v>
      </c>
      <c r="D2668" s="2" t="s">
        <v>1317</v>
      </c>
      <c r="E2668" s="1" t="s">
        <v>699</v>
      </c>
      <c r="F2668" s="14">
        <v>0.3182</v>
      </c>
      <c r="G2668" s="15"/>
      <c r="H2668" s="16"/>
      <c r="I2668" s="14"/>
    </row>
    <row r="2669">
      <c r="A2669" s="14">
        <v>394.0</v>
      </c>
      <c r="B2669" s="14">
        <v>8.8075499E7</v>
      </c>
      <c r="C2669" s="14">
        <v>3.72395224E8</v>
      </c>
      <c r="D2669" s="2" t="s">
        <v>1233</v>
      </c>
      <c r="E2669" s="1" t="s">
        <v>699</v>
      </c>
      <c r="F2669" s="14">
        <v>0.3182</v>
      </c>
      <c r="G2669" s="15"/>
      <c r="H2669" s="16"/>
      <c r="I2669" s="14"/>
    </row>
    <row r="2670">
      <c r="A2670" s="14">
        <v>462.0</v>
      </c>
      <c r="B2670" s="14">
        <v>9.0788013E7</v>
      </c>
      <c r="C2670" s="14">
        <v>3.85256343E8</v>
      </c>
      <c r="D2670" s="2" t="s">
        <v>1090</v>
      </c>
      <c r="E2670" s="1" t="s">
        <v>699</v>
      </c>
      <c r="F2670" s="14">
        <v>0.3182</v>
      </c>
      <c r="G2670" s="15"/>
      <c r="H2670" s="16"/>
      <c r="I2670" s="14"/>
    </row>
    <row r="2671">
      <c r="A2671" s="14">
        <v>571.0</v>
      </c>
      <c r="B2671" s="14">
        <v>9.625918E7</v>
      </c>
      <c r="C2671" s="14">
        <v>4.20601193E8</v>
      </c>
      <c r="D2671" s="2" t="s">
        <v>808</v>
      </c>
      <c r="E2671" s="1" t="s">
        <v>699</v>
      </c>
      <c r="F2671" s="14">
        <v>0.3182</v>
      </c>
      <c r="G2671" s="15"/>
      <c r="H2671" s="16"/>
      <c r="I2671" s="14"/>
    </row>
    <row r="2672">
      <c r="A2672" s="14">
        <v>630.0</v>
      </c>
      <c r="B2672" s="14">
        <v>9.8867594E7</v>
      </c>
      <c r="C2672" s="14">
        <v>4.23539826E8</v>
      </c>
      <c r="D2672" s="2" t="s">
        <v>659</v>
      </c>
      <c r="E2672" s="1" t="s">
        <v>699</v>
      </c>
      <c r="F2672" s="14">
        <v>0.3182</v>
      </c>
      <c r="G2672" s="15"/>
      <c r="H2672" s="16"/>
      <c r="I2672" s="14"/>
    </row>
    <row r="2673">
      <c r="A2673" s="14">
        <v>602.0</v>
      </c>
      <c r="B2673" s="14">
        <v>9.9840598E7</v>
      </c>
      <c r="C2673" s="14">
        <v>4.27648626E8</v>
      </c>
      <c r="D2673" s="2" t="s">
        <v>602</v>
      </c>
      <c r="E2673" s="1" t="s">
        <v>699</v>
      </c>
      <c r="F2673" s="14">
        <v>0.3182</v>
      </c>
      <c r="G2673" s="15"/>
      <c r="H2673" s="16"/>
      <c r="I2673" s="14"/>
    </row>
    <row r="2674">
      <c r="A2674" s="14">
        <v>194.0</v>
      </c>
      <c r="B2674" s="14">
        <v>1.01138933E8</v>
      </c>
      <c r="C2674" s="14">
        <v>4.336701E8</v>
      </c>
      <c r="D2674" s="2" t="s">
        <v>522</v>
      </c>
      <c r="E2674" s="1" t="s">
        <v>699</v>
      </c>
      <c r="F2674" s="14">
        <v>0.3182</v>
      </c>
      <c r="G2674" s="15"/>
      <c r="H2674" s="16"/>
      <c r="I2674" s="14"/>
    </row>
    <row r="2675">
      <c r="A2675" s="14">
        <v>578.0</v>
      </c>
      <c r="B2675" s="14">
        <v>1.03027239E8</v>
      </c>
      <c r="C2675" s="14">
        <v>4.43343135E8</v>
      </c>
      <c r="D2675" s="2" t="s">
        <v>421</v>
      </c>
      <c r="E2675" s="1" t="s">
        <v>699</v>
      </c>
      <c r="F2675" s="14">
        <v>0.3182</v>
      </c>
      <c r="G2675" s="15"/>
      <c r="H2675" s="16"/>
      <c r="I2675" s="14"/>
    </row>
    <row r="2676">
      <c r="A2676" s="14">
        <v>610.0</v>
      </c>
      <c r="B2676" s="14">
        <v>1.04753093E8</v>
      </c>
      <c r="C2676" s="14">
        <v>4.51294136E8</v>
      </c>
      <c r="D2676" s="2" t="s">
        <v>354</v>
      </c>
      <c r="E2676" s="1" t="s">
        <v>699</v>
      </c>
      <c r="F2676" s="14">
        <v>0.3182</v>
      </c>
      <c r="G2676" s="15"/>
      <c r="H2676" s="16"/>
      <c r="I2676" s="14"/>
    </row>
    <row r="2677">
      <c r="A2677" s="14">
        <v>414.0</v>
      </c>
      <c r="B2677" s="14">
        <v>1.080553E8</v>
      </c>
      <c r="C2677" s="14">
        <v>4.66858398E8</v>
      </c>
      <c r="D2677" s="2" t="s">
        <v>210</v>
      </c>
      <c r="E2677" s="1" t="s">
        <v>699</v>
      </c>
      <c r="F2677" s="14">
        <v>0.3182</v>
      </c>
      <c r="G2677" s="15"/>
      <c r="H2677" s="16"/>
      <c r="I2677" s="14"/>
    </row>
    <row r="2678">
      <c r="A2678" s="14">
        <v>593.0</v>
      </c>
      <c r="B2678" s="14">
        <v>1.09656071E8</v>
      </c>
      <c r="C2678" s="14">
        <v>4.75152091E8</v>
      </c>
      <c r="D2678" s="2" t="s">
        <v>106</v>
      </c>
      <c r="E2678" s="1" t="s">
        <v>699</v>
      </c>
      <c r="F2678" s="14">
        <v>0.3182</v>
      </c>
      <c r="G2678" s="15"/>
      <c r="H2678" s="16"/>
      <c r="I2678" s="14"/>
    </row>
    <row r="2679">
      <c r="A2679" s="14">
        <v>602.0</v>
      </c>
      <c r="B2679" s="14">
        <v>1.0978176E8</v>
      </c>
      <c r="C2679" s="14">
        <v>4.75600785E8</v>
      </c>
      <c r="D2679" s="2" t="s">
        <v>100</v>
      </c>
      <c r="E2679" s="1" t="s">
        <v>699</v>
      </c>
      <c r="F2679" s="14">
        <v>0.3182</v>
      </c>
      <c r="G2679" s="15"/>
      <c r="H2679" s="16"/>
      <c r="I2679" s="14"/>
    </row>
    <row r="2680">
      <c r="A2680" s="14">
        <v>173.0</v>
      </c>
      <c r="B2680" s="14">
        <v>1.11390868E8</v>
      </c>
      <c r="C2680" s="14">
        <v>4.8346514E8</v>
      </c>
      <c r="D2680" s="2" t="s">
        <v>45</v>
      </c>
      <c r="E2680" s="1" t="s">
        <v>699</v>
      </c>
      <c r="F2680" s="14">
        <v>0.3182</v>
      </c>
      <c r="G2680" s="15"/>
      <c r="H2680" s="16"/>
      <c r="I2680" s="14"/>
    </row>
    <row r="2681">
      <c r="A2681" s="14">
        <v>671.0</v>
      </c>
      <c r="B2681" s="14">
        <v>1.12777868E8</v>
      </c>
      <c r="C2681" s="14">
        <v>4.89731588E8</v>
      </c>
      <c r="D2681" s="2" t="s">
        <v>18</v>
      </c>
      <c r="E2681" s="1" t="s">
        <v>699</v>
      </c>
      <c r="F2681" s="14">
        <v>0.3182</v>
      </c>
      <c r="G2681" s="15"/>
      <c r="H2681" s="16"/>
      <c r="I2681" s="14"/>
    </row>
    <row r="2682">
      <c r="A2682" s="14">
        <v>498.0</v>
      </c>
      <c r="B2682" s="14">
        <v>1.12969807E8</v>
      </c>
      <c r="C2682" s="14">
        <v>4.91177006E8</v>
      </c>
      <c r="D2682" s="2" t="s">
        <v>11</v>
      </c>
      <c r="E2682" s="1" t="s">
        <v>699</v>
      </c>
      <c r="F2682" s="14">
        <v>0.3182</v>
      </c>
      <c r="G2682" s="15"/>
      <c r="H2682" s="16"/>
      <c r="I2682" s="14"/>
    </row>
    <row r="2683">
      <c r="A2683" s="14">
        <v>157.0</v>
      </c>
      <c r="B2683" s="14">
        <v>910868.0</v>
      </c>
      <c r="C2683" s="14">
        <v>4245832.0</v>
      </c>
      <c r="D2683" s="2" t="s">
        <v>4868</v>
      </c>
      <c r="E2683" s="1" t="s">
        <v>121</v>
      </c>
      <c r="F2683" s="14">
        <v>0.3182</v>
      </c>
      <c r="G2683" s="15"/>
      <c r="H2683" s="16"/>
      <c r="I2683" s="14"/>
    </row>
    <row r="2684">
      <c r="A2684" s="14">
        <v>608.0</v>
      </c>
      <c r="B2684" s="14">
        <v>2105614.0</v>
      </c>
      <c r="C2684" s="14">
        <v>9064192.0</v>
      </c>
      <c r="D2684" s="2" t="s">
        <v>4869</v>
      </c>
      <c r="E2684" s="1" t="s">
        <v>121</v>
      </c>
      <c r="F2684" s="14">
        <v>0.3182</v>
      </c>
      <c r="G2684" s="15"/>
      <c r="H2684" s="16"/>
      <c r="I2684" s="14"/>
    </row>
    <row r="2685">
      <c r="A2685" s="14">
        <v>379.0</v>
      </c>
      <c r="B2685" s="14">
        <v>5444627.0</v>
      </c>
      <c r="C2685" s="14">
        <v>2.3242244E7</v>
      </c>
      <c r="D2685" s="2" t="s">
        <v>4745</v>
      </c>
      <c r="E2685" s="1" t="s">
        <v>121</v>
      </c>
      <c r="F2685" s="14">
        <v>0.3182</v>
      </c>
      <c r="G2685" s="15"/>
      <c r="H2685" s="16"/>
      <c r="I2685" s="14"/>
    </row>
    <row r="2686">
      <c r="A2686" s="14">
        <v>531.0</v>
      </c>
      <c r="B2686" s="14">
        <v>2.1638663E7</v>
      </c>
      <c r="C2686" s="14">
        <v>8.945313E7</v>
      </c>
      <c r="D2686" s="2" t="s">
        <v>3819</v>
      </c>
      <c r="E2686" s="1" t="s">
        <v>121</v>
      </c>
      <c r="F2686" s="14">
        <v>0.3182</v>
      </c>
      <c r="G2686" s="15"/>
      <c r="H2686" s="16"/>
      <c r="I2686" s="14"/>
    </row>
    <row r="2687">
      <c r="A2687" s="14">
        <v>601.0</v>
      </c>
      <c r="B2687" s="14">
        <v>7.9333127E7</v>
      </c>
      <c r="C2687" s="14">
        <v>3.31103363E8</v>
      </c>
      <c r="D2687" s="2" t="s">
        <v>1780</v>
      </c>
      <c r="E2687" s="1" t="s">
        <v>121</v>
      </c>
      <c r="F2687" s="14">
        <v>0.3182</v>
      </c>
      <c r="G2687" s="15"/>
      <c r="H2687" s="16"/>
      <c r="I2687" s="14"/>
    </row>
    <row r="2688">
      <c r="A2688" s="14">
        <v>353.0</v>
      </c>
      <c r="B2688" s="14">
        <v>8.0215061E7</v>
      </c>
      <c r="C2688" s="14">
        <v>3.35251125E8</v>
      </c>
      <c r="D2688" s="2" t="s">
        <v>1734</v>
      </c>
      <c r="E2688" s="1" t="s">
        <v>121</v>
      </c>
      <c r="F2688" s="14">
        <v>0.3182</v>
      </c>
      <c r="G2688" s="15"/>
      <c r="H2688" s="16"/>
      <c r="I2688" s="14"/>
    </row>
    <row r="2689">
      <c r="A2689" s="14">
        <v>531.0</v>
      </c>
      <c r="B2689" s="14">
        <v>8.6142744E7</v>
      </c>
      <c r="C2689" s="14">
        <v>3.63477358E8</v>
      </c>
      <c r="D2689" s="2" t="s">
        <v>1357</v>
      </c>
      <c r="E2689" s="1" t="s">
        <v>121</v>
      </c>
      <c r="F2689" s="14">
        <v>0.3167</v>
      </c>
      <c r="G2689" s="15"/>
      <c r="H2689" s="16"/>
      <c r="I2689" s="14"/>
    </row>
    <row r="2690">
      <c r="A2690" s="14">
        <v>578.0</v>
      </c>
      <c r="B2690" s="14">
        <v>2657987.0</v>
      </c>
      <c r="C2690" s="14">
        <v>3.98599342E8</v>
      </c>
      <c r="D2690" s="2" t="s">
        <v>4873</v>
      </c>
      <c r="E2690" s="1" t="s">
        <v>121</v>
      </c>
      <c r="F2690" s="14">
        <v>0.3164</v>
      </c>
      <c r="G2690" s="15"/>
      <c r="H2690" s="16"/>
      <c r="I2690" s="14"/>
    </row>
    <row r="2691">
      <c r="A2691" s="14">
        <v>481.0</v>
      </c>
      <c r="B2691" s="14">
        <v>3370611.0</v>
      </c>
      <c r="C2691" s="14">
        <v>1.4254237E7</v>
      </c>
      <c r="D2691" s="2" t="s">
        <v>4875</v>
      </c>
      <c r="E2691" s="1" t="s">
        <v>121</v>
      </c>
      <c r="F2691" s="14">
        <v>0.3162</v>
      </c>
      <c r="G2691" s="15"/>
      <c r="H2691" s="16"/>
      <c r="I2691" s="14"/>
    </row>
    <row r="2692">
      <c r="A2692" s="14">
        <v>120.0</v>
      </c>
      <c r="B2692" s="14">
        <v>298611.0</v>
      </c>
      <c r="C2692" s="14">
        <v>4933221.0</v>
      </c>
      <c r="D2692" s="2" t="s">
        <v>4876</v>
      </c>
      <c r="E2692" s="1" t="s">
        <v>107</v>
      </c>
      <c r="F2692" s="14">
        <v>0.3158</v>
      </c>
      <c r="G2692" s="15"/>
      <c r="H2692" s="16"/>
      <c r="I2692" s="14"/>
    </row>
    <row r="2693">
      <c r="A2693" s="14">
        <v>380.0</v>
      </c>
      <c r="B2693" s="14">
        <v>1.6288406E7</v>
      </c>
      <c r="C2693" s="14">
        <v>6.915084E7</v>
      </c>
      <c r="D2693" s="2" t="s">
        <v>4012</v>
      </c>
      <c r="E2693" s="1" t="s">
        <v>107</v>
      </c>
      <c r="F2693" s="14">
        <v>0.3157</v>
      </c>
      <c r="G2693" s="15"/>
      <c r="H2693" s="16"/>
      <c r="I2693" s="14"/>
    </row>
    <row r="2694">
      <c r="A2694" s="14">
        <v>656.0</v>
      </c>
      <c r="B2694" s="14">
        <v>4.8482453E7</v>
      </c>
      <c r="C2694" s="14">
        <v>1.91677753E8</v>
      </c>
      <c r="D2694" s="2" t="s">
        <v>3079</v>
      </c>
      <c r="E2694" s="1" t="s">
        <v>107</v>
      </c>
      <c r="F2694" s="14">
        <v>0.3147</v>
      </c>
      <c r="G2694" s="15"/>
      <c r="H2694" s="16"/>
      <c r="I2694" s="14"/>
    </row>
    <row r="2695">
      <c r="A2695" s="14">
        <v>571.0</v>
      </c>
      <c r="B2695" s="14">
        <v>2839254.0</v>
      </c>
      <c r="C2695" s="14">
        <v>1.2046267E7</v>
      </c>
      <c r="D2695" s="2" t="s">
        <v>4879</v>
      </c>
      <c r="E2695" s="1" t="s">
        <v>121</v>
      </c>
      <c r="F2695" s="14">
        <v>0.3147</v>
      </c>
      <c r="G2695" s="15"/>
      <c r="H2695" s="16"/>
      <c r="I2695" s="14"/>
    </row>
    <row r="2696">
      <c r="A2696" s="14">
        <v>696.0</v>
      </c>
      <c r="B2696" s="14">
        <v>7.5534369E7</v>
      </c>
      <c r="C2696" s="14">
        <v>3.14137604E8</v>
      </c>
      <c r="D2696" s="2" t="s">
        <v>1991</v>
      </c>
      <c r="E2696" s="1" t="s">
        <v>121</v>
      </c>
      <c r="F2696" s="14">
        <v>0.3147</v>
      </c>
      <c r="G2696" s="15"/>
      <c r="H2696" s="16"/>
      <c r="I2696" s="14"/>
    </row>
    <row r="2697">
      <c r="A2697" s="14">
        <v>458.0</v>
      </c>
      <c r="B2697" s="14">
        <v>8213641.0</v>
      </c>
      <c r="C2697" s="14">
        <v>3.4774569E7</v>
      </c>
      <c r="D2697" s="2" t="s">
        <v>4526</v>
      </c>
      <c r="E2697" s="1" t="s">
        <v>121</v>
      </c>
      <c r="F2697" s="14">
        <v>0.3145</v>
      </c>
      <c r="G2697" s="15"/>
      <c r="H2697" s="16"/>
      <c r="I2697" s="14"/>
    </row>
    <row r="2698">
      <c r="A2698" s="14">
        <v>173.0</v>
      </c>
      <c r="B2698" s="14">
        <v>9.1885111E7</v>
      </c>
      <c r="C2698" s="14">
        <v>3.90110957E8</v>
      </c>
      <c r="D2698" s="2" t="s">
        <v>1040</v>
      </c>
      <c r="E2698" s="1" t="s">
        <v>121</v>
      </c>
      <c r="F2698" s="14">
        <v>0.3089</v>
      </c>
      <c r="G2698" s="15"/>
      <c r="H2698" s="16"/>
      <c r="I2698" s="14"/>
    </row>
    <row r="2699">
      <c r="A2699" s="14">
        <v>320.0</v>
      </c>
      <c r="B2699" s="14">
        <v>7.1874522E7</v>
      </c>
      <c r="C2699" s="14">
        <v>2.97167055E8</v>
      </c>
      <c r="D2699" s="2" t="s">
        <v>2134</v>
      </c>
      <c r="E2699" s="1" t="s">
        <v>107</v>
      </c>
      <c r="F2699" s="14">
        <v>0.308</v>
      </c>
      <c r="G2699" s="15"/>
      <c r="H2699" s="16"/>
      <c r="I2699" s="14"/>
    </row>
    <row r="2700">
      <c r="A2700" s="14">
        <v>667.0</v>
      </c>
      <c r="B2700" s="14">
        <v>1.3427602E7</v>
      </c>
      <c r="C2700" s="14">
        <v>5.7021197E7</v>
      </c>
      <c r="D2700" s="2" t="s">
        <v>4188</v>
      </c>
      <c r="E2700" s="1" t="s">
        <v>121</v>
      </c>
      <c r="F2700" s="14">
        <v>0.3071</v>
      </c>
      <c r="G2700" s="15"/>
      <c r="H2700" s="16"/>
      <c r="I2700" s="14"/>
    </row>
    <row r="2701">
      <c r="A2701" s="14">
        <v>601.0</v>
      </c>
      <c r="B2701" s="14">
        <v>2.7383543E7</v>
      </c>
      <c r="C2701" s="14">
        <v>1.1066103E8</v>
      </c>
      <c r="D2701" s="2" t="s">
        <v>3669</v>
      </c>
      <c r="E2701" s="1" t="s">
        <v>121</v>
      </c>
      <c r="F2701" s="14">
        <v>0.305</v>
      </c>
      <c r="G2701" s="15"/>
      <c r="H2701" s="16"/>
      <c r="I2701" s="14"/>
    </row>
    <row r="2702">
      <c r="A2702" s="14">
        <v>676.0</v>
      </c>
      <c r="B2702" s="14">
        <v>5182340.0</v>
      </c>
      <c r="C2702" s="14">
        <v>3.1311102E7</v>
      </c>
      <c r="D2702" s="2" t="s">
        <v>4782</v>
      </c>
      <c r="E2702" s="1" t="s">
        <v>121</v>
      </c>
      <c r="F2702" s="14">
        <v>0.3044</v>
      </c>
      <c r="G2702" s="15"/>
      <c r="H2702" s="16"/>
      <c r="I2702" s="14"/>
    </row>
    <row r="2703">
      <c r="A2703" s="14">
        <v>355.0</v>
      </c>
      <c r="B2703" s="14">
        <v>5.7397188E7</v>
      </c>
      <c r="C2703" s="14">
        <v>2.28576311E8</v>
      </c>
      <c r="D2703" s="2" t="s">
        <v>2766</v>
      </c>
      <c r="E2703" s="1" t="s">
        <v>121</v>
      </c>
      <c r="F2703" s="14">
        <v>0.3039</v>
      </c>
      <c r="G2703" s="15"/>
      <c r="H2703" s="16"/>
      <c r="I2703" s="14"/>
    </row>
    <row r="2704">
      <c r="A2704" s="14">
        <v>571.0</v>
      </c>
      <c r="B2704" s="14">
        <v>1.6211428E7</v>
      </c>
      <c r="C2704" s="14">
        <v>6.8931964E7</v>
      </c>
      <c r="D2704" s="2" t="s">
        <v>4016</v>
      </c>
      <c r="E2704" s="1" t="s">
        <v>121</v>
      </c>
      <c r="F2704" s="14">
        <v>0.3034</v>
      </c>
      <c r="G2704" s="15"/>
      <c r="H2704" s="16"/>
      <c r="I2704" s="14"/>
    </row>
    <row r="2705">
      <c r="A2705" s="14">
        <v>142.0</v>
      </c>
      <c r="B2705" s="14">
        <v>1.124785E7</v>
      </c>
      <c r="C2705" s="14">
        <v>4.7795675E7</v>
      </c>
      <c r="D2705" s="2" t="s">
        <v>4300</v>
      </c>
      <c r="E2705" s="1" t="s">
        <v>699</v>
      </c>
      <c r="F2705" s="14">
        <v>0.296</v>
      </c>
      <c r="G2705" s="15"/>
      <c r="H2705" s="16"/>
      <c r="I2705" s="14"/>
    </row>
    <row r="2706">
      <c r="A2706" s="14">
        <v>392.0</v>
      </c>
      <c r="B2706" s="14">
        <v>8.6043454E7</v>
      </c>
      <c r="C2706" s="14">
        <v>3.62856888E8</v>
      </c>
      <c r="D2706" s="2" t="s">
        <v>1369</v>
      </c>
      <c r="E2706" s="1" t="s">
        <v>699</v>
      </c>
      <c r="F2706" s="14">
        <v>0.296</v>
      </c>
      <c r="G2706" s="15"/>
      <c r="H2706" s="16"/>
      <c r="I2706" s="14"/>
    </row>
    <row r="2707">
      <c r="A2707" s="14">
        <v>120.0</v>
      </c>
      <c r="B2707" s="14">
        <v>268886.0</v>
      </c>
      <c r="C2707" s="14">
        <v>1154614.0</v>
      </c>
      <c r="D2707" s="2" t="s">
        <v>4888</v>
      </c>
      <c r="E2707" s="1" t="s">
        <v>121</v>
      </c>
      <c r="F2707" s="14">
        <v>0.296</v>
      </c>
      <c r="G2707" s="15"/>
      <c r="H2707" s="16"/>
      <c r="I2707" s="14"/>
    </row>
    <row r="2708">
      <c r="A2708" s="14">
        <v>120.0</v>
      </c>
      <c r="B2708" s="14">
        <v>1413250.0</v>
      </c>
      <c r="C2708" s="14">
        <v>6242863.0</v>
      </c>
      <c r="D2708" s="2" t="s">
        <v>4889</v>
      </c>
      <c r="E2708" s="1" t="s">
        <v>121</v>
      </c>
      <c r="F2708" s="14">
        <v>0.296</v>
      </c>
      <c r="G2708" s="15"/>
      <c r="H2708" s="16"/>
      <c r="I2708" s="14"/>
    </row>
    <row r="2709">
      <c r="A2709" s="14">
        <v>571.0</v>
      </c>
      <c r="B2709" s="14">
        <v>3794395.0</v>
      </c>
      <c r="C2709" s="14">
        <v>1.60906E7</v>
      </c>
      <c r="D2709" s="2" t="s">
        <v>4890</v>
      </c>
      <c r="E2709" s="1" t="s">
        <v>121</v>
      </c>
      <c r="F2709" s="14">
        <v>0.296</v>
      </c>
      <c r="G2709" s="15"/>
      <c r="H2709" s="16"/>
      <c r="I2709" s="14"/>
    </row>
    <row r="2710">
      <c r="A2710" s="14">
        <v>403.0</v>
      </c>
      <c r="B2710" s="14">
        <v>4015746.0</v>
      </c>
      <c r="C2710" s="14">
        <v>1.80431673E8</v>
      </c>
      <c r="D2710" s="2" t="s">
        <v>4870</v>
      </c>
      <c r="E2710" s="1" t="s">
        <v>121</v>
      </c>
      <c r="F2710" s="14">
        <v>0.296</v>
      </c>
      <c r="G2710" s="15"/>
      <c r="H2710" s="16"/>
      <c r="I2710" s="14"/>
    </row>
    <row r="2711">
      <c r="A2711" s="14">
        <v>427.0</v>
      </c>
      <c r="B2711" s="14">
        <v>8408142.0</v>
      </c>
      <c r="C2711" s="14">
        <v>3.5596653E7</v>
      </c>
      <c r="D2711" s="2" t="s">
        <v>4516</v>
      </c>
      <c r="E2711" s="1" t="s">
        <v>121</v>
      </c>
      <c r="F2711" s="14">
        <v>0.296</v>
      </c>
      <c r="G2711" s="15"/>
      <c r="H2711" s="16"/>
      <c r="I2711" s="14"/>
    </row>
    <row r="2712">
      <c r="A2712" s="14">
        <v>571.0</v>
      </c>
      <c r="B2712" s="14">
        <v>1.3241722E7</v>
      </c>
      <c r="C2712" s="14">
        <v>8.4754709E7</v>
      </c>
      <c r="D2712" s="2" t="s">
        <v>4196</v>
      </c>
      <c r="E2712" s="1" t="s">
        <v>121</v>
      </c>
      <c r="F2712" s="14">
        <v>0.296</v>
      </c>
      <c r="G2712" s="15"/>
      <c r="H2712" s="16"/>
      <c r="I2712" s="14"/>
    </row>
    <row r="2713">
      <c r="A2713" s="14">
        <v>671.0</v>
      </c>
      <c r="B2713" s="14">
        <v>2.1199967E7</v>
      </c>
      <c r="C2713" s="14">
        <v>2.22820493E8</v>
      </c>
      <c r="D2713" s="2" t="s">
        <v>3825</v>
      </c>
      <c r="E2713" s="1" t="s">
        <v>121</v>
      </c>
      <c r="F2713" s="14">
        <v>0.296</v>
      </c>
      <c r="G2713" s="15"/>
      <c r="H2713" s="16"/>
      <c r="I2713" s="14"/>
    </row>
    <row r="2714">
      <c r="A2714" s="14">
        <v>120.0</v>
      </c>
      <c r="B2714" s="14">
        <v>3.4468936E7</v>
      </c>
      <c r="C2714" s="14">
        <v>1.37593291E8</v>
      </c>
      <c r="D2714" s="2" t="s">
        <v>3492</v>
      </c>
      <c r="E2714" s="1" t="s">
        <v>121</v>
      </c>
      <c r="F2714" s="14">
        <v>0.296</v>
      </c>
      <c r="G2714" s="15"/>
      <c r="H2714" s="16"/>
      <c r="I2714" s="14"/>
    </row>
    <row r="2715">
      <c r="A2715" s="14">
        <v>380.0</v>
      </c>
      <c r="B2715" s="14">
        <v>4.497506E7</v>
      </c>
      <c r="C2715" s="14">
        <v>1.77698635E8</v>
      </c>
      <c r="D2715" s="2" t="s">
        <v>3248</v>
      </c>
      <c r="E2715" s="1" t="s">
        <v>121</v>
      </c>
      <c r="F2715" s="14">
        <v>0.296</v>
      </c>
      <c r="G2715" s="15"/>
      <c r="H2715" s="16"/>
      <c r="I2715" s="14"/>
    </row>
    <row r="2716">
      <c r="A2716" s="14">
        <v>698.0</v>
      </c>
      <c r="B2716" s="14">
        <v>4.6176512E7</v>
      </c>
      <c r="C2716" s="14">
        <v>1.82329531E8</v>
      </c>
      <c r="D2716" s="2" t="s">
        <v>3204</v>
      </c>
      <c r="E2716" s="1" t="s">
        <v>121</v>
      </c>
      <c r="F2716" s="14">
        <v>0.296</v>
      </c>
      <c r="G2716" s="15"/>
      <c r="H2716" s="16"/>
      <c r="I2716" s="14"/>
    </row>
    <row r="2717">
      <c r="A2717" s="14">
        <v>587.0</v>
      </c>
      <c r="B2717" s="14">
        <v>5.628226E7</v>
      </c>
      <c r="C2717" s="14">
        <v>2.23643479E8</v>
      </c>
      <c r="D2717" s="2" t="s">
        <v>2809</v>
      </c>
      <c r="E2717" s="1" t="s">
        <v>121</v>
      </c>
      <c r="F2717" s="14">
        <v>0.296</v>
      </c>
      <c r="G2717" s="15"/>
      <c r="H2717" s="16"/>
      <c r="I2717" s="14"/>
    </row>
    <row r="2718">
      <c r="A2718" s="14">
        <v>601.0</v>
      </c>
      <c r="B2718" s="14">
        <v>5.9585364E7</v>
      </c>
      <c r="C2718" s="14">
        <v>2.384744E8</v>
      </c>
      <c r="D2718" s="2" t="s">
        <v>2709</v>
      </c>
      <c r="E2718" s="1" t="s">
        <v>121</v>
      </c>
      <c r="F2718" s="14">
        <v>0.296</v>
      </c>
      <c r="G2718" s="15"/>
      <c r="H2718" s="16"/>
      <c r="I2718" s="14"/>
    </row>
    <row r="2719">
      <c r="A2719" s="14">
        <v>571.0</v>
      </c>
      <c r="B2719" s="14">
        <v>6.8653673E7</v>
      </c>
      <c r="C2719" s="14">
        <v>2.82556838E8</v>
      </c>
      <c r="D2719" s="2" t="s">
        <v>2299</v>
      </c>
      <c r="E2719" s="1" t="s">
        <v>121</v>
      </c>
      <c r="F2719" s="14">
        <v>0.296</v>
      </c>
      <c r="G2719" s="15"/>
      <c r="H2719" s="16"/>
      <c r="I2719" s="14"/>
    </row>
    <row r="2720">
      <c r="A2720" s="14">
        <v>671.0</v>
      </c>
      <c r="B2720" s="14">
        <v>8.6918132E7</v>
      </c>
      <c r="C2720" s="14">
        <v>3.67357048E8</v>
      </c>
      <c r="D2720" s="2" t="s">
        <v>1303</v>
      </c>
      <c r="E2720" s="1" t="s">
        <v>121</v>
      </c>
      <c r="F2720" s="14">
        <v>0.296</v>
      </c>
      <c r="G2720" s="15"/>
      <c r="H2720" s="16"/>
      <c r="I2720" s="14"/>
    </row>
    <row r="2721">
      <c r="A2721" s="14">
        <v>498.0</v>
      </c>
      <c r="B2721" s="14">
        <v>8.9353312E7</v>
      </c>
      <c r="C2721" s="14">
        <v>3.78579416E8</v>
      </c>
      <c r="D2721" s="2" t="s">
        <v>1168</v>
      </c>
      <c r="E2721" s="1" t="s">
        <v>121</v>
      </c>
      <c r="F2721" s="14">
        <v>0.296</v>
      </c>
      <c r="G2721" s="15"/>
      <c r="H2721" s="16"/>
      <c r="I2721" s="14"/>
    </row>
    <row r="2722">
      <c r="A2722" s="14">
        <v>680.0</v>
      </c>
      <c r="B2722" s="14">
        <v>2.3772278E7</v>
      </c>
      <c r="C2722" s="14">
        <v>9.778104E7</v>
      </c>
      <c r="D2722" s="2" t="s">
        <v>3760</v>
      </c>
      <c r="E2722" s="1" t="s">
        <v>121</v>
      </c>
      <c r="F2722" s="14">
        <v>0.2944</v>
      </c>
      <c r="G2722" s="15"/>
      <c r="H2722" s="16"/>
      <c r="I2722" s="14"/>
    </row>
    <row r="2723">
      <c r="A2723" s="14">
        <v>470.0</v>
      </c>
      <c r="B2723" s="14">
        <v>1.4279488E7</v>
      </c>
      <c r="C2723" s="14">
        <v>6.0802459E7</v>
      </c>
      <c r="D2723" s="2" t="s">
        <v>4140</v>
      </c>
      <c r="E2723" s="1" t="s">
        <v>699</v>
      </c>
      <c r="F2723" s="14">
        <v>0.2942</v>
      </c>
      <c r="G2723" s="15"/>
      <c r="H2723" s="16"/>
      <c r="I2723" s="14"/>
    </row>
    <row r="2724">
      <c r="A2724" s="14">
        <v>132.0</v>
      </c>
      <c r="B2724" s="14">
        <v>4.8151405E7</v>
      </c>
      <c r="C2724" s="14">
        <v>1.90344337E8</v>
      </c>
      <c r="D2724" s="2" t="s">
        <v>3099</v>
      </c>
      <c r="E2724" s="1" t="s">
        <v>121</v>
      </c>
      <c r="F2724" s="14">
        <v>0.2942</v>
      </c>
      <c r="G2724" s="15"/>
      <c r="H2724" s="16"/>
      <c r="I2724" s="14"/>
    </row>
    <row r="2725">
      <c r="A2725" s="14">
        <v>215.0</v>
      </c>
      <c r="B2725" s="14">
        <v>7.6047087E7</v>
      </c>
      <c r="C2725" s="14">
        <v>3.15806905E8</v>
      </c>
      <c r="D2725" s="2" t="s">
        <v>1967</v>
      </c>
      <c r="E2725" s="1" t="s">
        <v>121</v>
      </c>
      <c r="F2725" s="14">
        <v>0.2942</v>
      </c>
      <c r="G2725" s="15"/>
      <c r="H2725" s="16"/>
      <c r="I2725" s="14"/>
    </row>
    <row r="2726">
      <c r="A2726" s="14">
        <v>664.0</v>
      </c>
      <c r="B2726" s="14">
        <v>5.5191616E7</v>
      </c>
      <c r="C2726" s="14">
        <v>2.19243661E8</v>
      </c>
      <c r="D2726" s="2" t="s">
        <v>2837</v>
      </c>
      <c r="E2726" s="1" t="s">
        <v>121</v>
      </c>
      <c r="F2726" s="14">
        <v>0.2921</v>
      </c>
      <c r="G2726" s="15"/>
      <c r="H2726" s="16"/>
      <c r="I2726" s="14"/>
    </row>
    <row r="2727">
      <c r="A2727" s="14">
        <v>578.0</v>
      </c>
      <c r="B2727" s="14">
        <v>7496601.0</v>
      </c>
      <c r="C2727" s="14">
        <v>3.1858223E7</v>
      </c>
      <c r="D2727" s="2" t="s">
        <v>4573</v>
      </c>
      <c r="E2727" s="1" t="s">
        <v>121</v>
      </c>
      <c r="F2727" s="14">
        <v>0.2846</v>
      </c>
      <c r="G2727" s="15"/>
      <c r="H2727" s="16"/>
      <c r="I2727" s="14"/>
    </row>
    <row r="2728">
      <c r="A2728" s="14">
        <v>571.0</v>
      </c>
      <c r="B2728" s="14">
        <v>6.3628666E7</v>
      </c>
      <c r="C2728" s="14">
        <v>2.58266477E8</v>
      </c>
      <c r="D2728" s="2" t="s">
        <v>2544</v>
      </c>
      <c r="E2728" s="1" t="s">
        <v>121</v>
      </c>
      <c r="F2728" s="14">
        <v>0.2755</v>
      </c>
      <c r="G2728" s="15"/>
      <c r="H2728" s="16"/>
      <c r="I2728" s="14"/>
    </row>
    <row r="2729">
      <c r="A2729" s="14">
        <v>654.0</v>
      </c>
      <c r="B2729" s="14">
        <v>4.7890046E7</v>
      </c>
      <c r="C2729" s="14">
        <v>1.89265373E8</v>
      </c>
      <c r="D2729" s="2" t="s">
        <v>3116</v>
      </c>
      <c r="E2729" s="1" t="s">
        <v>107</v>
      </c>
      <c r="F2729" s="14">
        <v>0.2732</v>
      </c>
      <c r="G2729" s="15"/>
      <c r="H2729" s="16"/>
      <c r="I2729" s="14"/>
    </row>
    <row r="2730">
      <c r="A2730" s="14">
        <v>409.0</v>
      </c>
      <c r="B2730" s="14">
        <v>7.7617124E7</v>
      </c>
      <c r="C2730" s="14">
        <v>3.22968368E8</v>
      </c>
      <c r="D2730" s="2" t="s">
        <v>1889</v>
      </c>
      <c r="E2730" s="1" t="s">
        <v>107</v>
      </c>
      <c r="F2730" s="14">
        <v>0.2732</v>
      </c>
      <c r="G2730" s="15"/>
      <c r="H2730" s="16"/>
      <c r="I2730" s="14"/>
    </row>
    <row r="2731">
      <c r="A2731" s="14">
        <v>210.0</v>
      </c>
      <c r="B2731" s="14">
        <v>7.8332427E7</v>
      </c>
      <c r="C2731" s="14">
        <v>3.26770617E8</v>
      </c>
      <c r="D2731" s="2" t="s">
        <v>1833</v>
      </c>
      <c r="E2731" s="1" t="s">
        <v>107</v>
      </c>
      <c r="F2731" s="14">
        <v>0.2732</v>
      </c>
      <c r="G2731" s="15"/>
      <c r="H2731" s="16"/>
      <c r="I2731" s="14"/>
    </row>
    <row r="2732">
      <c r="A2732" s="14">
        <v>194.0</v>
      </c>
      <c r="B2732" s="14">
        <v>8.2309068E7</v>
      </c>
      <c r="C2732" s="14">
        <v>3.44822442E8</v>
      </c>
      <c r="D2732" s="2" t="s">
        <v>1615</v>
      </c>
      <c r="E2732" s="1" t="s">
        <v>107</v>
      </c>
      <c r="F2732" s="14">
        <v>0.2732</v>
      </c>
      <c r="G2732" s="15"/>
      <c r="H2732" s="16"/>
      <c r="I2732" s="14"/>
    </row>
    <row r="2733">
      <c r="A2733" s="14">
        <v>353.0</v>
      </c>
      <c r="B2733" s="14">
        <v>9.6288358E7</v>
      </c>
      <c r="C2733" s="14">
        <v>4.10723964E8</v>
      </c>
      <c r="D2733" s="2" t="s">
        <v>804</v>
      </c>
      <c r="E2733" s="1" t="s">
        <v>107</v>
      </c>
      <c r="F2733" s="14">
        <v>0.2732</v>
      </c>
      <c r="G2733" s="15"/>
      <c r="H2733" s="16"/>
      <c r="I2733" s="14"/>
    </row>
    <row r="2734">
      <c r="A2734" s="14">
        <v>409.0</v>
      </c>
      <c r="B2734" s="14">
        <v>1.00729822E8</v>
      </c>
      <c r="C2734" s="14">
        <v>4.32039373E8</v>
      </c>
      <c r="D2734" s="2" t="s">
        <v>537</v>
      </c>
      <c r="E2734" s="1" t="s">
        <v>107</v>
      </c>
      <c r="F2734" s="14">
        <v>0.2732</v>
      </c>
      <c r="G2734" s="15"/>
      <c r="H2734" s="16"/>
      <c r="I2734" s="14"/>
    </row>
    <row r="2735">
      <c r="A2735" s="14">
        <v>120.0</v>
      </c>
      <c r="B2735" s="14">
        <v>1.08613329E8</v>
      </c>
      <c r="C2735" s="14">
        <v>4.69797071E8</v>
      </c>
      <c r="D2735" s="2" t="s">
        <v>174</v>
      </c>
      <c r="E2735" s="1" t="s">
        <v>107</v>
      </c>
      <c r="F2735" s="14">
        <v>0.2732</v>
      </c>
      <c r="G2735" s="15"/>
      <c r="H2735" s="16"/>
      <c r="I2735" s="14"/>
    </row>
    <row r="2736">
      <c r="A2736" s="14">
        <v>571.0</v>
      </c>
      <c r="B2736" s="14">
        <v>4291046.0</v>
      </c>
      <c r="C2736" s="14">
        <v>4.83172599E8</v>
      </c>
      <c r="D2736" s="2" t="s">
        <v>4853</v>
      </c>
      <c r="E2736" s="1" t="s">
        <v>699</v>
      </c>
      <c r="F2736" s="14">
        <v>0.2732</v>
      </c>
      <c r="G2736" s="15"/>
      <c r="H2736" s="16"/>
      <c r="I2736" s="14"/>
    </row>
    <row r="2737">
      <c r="A2737" s="14">
        <v>715.0</v>
      </c>
      <c r="B2737" s="14">
        <v>6915275.0</v>
      </c>
      <c r="C2737" s="14">
        <v>2.9429976E7</v>
      </c>
      <c r="D2737" s="2" t="s">
        <v>4620</v>
      </c>
      <c r="E2737" s="1" t="s">
        <v>699</v>
      </c>
      <c r="F2737" s="14">
        <v>0.2732</v>
      </c>
      <c r="G2737" s="15"/>
      <c r="H2737" s="16"/>
      <c r="I2737" s="14"/>
    </row>
    <row r="2738">
      <c r="A2738" s="14">
        <v>492.0</v>
      </c>
      <c r="B2738" s="14">
        <v>1.3927813E7</v>
      </c>
      <c r="C2738" s="14">
        <v>5.9163359E7</v>
      </c>
      <c r="D2738" s="2" t="s">
        <v>4163</v>
      </c>
      <c r="E2738" s="1" t="s">
        <v>699</v>
      </c>
      <c r="F2738" s="14">
        <v>0.2732</v>
      </c>
      <c r="G2738" s="15"/>
      <c r="H2738" s="16"/>
      <c r="I2738" s="14"/>
    </row>
    <row r="2739">
      <c r="A2739" s="14">
        <v>602.0</v>
      </c>
      <c r="B2739" s="14">
        <v>9.5312343E7</v>
      </c>
      <c r="C2739" s="14">
        <v>4.05524117E8</v>
      </c>
      <c r="D2739" s="2" t="s">
        <v>866</v>
      </c>
      <c r="E2739" s="1" t="s">
        <v>699</v>
      </c>
      <c r="F2739" s="14">
        <v>0.2732</v>
      </c>
      <c r="G2739" s="15"/>
      <c r="H2739" s="16"/>
      <c r="I2739" s="14"/>
    </row>
    <row r="2740">
      <c r="A2740" s="14">
        <v>715.0</v>
      </c>
      <c r="B2740" s="14">
        <v>3973850.0</v>
      </c>
      <c r="C2740" s="14">
        <v>1.680013E7</v>
      </c>
      <c r="D2740" s="2" t="s">
        <v>4877</v>
      </c>
      <c r="E2740" s="1" t="s">
        <v>121</v>
      </c>
      <c r="F2740" s="14">
        <v>0.2732</v>
      </c>
      <c r="G2740" s="15"/>
      <c r="H2740" s="16"/>
      <c r="I2740" s="14"/>
    </row>
    <row r="2741">
      <c r="A2741" s="14">
        <v>225.0</v>
      </c>
      <c r="B2741" s="14">
        <v>6394435.0</v>
      </c>
      <c r="C2741" s="14">
        <v>2.7197751E7</v>
      </c>
      <c r="D2741" s="2" t="s">
        <v>4671</v>
      </c>
      <c r="E2741" s="1" t="s">
        <v>121</v>
      </c>
      <c r="F2741" s="14">
        <v>0.2732</v>
      </c>
      <c r="G2741" s="15"/>
      <c r="H2741" s="16"/>
      <c r="I2741" s="14"/>
    </row>
    <row r="2742">
      <c r="A2742" s="14">
        <v>571.0</v>
      </c>
      <c r="B2742" s="14">
        <v>1.6394426E7</v>
      </c>
      <c r="C2742" s="14">
        <v>1.2654374E8</v>
      </c>
      <c r="D2742" s="2" t="s">
        <v>4007</v>
      </c>
      <c r="E2742" s="1" t="s">
        <v>121</v>
      </c>
      <c r="F2742" s="14">
        <v>0.2732</v>
      </c>
      <c r="G2742" s="15"/>
      <c r="H2742" s="16"/>
      <c r="I2742" s="14"/>
    </row>
    <row r="2743">
      <c r="A2743" s="14">
        <v>616.0</v>
      </c>
      <c r="B2743" s="14">
        <v>2.3772565E7</v>
      </c>
      <c r="C2743" s="14">
        <v>9.7793874E7</v>
      </c>
      <c r="D2743" s="2" t="s">
        <v>3758</v>
      </c>
      <c r="E2743" s="1" t="s">
        <v>121</v>
      </c>
      <c r="F2743" s="14">
        <v>0.2732</v>
      </c>
      <c r="G2743" s="15"/>
      <c r="H2743" s="16"/>
      <c r="I2743" s="14"/>
    </row>
    <row r="2744">
      <c r="A2744" s="14">
        <v>410.0</v>
      </c>
      <c r="B2744" s="14">
        <v>3.2278345E7</v>
      </c>
      <c r="C2744" s="14">
        <v>1.29257946E8</v>
      </c>
      <c r="D2744" s="2" t="s">
        <v>3530</v>
      </c>
      <c r="E2744" s="1" t="s">
        <v>121</v>
      </c>
      <c r="F2744" s="14">
        <v>0.2732</v>
      </c>
      <c r="G2744" s="15"/>
      <c r="H2744" s="16"/>
      <c r="I2744" s="14"/>
    </row>
    <row r="2745">
      <c r="A2745" s="14">
        <v>455.0</v>
      </c>
      <c r="B2745" s="14">
        <v>5.0482764E7</v>
      </c>
      <c r="C2745" s="14">
        <v>1.99858691E8</v>
      </c>
      <c r="D2745" s="2" t="s">
        <v>3004</v>
      </c>
      <c r="E2745" s="1" t="s">
        <v>121</v>
      </c>
      <c r="F2745" s="14">
        <v>0.2732</v>
      </c>
      <c r="G2745" s="15"/>
      <c r="H2745" s="16"/>
      <c r="I2745" s="14"/>
    </row>
    <row r="2746">
      <c r="A2746" s="14">
        <v>601.0</v>
      </c>
      <c r="B2746" s="14">
        <v>6.5666379E7</v>
      </c>
      <c r="C2746" s="14">
        <v>2.67675059E8</v>
      </c>
      <c r="D2746" s="2" t="s">
        <v>2462</v>
      </c>
      <c r="E2746" s="1" t="s">
        <v>121</v>
      </c>
      <c r="F2746" s="14">
        <v>0.2732</v>
      </c>
      <c r="G2746" s="15"/>
      <c r="H2746" s="16"/>
      <c r="I2746" s="14"/>
    </row>
    <row r="2747">
      <c r="A2747" s="14">
        <v>320.0</v>
      </c>
      <c r="B2747" s="14">
        <v>6.6937699E7</v>
      </c>
      <c r="C2747" s="14">
        <v>2.73885355E8</v>
      </c>
      <c r="D2747" s="2" t="s">
        <v>2393</v>
      </c>
      <c r="E2747" s="1" t="s">
        <v>121</v>
      </c>
      <c r="F2747" s="14">
        <v>0.2732</v>
      </c>
      <c r="G2747" s="15"/>
      <c r="H2747" s="16"/>
      <c r="I2747" s="14"/>
    </row>
    <row r="2748">
      <c r="A2748" s="14">
        <v>569.0</v>
      </c>
      <c r="B2748" s="14">
        <v>7.1625207E7</v>
      </c>
      <c r="C2748" s="14">
        <v>2.95601896E8</v>
      </c>
      <c r="D2748" s="2" t="s">
        <v>2147</v>
      </c>
      <c r="E2748" s="1" t="s">
        <v>121</v>
      </c>
      <c r="F2748" s="14">
        <v>0.2732</v>
      </c>
      <c r="G2748" s="15"/>
      <c r="H2748" s="16"/>
      <c r="I2748" s="14"/>
    </row>
    <row r="2749">
      <c r="A2749" s="14">
        <v>173.0</v>
      </c>
      <c r="B2749" s="14">
        <v>8.3582651E7</v>
      </c>
      <c r="C2749" s="14">
        <v>3.51312654E8</v>
      </c>
      <c r="D2749" s="2" t="s">
        <v>1543</v>
      </c>
      <c r="E2749" s="1" t="s">
        <v>121</v>
      </c>
      <c r="F2749" s="14">
        <v>0.2732</v>
      </c>
      <c r="G2749" s="15"/>
      <c r="H2749" s="16"/>
      <c r="I2749" s="14"/>
    </row>
    <row r="2750">
      <c r="A2750" s="14">
        <v>578.0</v>
      </c>
      <c r="B2750" s="14">
        <v>9.3419803E7</v>
      </c>
      <c r="C2750" s="14">
        <v>3.96689276E8</v>
      </c>
      <c r="D2750" s="2" t="s">
        <v>965</v>
      </c>
      <c r="E2750" s="1" t="s">
        <v>121</v>
      </c>
      <c r="F2750" s="14">
        <v>0.2732</v>
      </c>
      <c r="G2750" s="15"/>
      <c r="H2750" s="16"/>
      <c r="I2750" s="14"/>
    </row>
    <row r="2751">
      <c r="A2751" s="14">
        <v>656.0</v>
      </c>
      <c r="B2751" s="14">
        <v>1.01974083E8</v>
      </c>
      <c r="C2751" s="14">
        <v>4.37891256E8</v>
      </c>
      <c r="D2751" s="2" t="s">
        <v>468</v>
      </c>
      <c r="E2751" s="1" t="s">
        <v>121</v>
      </c>
      <c r="F2751" s="14">
        <v>0.2732</v>
      </c>
      <c r="G2751" s="15"/>
      <c r="H2751" s="16"/>
      <c r="I2751" s="14"/>
    </row>
    <row r="2752">
      <c r="A2752" s="14">
        <v>475.0</v>
      </c>
      <c r="B2752" s="14">
        <v>1.0644285E7</v>
      </c>
      <c r="C2752" s="14">
        <v>4.528798E7</v>
      </c>
      <c r="D2752" s="2" t="s">
        <v>4345</v>
      </c>
      <c r="E2752" s="1" t="s">
        <v>121</v>
      </c>
      <c r="F2752" s="14">
        <v>0.2725</v>
      </c>
      <c r="G2752" s="15"/>
      <c r="H2752" s="16"/>
      <c r="I2752" s="14"/>
    </row>
    <row r="2753">
      <c r="A2753" s="14">
        <v>172.0</v>
      </c>
      <c r="B2753" s="14">
        <v>5.8460739E7</v>
      </c>
      <c r="C2753" s="14">
        <v>2.33235224E8</v>
      </c>
      <c r="D2753" s="2" t="s">
        <v>2741</v>
      </c>
      <c r="E2753" s="1" t="s">
        <v>121</v>
      </c>
      <c r="F2753" s="14">
        <v>0.2724</v>
      </c>
      <c r="G2753" s="15"/>
      <c r="H2753" s="16"/>
      <c r="I2753" s="14"/>
    </row>
    <row r="2754">
      <c r="A2754" s="14">
        <v>715.0</v>
      </c>
      <c r="B2754" s="14">
        <v>1.5671176E7</v>
      </c>
      <c r="C2754" s="14">
        <v>6.6551954E7</v>
      </c>
      <c r="D2754" s="2" t="s">
        <v>4055</v>
      </c>
      <c r="E2754" s="1" t="s">
        <v>121</v>
      </c>
      <c r="F2754" s="14">
        <v>0.2716</v>
      </c>
      <c r="G2754" s="15"/>
      <c r="H2754" s="16"/>
      <c r="I2754" s="14"/>
    </row>
    <row r="2755">
      <c r="A2755" s="14">
        <v>524.0</v>
      </c>
      <c r="B2755" s="14">
        <v>1220045.0</v>
      </c>
      <c r="C2755" s="14">
        <v>5468244.0</v>
      </c>
      <c r="D2755" s="2" t="s">
        <v>4916</v>
      </c>
      <c r="E2755" s="1" t="s">
        <v>699</v>
      </c>
      <c r="F2755" s="14">
        <v>0.2714</v>
      </c>
      <c r="G2755" s="15"/>
      <c r="H2755" s="16"/>
      <c r="I2755" s="14"/>
    </row>
    <row r="2756">
      <c r="A2756" s="14">
        <v>609.0</v>
      </c>
      <c r="B2756" s="14">
        <v>2523672.0</v>
      </c>
      <c r="C2756" s="14">
        <v>1.0646577E7</v>
      </c>
      <c r="D2756" s="2" t="s">
        <v>4918</v>
      </c>
      <c r="E2756" s="1" t="s">
        <v>121</v>
      </c>
      <c r="F2756" s="14">
        <v>0.2709</v>
      </c>
      <c r="G2756" s="15"/>
      <c r="H2756" s="16"/>
      <c r="I2756" s="14"/>
    </row>
    <row r="2757">
      <c r="A2757" s="14">
        <v>355.0</v>
      </c>
      <c r="B2757" s="14">
        <v>1.3995167E7</v>
      </c>
      <c r="C2757" s="14">
        <v>5.9450731E7</v>
      </c>
      <c r="D2757" s="2" t="s">
        <v>4158</v>
      </c>
      <c r="E2757" s="1" t="s">
        <v>121</v>
      </c>
      <c r="F2757" s="14">
        <v>0.27</v>
      </c>
      <c r="G2757" s="15"/>
      <c r="H2757" s="16"/>
      <c r="I2757" s="14"/>
    </row>
    <row r="2758">
      <c r="A2758" s="14">
        <v>571.0</v>
      </c>
      <c r="B2758" s="14">
        <v>8.5003789E7</v>
      </c>
      <c r="C2758" s="14">
        <v>3.58140117E8</v>
      </c>
      <c r="D2758" s="2" t="s">
        <v>1428</v>
      </c>
      <c r="E2758" s="1" t="s">
        <v>121</v>
      </c>
      <c r="F2758" s="14">
        <v>0.27</v>
      </c>
      <c r="G2758" s="15"/>
      <c r="H2758" s="16"/>
      <c r="I2758" s="14"/>
    </row>
    <row r="2759">
      <c r="A2759" s="14">
        <v>669.0</v>
      </c>
      <c r="B2759" s="14">
        <v>8.983818E7</v>
      </c>
      <c r="C2759" s="14">
        <v>3.80626238E8</v>
      </c>
      <c r="D2759" s="2" t="s">
        <v>1147</v>
      </c>
      <c r="E2759" s="1" t="s">
        <v>121</v>
      </c>
      <c r="F2759" s="14">
        <v>0.27</v>
      </c>
      <c r="G2759" s="15"/>
      <c r="H2759" s="16"/>
      <c r="I2759" s="14"/>
    </row>
    <row r="2760">
      <c r="A2760" s="14">
        <v>571.0</v>
      </c>
      <c r="B2760" s="14">
        <v>4771799.0</v>
      </c>
      <c r="C2760" s="14">
        <v>2.0389392E7</v>
      </c>
      <c r="D2760" s="2" t="s">
        <v>4806</v>
      </c>
      <c r="E2760" s="1" t="s">
        <v>121</v>
      </c>
      <c r="F2760" s="14">
        <v>0.2698</v>
      </c>
      <c r="G2760" s="15"/>
      <c r="H2760" s="16"/>
      <c r="I2760" s="14"/>
    </row>
    <row r="2761">
      <c r="A2761" s="14">
        <v>694.0</v>
      </c>
      <c r="B2761" s="14">
        <v>2.2209409E7</v>
      </c>
      <c r="C2761" s="14">
        <v>9.1666891E7</v>
      </c>
      <c r="D2761" s="2" t="s">
        <v>3801</v>
      </c>
      <c r="E2761" s="1" t="s">
        <v>121</v>
      </c>
      <c r="F2761" s="14">
        <v>0.2679</v>
      </c>
      <c r="G2761" s="15"/>
      <c r="H2761" s="16"/>
      <c r="I2761" s="14"/>
    </row>
    <row r="2762">
      <c r="A2762" s="14">
        <v>672.0</v>
      </c>
      <c r="B2762" s="14">
        <v>9.6704354E7</v>
      </c>
      <c r="C2762" s="14">
        <v>4.12749807E8</v>
      </c>
      <c r="D2762" s="2" t="s">
        <v>782</v>
      </c>
      <c r="E2762" s="1" t="s">
        <v>699</v>
      </c>
      <c r="F2762" s="14">
        <v>0.264</v>
      </c>
      <c r="G2762" s="15"/>
      <c r="H2762" s="16"/>
      <c r="I2762" s="14"/>
    </row>
    <row r="2763">
      <c r="A2763" s="14">
        <v>410.0</v>
      </c>
      <c r="B2763" s="14">
        <v>4.4698958E7</v>
      </c>
      <c r="C2763" s="14">
        <v>1.76756991E8</v>
      </c>
      <c r="D2763" s="2" t="s">
        <v>3257</v>
      </c>
      <c r="E2763" s="1" t="s">
        <v>107</v>
      </c>
      <c r="F2763" s="14">
        <v>0.2609</v>
      </c>
      <c r="G2763" s="15"/>
      <c r="H2763" s="16"/>
      <c r="I2763" s="14"/>
    </row>
    <row r="2764">
      <c r="A2764" s="14">
        <v>672.0</v>
      </c>
      <c r="B2764" s="14">
        <v>9647429.0</v>
      </c>
      <c r="C2764" s="14">
        <v>4.1099566E7</v>
      </c>
      <c r="D2764" s="2" t="s">
        <v>4419</v>
      </c>
      <c r="E2764" s="1" t="s">
        <v>121</v>
      </c>
      <c r="F2764" s="14">
        <v>0.2596</v>
      </c>
      <c r="G2764" s="15"/>
      <c r="H2764" s="16"/>
      <c r="I2764" s="14"/>
    </row>
    <row r="2765">
      <c r="A2765" s="14">
        <v>337.0</v>
      </c>
      <c r="B2765" s="14">
        <v>4318023.0</v>
      </c>
      <c r="C2765" s="14">
        <v>1.8314132E7</v>
      </c>
      <c r="D2765" s="2" t="s">
        <v>4844</v>
      </c>
      <c r="E2765" s="1" t="s">
        <v>121</v>
      </c>
      <c r="F2765" s="14">
        <v>0.2594</v>
      </c>
      <c r="G2765" s="15"/>
      <c r="H2765" s="16"/>
      <c r="I2765" s="14"/>
    </row>
    <row r="2766">
      <c r="A2766" s="14">
        <v>498.0</v>
      </c>
      <c r="B2766" s="14">
        <v>3.9874114E7</v>
      </c>
      <c r="C2766" s="14">
        <v>1.58237403E8</v>
      </c>
      <c r="D2766" s="2" t="s">
        <v>3382</v>
      </c>
      <c r="E2766" s="1" t="s">
        <v>121</v>
      </c>
      <c r="F2766" s="14">
        <v>0.2576</v>
      </c>
      <c r="G2766" s="15"/>
      <c r="H2766" s="16"/>
      <c r="I2766" s="14"/>
    </row>
    <row r="2767">
      <c r="A2767" s="14">
        <v>667.0</v>
      </c>
      <c r="B2767" s="14">
        <v>7.1378927E7</v>
      </c>
      <c r="C2767" s="14">
        <v>2.9464761E8</v>
      </c>
      <c r="D2767" s="2" t="s">
        <v>2158</v>
      </c>
      <c r="E2767" s="1" t="s">
        <v>699</v>
      </c>
      <c r="F2767" s="14">
        <v>0.2563</v>
      </c>
      <c r="G2767" s="15"/>
      <c r="H2767" s="16"/>
      <c r="I2767" s="14"/>
    </row>
    <row r="2768">
      <c r="A2768" s="14">
        <v>676.0</v>
      </c>
      <c r="B2768" s="14">
        <v>7.035281E7</v>
      </c>
      <c r="C2768" s="14">
        <v>2.90153095E8</v>
      </c>
      <c r="D2768" s="2" t="s">
        <v>2208</v>
      </c>
      <c r="E2768" s="1" t="s">
        <v>699</v>
      </c>
      <c r="F2768" s="14">
        <v>0.2561</v>
      </c>
      <c r="G2768" s="15"/>
      <c r="H2768" s="16"/>
      <c r="I2768" s="14"/>
    </row>
    <row r="2769">
      <c r="A2769" s="14">
        <v>406.0</v>
      </c>
      <c r="B2769" s="14">
        <v>9.0637978E7</v>
      </c>
      <c r="C2769" s="14">
        <v>3.8455655E8</v>
      </c>
      <c r="D2769" s="2" t="s">
        <v>1100</v>
      </c>
      <c r="E2769" s="1" t="s">
        <v>121</v>
      </c>
      <c r="F2769" s="14">
        <v>0.2516</v>
      </c>
      <c r="G2769" s="15"/>
      <c r="H2769" s="16"/>
      <c r="I2769" s="14"/>
    </row>
    <row r="2770">
      <c r="A2770" s="14">
        <v>394.0</v>
      </c>
      <c r="B2770" s="14">
        <v>4814367.0</v>
      </c>
      <c r="C2770" s="14">
        <v>2.0458133E7</v>
      </c>
      <c r="D2770" s="2" t="s">
        <v>4802</v>
      </c>
      <c r="E2770" s="1" t="s">
        <v>121</v>
      </c>
      <c r="F2770" s="14">
        <v>0.2502</v>
      </c>
      <c r="G2770" s="15"/>
      <c r="H2770" s="16"/>
      <c r="I2770" s="14"/>
    </row>
    <row r="2771">
      <c r="A2771" s="14">
        <v>587.0</v>
      </c>
      <c r="B2771" s="14">
        <v>6.9631424E7</v>
      </c>
      <c r="C2771" s="14">
        <v>2.86843406E8</v>
      </c>
      <c r="D2771" s="2" t="s">
        <v>2247</v>
      </c>
      <c r="E2771" s="1" t="s">
        <v>107</v>
      </c>
      <c r="F2771" s="14">
        <v>0.25</v>
      </c>
      <c r="G2771" s="15"/>
      <c r="H2771" s="16"/>
      <c r="I2771" s="14"/>
    </row>
    <row r="2772">
      <c r="A2772" s="14">
        <v>671.0</v>
      </c>
      <c r="B2772" s="14">
        <v>8400059.0</v>
      </c>
      <c r="C2772" s="14">
        <v>3.5649176E7</v>
      </c>
      <c r="D2772" s="2" t="s">
        <v>4517</v>
      </c>
      <c r="E2772" s="1" t="s">
        <v>699</v>
      </c>
      <c r="F2772" s="14">
        <v>0.25</v>
      </c>
      <c r="G2772" s="15"/>
      <c r="H2772" s="16"/>
      <c r="I2772" s="14"/>
    </row>
    <row r="2773">
      <c r="A2773" s="14">
        <v>587.0</v>
      </c>
      <c r="B2773" s="14">
        <v>1.0775519E7</v>
      </c>
      <c r="C2773" s="14">
        <v>4.5756226E7</v>
      </c>
      <c r="D2773" s="2" t="s">
        <v>4339</v>
      </c>
      <c r="E2773" s="1" t="s">
        <v>699</v>
      </c>
      <c r="F2773" s="14">
        <v>0.25</v>
      </c>
      <c r="G2773" s="15"/>
      <c r="H2773" s="16"/>
      <c r="I2773" s="14"/>
    </row>
    <row r="2774">
      <c r="A2774" s="14">
        <v>215.0</v>
      </c>
      <c r="B2774" s="14">
        <v>5.1512311E7</v>
      </c>
      <c r="C2774" s="14">
        <v>2.04841637E8</v>
      </c>
      <c r="D2774" s="2" t="s">
        <v>2966</v>
      </c>
      <c r="E2774" s="1" t="s">
        <v>699</v>
      </c>
      <c r="F2774" s="14">
        <v>0.25</v>
      </c>
      <c r="G2774" s="15"/>
      <c r="H2774" s="16"/>
      <c r="I2774" s="14"/>
    </row>
    <row r="2775">
      <c r="A2775" s="14">
        <v>602.0</v>
      </c>
      <c r="B2775" s="14">
        <v>7.7969736E7</v>
      </c>
      <c r="C2775" s="14">
        <v>3.46148343E8</v>
      </c>
      <c r="D2775" s="2" t="s">
        <v>1864</v>
      </c>
      <c r="E2775" s="1" t="s">
        <v>699</v>
      </c>
      <c r="F2775" s="14">
        <v>0.25</v>
      </c>
      <c r="G2775" s="15"/>
      <c r="H2775" s="16"/>
      <c r="I2775" s="14"/>
    </row>
    <row r="2776">
      <c r="A2776" s="14">
        <v>409.0</v>
      </c>
      <c r="B2776" s="14">
        <v>1.1307028E7</v>
      </c>
      <c r="C2776" s="14">
        <v>4.8092575E7</v>
      </c>
      <c r="D2776" s="2" t="s">
        <v>4296</v>
      </c>
      <c r="E2776" s="1" t="s">
        <v>121</v>
      </c>
      <c r="F2776" s="14">
        <v>0.25</v>
      </c>
      <c r="G2776" s="15"/>
      <c r="H2776" s="16"/>
      <c r="I2776" s="14"/>
    </row>
    <row r="2777">
      <c r="A2777" s="14">
        <v>244.0</v>
      </c>
      <c r="B2777" s="14">
        <v>1.5667487E7</v>
      </c>
      <c r="C2777" s="14">
        <v>6.6582163E7</v>
      </c>
      <c r="D2777" s="2" t="s">
        <v>4056</v>
      </c>
      <c r="E2777" s="1" t="s">
        <v>121</v>
      </c>
      <c r="F2777" s="14">
        <v>0.25</v>
      </c>
      <c r="G2777" s="15"/>
      <c r="H2777" s="16"/>
      <c r="I2777" s="14"/>
    </row>
    <row r="2778">
      <c r="A2778" s="14">
        <v>503.0</v>
      </c>
      <c r="B2778" s="14">
        <v>3.0063308E7</v>
      </c>
      <c r="C2778" s="14">
        <v>1.20739589E8</v>
      </c>
      <c r="D2778" s="2" t="s">
        <v>3582</v>
      </c>
      <c r="E2778" s="1" t="s">
        <v>121</v>
      </c>
      <c r="F2778" s="14">
        <v>0.25</v>
      </c>
      <c r="G2778" s="15"/>
      <c r="H2778" s="16"/>
      <c r="I2778" s="14"/>
    </row>
    <row r="2779">
      <c r="A2779" s="14">
        <v>288.0</v>
      </c>
      <c r="B2779" s="14">
        <v>6.6852278E7</v>
      </c>
      <c r="C2779" s="14">
        <v>2.73899602E8</v>
      </c>
      <c r="D2779" s="2" t="s">
        <v>2396</v>
      </c>
      <c r="E2779" s="1" t="s">
        <v>121</v>
      </c>
      <c r="F2779" s="14">
        <v>0.25</v>
      </c>
      <c r="G2779" s="15"/>
      <c r="H2779" s="16"/>
      <c r="I2779" s="14"/>
    </row>
    <row r="2780">
      <c r="A2780" s="14">
        <v>671.0</v>
      </c>
      <c r="B2780" s="14">
        <v>8.0816348E7</v>
      </c>
      <c r="C2780" s="14">
        <v>3.3820242E8</v>
      </c>
      <c r="D2780" s="2" t="s">
        <v>1702</v>
      </c>
      <c r="E2780" s="1" t="s">
        <v>121</v>
      </c>
      <c r="F2780" s="14">
        <v>0.25</v>
      </c>
      <c r="G2780" s="15"/>
      <c r="H2780" s="16"/>
      <c r="I2780" s="14"/>
    </row>
    <row r="2781">
      <c r="A2781" s="14">
        <v>602.0</v>
      </c>
      <c r="B2781" s="14">
        <v>7.8007897E7</v>
      </c>
      <c r="C2781" s="14">
        <v>3.24661528E8</v>
      </c>
      <c r="D2781" s="2" t="s">
        <v>1858</v>
      </c>
      <c r="E2781" s="1" t="s">
        <v>121</v>
      </c>
      <c r="F2781" s="14">
        <v>0.2481</v>
      </c>
      <c r="G2781" s="15"/>
      <c r="H2781" s="16"/>
      <c r="I2781" s="14"/>
    </row>
    <row r="2782">
      <c r="A2782" s="14">
        <v>410.0</v>
      </c>
      <c r="B2782" s="14">
        <v>5.7194553E7</v>
      </c>
      <c r="C2782" s="14">
        <v>2.27644311E8</v>
      </c>
      <c r="D2782" s="2" t="s">
        <v>2775</v>
      </c>
      <c r="E2782" s="1" t="s">
        <v>121</v>
      </c>
      <c r="F2782" s="14">
        <v>0.248</v>
      </c>
      <c r="G2782" s="15"/>
      <c r="H2782" s="16"/>
      <c r="I2782" s="14"/>
    </row>
    <row r="2783">
      <c r="A2783" s="14">
        <v>488.0</v>
      </c>
      <c r="B2783" s="14">
        <v>1.3537066E7</v>
      </c>
      <c r="C2783" s="14">
        <v>5.7409715E7</v>
      </c>
      <c r="D2783" s="2" t="s">
        <v>4185</v>
      </c>
      <c r="E2783" s="1" t="s">
        <v>699</v>
      </c>
      <c r="F2783" s="14">
        <v>0.2477</v>
      </c>
      <c r="G2783" s="15"/>
      <c r="H2783" s="16"/>
      <c r="I2783" s="14"/>
    </row>
    <row r="2784">
      <c r="A2784" s="14">
        <v>665.0</v>
      </c>
      <c r="B2784" s="14">
        <v>1.5217767E7</v>
      </c>
      <c r="C2784" s="14">
        <v>6.4649225E7</v>
      </c>
      <c r="D2784" s="2" t="s">
        <v>4081</v>
      </c>
      <c r="E2784" s="1" t="s">
        <v>121</v>
      </c>
      <c r="F2784" s="14">
        <v>0.2473</v>
      </c>
      <c r="G2784" s="15"/>
      <c r="H2784" s="16"/>
      <c r="I2784" s="14"/>
    </row>
    <row r="2785">
      <c r="A2785" s="14">
        <v>525.0</v>
      </c>
      <c r="B2785" s="14">
        <v>1622727.0</v>
      </c>
      <c r="C2785" s="14">
        <v>7114476.0</v>
      </c>
      <c r="D2785" s="2" t="s">
        <v>4936</v>
      </c>
      <c r="E2785" s="1" t="s">
        <v>699</v>
      </c>
      <c r="F2785" s="14">
        <v>0.2472</v>
      </c>
      <c r="G2785" s="15"/>
      <c r="H2785" s="16"/>
      <c r="I2785" s="14"/>
    </row>
    <row r="2786">
      <c r="A2786" s="14">
        <v>492.0</v>
      </c>
      <c r="B2786" s="14">
        <v>5727958.0</v>
      </c>
      <c r="C2786" s="14">
        <v>2.4505644E7</v>
      </c>
      <c r="D2786" s="2" t="s">
        <v>4723</v>
      </c>
      <c r="E2786" s="1" t="s">
        <v>121</v>
      </c>
      <c r="F2786" s="14">
        <v>0.246</v>
      </c>
      <c r="G2786" s="15"/>
      <c r="H2786" s="16"/>
      <c r="I2786" s="14"/>
    </row>
    <row r="2787">
      <c r="A2787" s="14">
        <v>320.0</v>
      </c>
      <c r="B2787" s="14">
        <v>1.6758449E7</v>
      </c>
      <c r="C2787" s="14">
        <v>7.0963847E7</v>
      </c>
      <c r="D2787" s="2" t="s">
        <v>3987</v>
      </c>
      <c r="E2787" s="1" t="s">
        <v>121</v>
      </c>
      <c r="F2787" s="14">
        <v>0.2458</v>
      </c>
      <c r="G2787" s="15"/>
      <c r="H2787" s="16"/>
      <c r="I2787" s="14"/>
    </row>
    <row r="2788">
      <c r="A2788" s="14">
        <v>673.0</v>
      </c>
      <c r="B2788" s="14">
        <v>2.7911802E7</v>
      </c>
      <c r="C2788" s="14">
        <v>1.12521891E8</v>
      </c>
      <c r="D2788" s="2" t="s">
        <v>3651</v>
      </c>
      <c r="E2788" s="1" t="s">
        <v>121</v>
      </c>
      <c r="F2788" s="14">
        <v>0.2458</v>
      </c>
      <c r="G2788" s="15"/>
      <c r="H2788" s="16"/>
      <c r="I2788" s="14"/>
    </row>
    <row r="2789">
      <c r="A2789" s="14">
        <v>244.0</v>
      </c>
      <c r="B2789" s="14">
        <v>8769588.0</v>
      </c>
      <c r="C2789" s="14">
        <v>3.7168426E7</v>
      </c>
      <c r="D2789" s="2" t="s">
        <v>4491</v>
      </c>
      <c r="E2789" s="1" t="s">
        <v>121</v>
      </c>
      <c r="F2789" s="14">
        <v>0.2418</v>
      </c>
      <c r="G2789" s="15"/>
      <c r="H2789" s="16"/>
      <c r="I2789" s="14"/>
    </row>
    <row r="2790">
      <c r="A2790" s="14">
        <v>571.0</v>
      </c>
      <c r="B2790" s="14">
        <v>1.06188519E8</v>
      </c>
      <c r="C2790" s="14">
        <v>4.57923749E8</v>
      </c>
      <c r="D2790" s="2" t="s">
        <v>303</v>
      </c>
      <c r="E2790" s="1" t="s">
        <v>121</v>
      </c>
      <c r="F2790" s="14">
        <v>0.2411</v>
      </c>
      <c r="G2790" s="15"/>
      <c r="H2790" s="16"/>
      <c r="I2790" s="14"/>
    </row>
    <row r="2791">
      <c r="A2791" s="14">
        <v>238.0</v>
      </c>
      <c r="B2791" s="14">
        <v>396475.0</v>
      </c>
      <c r="C2791" s="14">
        <v>1758811.0</v>
      </c>
      <c r="D2791" s="2" t="s">
        <v>4940</v>
      </c>
      <c r="E2791" s="1" t="s">
        <v>121</v>
      </c>
      <c r="F2791" s="14">
        <v>0.2393</v>
      </c>
      <c r="G2791" s="15"/>
      <c r="H2791" s="16"/>
      <c r="I2791" s="14"/>
    </row>
    <row r="2792">
      <c r="A2792" s="14">
        <v>215.0</v>
      </c>
      <c r="B2792" s="14">
        <v>3134627.0</v>
      </c>
      <c r="C2792" s="14">
        <v>1.3336445E7</v>
      </c>
      <c r="D2792" s="2" t="s">
        <v>4941</v>
      </c>
      <c r="E2792" s="1" t="s">
        <v>121</v>
      </c>
      <c r="F2792" s="14">
        <v>0.2388</v>
      </c>
      <c r="G2792" s="15"/>
      <c r="H2792" s="16"/>
      <c r="I2792" s="14"/>
    </row>
    <row r="2793">
      <c r="A2793" s="14">
        <v>194.0</v>
      </c>
      <c r="B2793" s="14">
        <v>6816190.0</v>
      </c>
      <c r="C2793" s="14">
        <v>2.8986538E7</v>
      </c>
      <c r="D2793" s="2" t="s">
        <v>4632</v>
      </c>
      <c r="E2793" s="1" t="s">
        <v>107</v>
      </c>
      <c r="F2793" s="14">
        <v>0.2382</v>
      </c>
      <c r="G2793" s="15"/>
      <c r="H2793" s="16"/>
      <c r="I2793" s="14"/>
    </row>
    <row r="2794">
      <c r="A2794" s="14">
        <v>602.0</v>
      </c>
      <c r="B2794" s="14">
        <v>9462920.0</v>
      </c>
      <c r="C2794" s="14">
        <v>4.0196797E7</v>
      </c>
      <c r="D2794" s="2" t="s">
        <v>4433</v>
      </c>
      <c r="E2794" s="1" t="s">
        <v>121</v>
      </c>
      <c r="F2794" s="14">
        <v>0.2382</v>
      </c>
      <c r="G2794" s="15"/>
      <c r="H2794" s="16"/>
      <c r="I2794" s="14"/>
    </row>
    <row r="2795">
      <c r="A2795" s="14">
        <v>414.0</v>
      </c>
      <c r="B2795" s="14">
        <v>1.4919862E7</v>
      </c>
      <c r="C2795" s="14">
        <v>6.3404045E7</v>
      </c>
      <c r="D2795" s="2" t="s">
        <v>4110</v>
      </c>
      <c r="E2795" s="1" t="s">
        <v>121</v>
      </c>
      <c r="F2795" s="14">
        <v>0.2382</v>
      </c>
      <c r="G2795" s="15"/>
      <c r="H2795" s="16"/>
      <c r="I2795" s="14"/>
    </row>
    <row r="2796">
      <c r="A2796" s="14">
        <v>715.0</v>
      </c>
      <c r="B2796" s="14">
        <v>8.4998683E7</v>
      </c>
      <c r="C2796" s="14">
        <v>3.58945518E8</v>
      </c>
      <c r="D2796" s="2" t="s">
        <v>1430</v>
      </c>
      <c r="E2796" s="1" t="s">
        <v>121</v>
      </c>
      <c r="F2796" s="14">
        <v>0.2382</v>
      </c>
      <c r="G2796" s="15"/>
      <c r="H2796" s="16"/>
      <c r="I2796" s="14"/>
    </row>
    <row r="2797">
      <c r="A2797" s="14">
        <v>470.0</v>
      </c>
      <c r="B2797" s="14">
        <v>9.5878727E7</v>
      </c>
      <c r="C2797" s="14">
        <v>4.08841964E8</v>
      </c>
      <c r="D2797" s="2" t="s">
        <v>831</v>
      </c>
      <c r="E2797" s="1" t="s">
        <v>121</v>
      </c>
      <c r="F2797" s="14">
        <v>0.2382</v>
      </c>
      <c r="G2797" s="15"/>
      <c r="H2797" s="16"/>
      <c r="I2797" s="14"/>
    </row>
    <row r="2798">
      <c r="A2798" s="14">
        <v>587.0</v>
      </c>
      <c r="B2798" s="14">
        <v>1.09657484E8</v>
      </c>
      <c r="C2798" s="14">
        <v>4.74695531E8</v>
      </c>
      <c r="D2798" s="2" t="s">
        <v>103</v>
      </c>
      <c r="E2798" s="1" t="s">
        <v>121</v>
      </c>
      <c r="F2798" s="14">
        <v>0.2382</v>
      </c>
      <c r="G2798" s="15"/>
      <c r="H2798" s="16"/>
      <c r="I2798" s="14"/>
    </row>
    <row r="2799">
      <c r="A2799" s="14">
        <v>669.0</v>
      </c>
      <c r="B2799" s="14">
        <v>1.3525784E7</v>
      </c>
      <c r="C2799" s="14">
        <v>5.7415017E7</v>
      </c>
      <c r="D2799" s="2" t="s">
        <v>4186</v>
      </c>
      <c r="E2799" s="1" t="s">
        <v>699</v>
      </c>
      <c r="F2799" s="14">
        <v>0.2363</v>
      </c>
      <c r="G2799" s="15"/>
      <c r="H2799" s="16"/>
      <c r="I2799" s="14"/>
    </row>
    <row r="2800">
      <c r="A2800" s="14">
        <v>601.0</v>
      </c>
      <c r="B2800" s="14">
        <v>8.0794734E7</v>
      </c>
      <c r="C2800" s="14">
        <v>3.37911548E8</v>
      </c>
      <c r="D2800" s="2" t="s">
        <v>1706</v>
      </c>
      <c r="E2800" s="1" t="s">
        <v>121</v>
      </c>
      <c r="F2800" s="14">
        <v>0.2363</v>
      </c>
      <c r="G2800" s="15"/>
      <c r="H2800" s="16"/>
      <c r="I2800" s="14"/>
    </row>
    <row r="2801">
      <c r="A2801" s="14">
        <v>410.0</v>
      </c>
      <c r="B2801" s="14">
        <v>2.6659924E7</v>
      </c>
      <c r="C2801" s="14">
        <v>1.08158369E8</v>
      </c>
      <c r="D2801" s="2" t="s">
        <v>3690</v>
      </c>
      <c r="E2801" s="1" t="s">
        <v>121</v>
      </c>
      <c r="F2801" s="14">
        <v>0.2354</v>
      </c>
      <c r="G2801" s="15"/>
      <c r="H2801" s="16"/>
      <c r="I2801" s="14"/>
    </row>
    <row r="2802">
      <c r="A2802" s="14">
        <v>394.0</v>
      </c>
      <c r="B2802" s="14">
        <v>5.6860579E7</v>
      </c>
      <c r="C2802" s="14">
        <v>2.26160858E8</v>
      </c>
      <c r="D2802" s="2" t="s">
        <v>2794</v>
      </c>
      <c r="E2802" s="1" t="s">
        <v>121</v>
      </c>
      <c r="F2802" s="14">
        <v>0.2323</v>
      </c>
      <c r="G2802" s="15"/>
      <c r="H2802" s="16"/>
      <c r="I2802" s="14"/>
    </row>
    <row r="2803">
      <c r="A2803" s="14">
        <v>414.0</v>
      </c>
      <c r="B2803" s="14">
        <v>1.160753E7</v>
      </c>
      <c r="C2803" s="14">
        <v>4.9501272E7</v>
      </c>
      <c r="D2803" s="2" t="s">
        <v>4278</v>
      </c>
      <c r="E2803" s="1" t="s">
        <v>121</v>
      </c>
      <c r="F2803" s="14">
        <v>0.2313</v>
      </c>
      <c r="G2803" s="15"/>
      <c r="H2803" s="16"/>
      <c r="I2803" s="14"/>
    </row>
    <row r="2804">
      <c r="A2804" s="14">
        <v>593.0</v>
      </c>
      <c r="B2804" s="14">
        <v>6.4172684E7</v>
      </c>
      <c r="C2804" s="14">
        <v>2.60735696E8</v>
      </c>
      <c r="D2804" s="2" t="s">
        <v>2526</v>
      </c>
      <c r="E2804" s="1" t="s">
        <v>121</v>
      </c>
      <c r="F2804" s="14">
        <v>0.2289</v>
      </c>
      <c r="G2804" s="15"/>
      <c r="H2804" s="16"/>
      <c r="I2804" s="14"/>
    </row>
    <row r="2805">
      <c r="A2805" s="14">
        <v>337.0</v>
      </c>
      <c r="B2805" s="14">
        <v>5599262.0</v>
      </c>
      <c r="C2805" s="14">
        <v>2.3970644E7</v>
      </c>
      <c r="D2805" s="2" t="s">
        <v>4732</v>
      </c>
      <c r="E2805" s="1" t="s">
        <v>121</v>
      </c>
      <c r="F2805" s="14">
        <v>0.2271</v>
      </c>
      <c r="G2805" s="15"/>
      <c r="H2805" s="16"/>
      <c r="I2805" s="14"/>
    </row>
    <row r="2806">
      <c r="A2806" s="14">
        <v>609.0</v>
      </c>
      <c r="B2806" s="14">
        <v>1.7365926E7</v>
      </c>
      <c r="C2806" s="14">
        <v>1.31452586E8</v>
      </c>
      <c r="D2806" s="2" t="s">
        <v>3963</v>
      </c>
      <c r="E2806" s="1" t="s">
        <v>699</v>
      </c>
      <c r="F2806" s="14">
        <v>0.2263</v>
      </c>
      <c r="G2806" s="15"/>
      <c r="H2806" s="16"/>
      <c r="I2806" s="14"/>
    </row>
    <row r="2807">
      <c r="A2807" s="14">
        <v>285.0</v>
      </c>
      <c r="B2807" s="14">
        <v>786534.0</v>
      </c>
      <c r="C2807" s="14">
        <v>3754637.0</v>
      </c>
      <c r="D2807" s="2" t="s">
        <v>4951</v>
      </c>
      <c r="E2807" s="1" t="s">
        <v>121</v>
      </c>
      <c r="F2807" s="14">
        <v>0.2263</v>
      </c>
      <c r="G2807" s="15"/>
      <c r="H2807" s="16"/>
      <c r="I2807" s="14"/>
    </row>
    <row r="2808">
      <c r="A2808" s="14">
        <v>602.0</v>
      </c>
      <c r="B2808" s="14">
        <v>2899066.0</v>
      </c>
      <c r="C2808" s="14">
        <v>1.2333559E7</v>
      </c>
      <c r="D2808" s="2" t="s">
        <v>4952</v>
      </c>
      <c r="E2808" s="1" t="s">
        <v>121</v>
      </c>
      <c r="F2808" s="14">
        <v>0.2263</v>
      </c>
      <c r="G2808" s="15"/>
      <c r="H2808" s="16"/>
      <c r="I2808" s="14"/>
    </row>
    <row r="2809">
      <c r="A2809" s="14">
        <v>120.0</v>
      </c>
      <c r="B2809" s="14">
        <v>5770687.0</v>
      </c>
      <c r="C2809" s="14">
        <v>2.4705976E7</v>
      </c>
      <c r="D2809" s="2" t="s">
        <v>4721</v>
      </c>
      <c r="E2809" s="1" t="s">
        <v>121</v>
      </c>
      <c r="F2809" s="14">
        <v>0.2263</v>
      </c>
      <c r="G2809" s="15"/>
      <c r="H2809" s="16"/>
      <c r="I2809" s="14"/>
    </row>
    <row r="2810">
      <c r="A2810" s="14">
        <v>597.0</v>
      </c>
      <c r="B2810" s="14">
        <v>6618032.0</v>
      </c>
      <c r="C2810" s="14">
        <v>2.8155487E7</v>
      </c>
      <c r="D2810" s="2" t="s">
        <v>4651</v>
      </c>
      <c r="E2810" s="1" t="s">
        <v>121</v>
      </c>
      <c r="F2810" s="14">
        <v>0.2263</v>
      </c>
      <c r="G2810" s="15"/>
      <c r="H2810" s="16"/>
      <c r="I2810" s="14"/>
    </row>
    <row r="2811">
      <c r="A2811" s="14">
        <v>665.0</v>
      </c>
      <c r="B2811" s="14">
        <v>7636002.0</v>
      </c>
      <c r="C2811" s="14">
        <v>4.27960332E8</v>
      </c>
      <c r="D2811" s="2" t="s">
        <v>4564</v>
      </c>
      <c r="E2811" s="1" t="s">
        <v>121</v>
      </c>
      <c r="F2811" s="14">
        <v>0.2263</v>
      </c>
      <c r="G2811" s="15"/>
      <c r="H2811" s="16"/>
      <c r="I2811" s="14"/>
    </row>
    <row r="2812">
      <c r="A2812" s="14">
        <v>395.0</v>
      </c>
      <c r="B2812" s="14">
        <v>1.2681778E7</v>
      </c>
      <c r="C2812" s="14">
        <v>5.3843368E7</v>
      </c>
      <c r="D2812" s="2" t="s">
        <v>4229</v>
      </c>
      <c r="E2812" s="1" t="s">
        <v>121</v>
      </c>
      <c r="F2812" s="14">
        <v>0.2263</v>
      </c>
      <c r="G2812" s="15"/>
      <c r="H2812" s="16"/>
      <c r="I2812" s="14"/>
    </row>
    <row r="2813">
      <c r="A2813" s="14">
        <v>414.0</v>
      </c>
      <c r="B2813" s="14">
        <v>2.1106501E7</v>
      </c>
      <c r="C2813" s="14">
        <v>8.7451411E7</v>
      </c>
      <c r="D2813" s="2" t="s">
        <v>3828</v>
      </c>
      <c r="E2813" s="1" t="s">
        <v>121</v>
      </c>
      <c r="F2813" s="14">
        <v>0.2263</v>
      </c>
      <c r="G2813" s="15"/>
      <c r="H2813" s="16"/>
      <c r="I2813" s="14"/>
    </row>
    <row r="2814">
      <c r="A2814" s="14">
        <v>414.0</v>
      </c>
      <c r="B2814" s="14">
        <v>3.438824E7</v>
      </c>
      <c r="C2814" s="14">
        <v>1.37346387E8</v>
      </c>
      <c r="D2814" s="2" t="s">
        <v>3494</v>
      </c>
      <c r="E2814" s="1" t="s">
        <v>121</v>
      </c>
      <c r="F2814" s="14">
        <v>0.2263</v>
      </c>
      <c r="G2814" s="15"/>
      <c r="H2814" s="16"/>
      <c r="I2814" s="14"/>
    </row>
    <row r="2815">
      <c r="A2815" s="14">
        <v>410.0</v>
      </c>
      <c r="B2815" s="14">
        <v>3.6837837E7</v>
      </c>
      <c r="C2815" s="14">
        <v>1.46879608E8</v>
      </c>
      <c r="D2815" s="2" t="s">
        <v>3449</v>
      </c>
      <c r="E2815" s="1" t="s">
        <v>121</v>
      </c>
      <c r="F2815" s="14">
        <v>0.2263</v>
      </c>
      <c r="G2815" s="15"/>
      <c r="H2815" s="16"/>
      <c r="I2815" s="14"/>
    </row>
    <row r="2816">
      <c r="A2816" s="14">
        <v>462.0</v>
      </c>
      <c r="B2816" s="14">
        <v>7.2695275E7</v>
      </c>
      <c r="C2816" s="14">
        <v>3.00743269E8</v>
      </c>
      <c r="D2816" s="2" t="s">
        <v>2093</v>
      </c>
      <c r="E2816" s="1" t="s">
        <v>121</v>
      </c>
      <c r="F2816" s="14">
        <v>0.2263</v>
      </c>
      <c r="G2816" s="15"/>
      <c r="H2816" s="16"/>
      <c r="I2816" s="14"/>
    </row>
    <row r="2817">
      <c r="A2817" s="14">
        <v>720.0</v>
      </c>
      <c r="B2817" s="14">
        <v>7.6704814E7</v>
      </c>
      <c r="C2817" s="14">
        <v>3.18437907E8</v>
      </c>
      <c r="D2817" s="2" t="s">
        <v>1933</v>
      </c>
      <c r="E2817" s="1" t="s">
        <v>121</v>
      </c>
      <c r="F2817" s="14">
        <v>0.2263</v>
      </c>
      <c r="G2817" s="15"/>
      <c r="H2817" s="16"/>
      <c r="I2817" s="14"/>
    </row>
    <row r="2818">
      <c r="A2818" s="14">
        <v>285.0</v>
      </c>
      <c r="B2818" s="14">
        <v>1233062.0</v>
      </c>
      <c r="C2818" s="14">
        <v>5501681.0</v>
      </c>
      <c r="D2818" s="2" t="s">
        <v>4958</v>
      </c>
      <c r="E2818" s="1" t="s">
        <v>121</v>
      </c>
      <c r="F2818" s="14">
        <v>0.2255</v>
      </c>
      <c r="G2818" s="15"/>
      <c r="H2818" s="16"/>
      <c r="I2818" s="14"/>
    </row>
    <row r="2819">
      <c r="A2819" s="14">
        <v>403.0</v>
      </c>
      <c r="B2819" s="14">
        <v>7.9442267E7</v>
      </c>
      <c r="C2819" s="14">
        <v>3.31365511E8</v>
      </c>
      <c r="D2819" s="2" t="s">
        <v>1768</v>
      </c>
      <c r="E2819" s="1" t="s">
        <v>121</v>
      </c>
      <c r="F2819" s="14">
        <v>0.2247</v>
      </c>
      <c r="G2819" s="15"/>
      <c r="H2819" s="16"/>
      <c r="I2819" s="14"/>
    </row>
    <row r="2820">
      <c r="A2820" s="14">
        <v>355.0</v>
      </c>
      <c r="B2820" s="14">
        <v>8.2435735E7</v>
      </c>
      <c r="C2820" s="14">
        <v>3.45576538E8</v>
      </c>
      <c r="D2820" s="2" t="s">
        <v>1602</v>
      </c>
      <c r="E2820" s="1" t="s">
        <v>699</v>
      </c>
      <c r="F2820" s="14">
        <v>0.2244</v>
      </c>
      <c r="G2820" s="15"/>
      <c r="H2820" s="16"/>
      <c r="I2820" s="14"/>
    </row>
    <row r="2821">
      <c r="A2821" s="14">
        <v>407.0</v>
      </c>
      <c r="B2821" s="14">
        <v>5.0153582E7</v>
      </c>
      <c r="C2821" s="14">
        <v>1.98461944E8</v>
      </c>
      <c r="D2821" s="2" t="s">
        <v>3018</v>
      </c>
      <c r="E2821" s="1" t="s">
        <v>699</v>
      </c>
      <c r="F2821" s="14">
        <v>0.2235</v>
      </c>
      <c r="G2821" s="15"/>
      <c r="H2821" s="16"/>
      <c r="I2821" s="14"/>
    </row>
    <row r="2822">
      <c r="A2822" s="14">
        <v>355.0</v>
      </c>
      <c r="B2822" s="14">
        <v>4.3837301E7</v>
      </c>
      <c r="C2822" s="14">
        <v>1.73288017E8</v>
      </c>
      <c r="D2822" s="2" t="s">
        <v>3273</v>
      </c>
      <c r="E2822" s="1" t="s">
        <v>121</v>
      </c>
      <c r="F2822" s="14">
        <v>0.2235</v>
      </c>
      <c r="G2822" s="15"/>
      <c r="H2822" s="16"/>
      <c r="I2822" s="14"/>
    </row>
    <row r="2823">
      <c r="A2823" s="14">
        <v>628.0</v>
      </c>
      <c r="B2823" s="14">
        <v>4.7862405E7</v>
      </c>
      <c r="C2823" s="14">
        <v>1.89282923E8</v>
      </c>
      <c r="D2823" s="2" t="s">
        <v>3118</v>
      </c>
      <c r="E2823" s="1" t="s">
        <v>121</v>
      </c>
      <c r="F2823" s="14">
        <v>0.2235</v>
      </c>
      <c r="G2823" s="15"/>
      <c r="H2823" s="16"/>
      <c r="I2823" s="14"/>
    </row>
    <row r="2824">
      <c r="A2824" s="14">
        <v>671.0</v>
      </c>
      <c r="B2824" s="14">
        <v>6842955.0</v>
      </c>
      <c r="C2824" s="14">
        <v>2.9086626E7</v>
      </c>
      <c r="D2824" s="2" t="s">
        <v>4627</v>
      </c>
      <c r="E2824" s="1" t="s">
        <v>121</v>
      </c>
      <c r="F2824" s="14">
        <v>0.2225</v>
      </c>
      <c r="G2824" s="15"/>
      <c r="H2824" s="16"/>
      <c r="I2824" s="14"/>
    </row>
    <row r="2825">
      <c r="A2825" s="14">
        <v>410.0</v>
      </c>
      <c r="B2825" s="14">
        <v>3547011.0</v>
      </c>
      <c r="C2825" s="14">
        <v>1.5038294E7</v>
      </c>
      <c r="D2825" s="2" t="s">
        <v>4917</v>
      </c>
      <c r="E2825" s="1" t="s">
        <v>121</v>
      </c>
      <c r="F2825" s="14">
        <v>0.2211</v>
      </c>
      <c r="G2825" s="15"/>
      <c r="H2825" s="16"/>
      <c r="I2825" s="14"/>
    </row>
    <row r="2826">
      <c r="A2826" s="14">
        <v>154.0</v>
      </c>
      <c r="B2826" s="14">
        <v>1173246.0</v>
      </c>
      <c r="C2826" s="14">
        <v>5273959.0</v>
      </c>
      <c r="D2826" s="2" t="s">
        <v>4965</v>
      </c>
      <c r="E2826" s="1" t="s">
        <v>121</v>
      </c>
      <c r="F2826" s="14">
        <v>0.2165</v>
      </c>
      <c r="G2826" s="15"/>
      <c r="H2826" s="16"/>
      <c r="I2826" s="14"/>
    </row>
    <row r="2827">
      <c r="A2827" s="14">
        <v>603.0</v>
      </c>
      <c r="B2827" s="14">
        <v>7079510.0</v>
      </c>
      <c r="C2827" s="14">
        <v>3.0050995E7</v>
      </c>
      <c r="D2827" s="2" t="s">
        <v>4601</v>
      </c>
      <c r="E2827" s="1" t="s">
        <v>121</v>
      </c>
      <c r="F2827" s="14">
        <v>0.2153</v>
      </c>
      <c r="G2827" s="15"/>
      <c r="H2827" s="16"/>
      <c r="I2827" s="14"/>
    </row>
    <row r="2828">
      <c r="A2828" s="14">
        <v>476.0</v>
      </c>
      <c r="B2828" s="14">
        <v>7483092.0</v>
      </c>
      <c r="C2828" s="14">
        <v>3.1895496E7</v>
      </c>
      <c r="D2828" s="2" t="s">
        <v>4576</v>
      </c>
      <c r="E2828" s="1" t="s">
        <v>699</v>
      </c>
      <c r="F2828" s="14">
        <v>0.2144</v>
      </c>
      <c r="G2828" s="15"/>
      <c r="H2828" s="16"/>
      <c r="I2828" s="14"/>
    </row>
    <row r="2829">
      <c r="A2829" s="14">
        <v>608.0</v>
      </c>
      <c r="B2829" s="14">
        <v>6433632.0</v>
      </c>
      <c r="C2829" s="14">
        <v>4.9397768E7</v>
      </c>
      <c r="D2829" s="2" t="s">
        <v>4669</v>
      </c>
      <c r="E2829" s="1" t="s">
        <v>121</v>
      </c>
      <c r="F2829" s="14">
        <v>0.2144</v>
      </c>
      <c r="G2829" s="15"/>
      <c r="H2829" s="16"/>
      <c r="I2829" s="14"/>
    </row>
    <row r="2830">
      <c r="A2830" s="14">
        <v>601.0</v>
      </c>
      <c r="B2830" s="14">
        <v>5.8102924E7</v>
      </c>
      <c r="C2830" s="14">
        <v>2.31589105E8</v>
      </c>
      <c r="D2830" s="2" t="s">
        <v>2752</v>
      </c>
      <c r="E2830" s="1" t="s">
        <v>121</v>
      </c>
      <c r="F2830" s="14">
        <v>0.2144</v>
      </c>
      <c r="G2830" s="15"/>
      <c r="H2830" s="16"/>
      <c r="I2830" s="14"/>
    </row>
    <row r="2831">
      <c r="A2831" s="14">
        <v>484.0</v>
      </c>
      <c r="B2831" s="14">
        <v>7.7502639E7</v>
      </c>
      <c r="C2831" s="14">
        <v>3.2223291E8</v>
      </c>
      <c r="D2831" s="2" t="s">
        <v>1893</v>
      </c>
      <c r="E2831" s="1" t="s">
        <v>121</v>
      </c>
      <c r="F2831" s="14">
        <v>0.2135</v>
      </c>
      <c r="G2831" s="15"/>
      <c r="H2831" s="16"/>
      <c r="I2831" s="14"/>
    </row>
    <row r="2832">
      <c r="A2832" s="14">
        <v>337.0</v>
      </c>
      <c r="B2832" s="14">
        <v>7.9670657E7</v>
      </c>
      <c r="C2832" s="14">
        <v>3.33293781E8</v>
      </c>
      <c r="D2832" s="2" t="s">
        <v>1759</v>
      </c>
      <c r="E2832" s="1" t="s">
        <v>699</v>
      </c>
      <c r="F2832" s="14">
        <v>0.2124</v>
      </c>
      <c r="G2832" s="15"/>
      <c r="H2832" s="16"/>
      <c r="I2832" s="14"/>
    </row>
    <row r="2833">
      <c r="A2833" s="14">
        <v>380.0</v>
      </c>
      <c r="B2833" s="14">
        <v>4301281.0</v>
      </c>
      <c r="C2833" s="14">
        <v>1.8261554E7</v>
      </c>
      <c r="D2833" s="2" t="s">
        <v>4850</v>
      </c>
      <c r="E2833" s="1" t="s">
        <v>121</v>
      </c>
      <c r="F2833" s="14">
        <v>0.2124</v>
      </c>
      <c r="G2833" s="15"/>
      <c r="H2833" s="16"/>
      <c r="I2833" s="14"/>
    </row>
    <row r="2834">
      <c r="A2834" s="14">
        <v>204.0</v>
      </c>
      <c r="B2834" s="14">
        <v>4.591364E7</v>
      </c>
      <c r="C2834" s="14">
        <v>1.81188317E8</v>
      </c>
      <c r="D2834" s="2" t="s">
        <v>3218</v>
      </c>
      <c r="E2834" s="1" t="s">
        <v>121</v>
      </c>
      <c r="F2834" s="14">
        <v>0.2093</v>
      </c>
      <c r="G2834" s="15"/>
      <c r="H2834" s="16"/>
      <c r="I2834" s="14"/>
    </row>
    <row r="2835">
      <c r="A2835" s="14">
        <v>410.0</v>
      </c>
      <c r="B2835" s="14">
        <v>3.4989993E7</v>
      </c>
      <c r="C2835" s="14">
        <v>1.39625259E8</v>
      </c>
      <c r="D2835" s="2" t="s">
        <v>3482</v>
      </c>
      <c r="E2835" s="1" t="s">
        <v>121</v>
      </c>
      <c r="F2835" s="14">
        <v>0.2031</v>
      </c>
      <c r="G2835" s="15"/>
      <c r="H2835" s="16"/>
      <c r="I2835" s="14"/>
    </row>
    <row r="2836">
      <c r="A2836" s="14">
        <v>194.0</v>
      </c>
      <c r="B2836" s="14">
        <v>4605494.0</v>
      </c>
      <c r="C2836" s="14">
        <v>1.9561852E7</v>
      </c>
      <c r="D2836" s="2" t="s">
        <v>4813</v>
      </c>
      <c r="E2836" s="1" t="s">
        <v>107</v>
      </c>
      <c r="F2836" s="14">
        <v>0.2023</v>
      </c>
      <c r="G2836" s="15"/>
      <c r="H2836" s="16"/>
      <c r="I2836" s="14"/>
    </row>
    <row r="2837">
      <c r="A2837" s="14">
        <v>696.0</v>
      </c>
      <c r="B2837" s="14">
        <v>4795696.0</v>
      </c>
      <c r="C2837" s="14">
        <v>2.0396512E7</v>
      </c>
      <c r="D2837" s="2" t="s">
        <v>4804</v>
      </c>
      <c r="E2837" s="1" t="s">
        <v>107</v>
      </c>
      <c r="F2837" s="14">
        <v>0.2023</v>
      </c>
      <c r="G2837" s="15"/>
      <c r="H2837" s="16"/>
      <c r="I2837" s="14"/>
    </row>
    <row r="2838">
      <c r="A2838" s="14">
        <v>504.0</v>
      </c>
      <c r="B2838" s="14">
        <v>5613552.0</v>
      </c>
      <c r="C2838" s="14">
        <v>2.4033776E7</v>
      </c>
      <c r="D2838" s="2" t="s">
        <v>4731</v>
      </c>
      <c r="E2838" s="1" t="s">
        <v>107</v>
      </c>
      <c r="F2838" s="14">
        <v>0.2023</v>
      </c>
      <c r="G2838" s="15"/>
      <c r="H2838" s="16"/>
      <c r="I2838" s="14"/>
    </row>
    <row r="2839">
      <c r="A2839" s="14">
        <v>601.0</v>
      </c>
      <c r="B2839" s="14">
        <v>3675563.0</v>
      </c>
      <c r="C2839" s="14">
        <v>3.8130666E8</v>
      </c>
      <c r="D2839" s="2" t="s">
        <v>4904</v>
      </c>
      <c r="E2839" s="1" t="s">
        <v>699</v>
      </c>
      <c r="F2839" s="14">
        <v>0.2023</v>
      </c>
      <c r="G2839" s="15"/>
      <c r="H2839" s="16"/>
      <c r="I2839" s="14"/>
    </row>
    <row r="2840">
      <c r="A2840" s="14">
        <v>403.0</v>
      </c>
      <c r="B2840" s="14">
        <v>4251719.0</v>
      </c>
      <c r="C2840" s="14">
        <v>2.72058081E8</v>
      </c>
      <c r="D2840" s="2" t="s">
        <v>4855</v>
      </c>
      <c r="E2840" s="1" t="s">
        <v>699</v>
      </c>
      <c r="F2840" s="14">
        <v>0.2023</v>
      </c>
      <c r="G2840" s="15"/>
      <c r="H2840" s="16"/>
      <c r="I2840" s="14"/>
    </row>
    <row r="2841">
      <c r="A2841" s="14">
        <v>244.0</v>
      </c>
      <c r="B2841" s="14">
        <v>3.6342388E7</v>
      </c>
      <c r="C2841" s="14">
        <v>1.45312945E8</v>
      </c>
      <c r="D2841" s="2" t="s">
        <v>3460</v>
      </c>
      <c r="E2841" s="1" t="s">
        <v>699</v>
      </c>
      <c r="F2841" s="14">
        <v>0.2023</v>
      </c>
      <c r="G2841" s="15"/>
      <c r="H2841" s="16"/>
      <c r="I2841" s="14"/>
    </row>
    <row r="2842">
      <c r="A2842" s="14">
        <v>215.0</v>
      </c>
      <c r="B2842" s="14">
        <v>4.8542731E7</v>
      </c>
      <c r="C2842" s="14">
        <v>1.91728809E8</v>
      </c>
      <c r="D2842" s="2" t="s">
        <v>3077</v>
      </c>
      <c r="E2842" s="1" t="s">
        <v>699</v>
      </c>
      <c r="F2842" s="14">
        <v>0.2023</v>
      </c>
      <c r="G2842" s="15"/>
      <c r="H2842" s="16"/>
      <c r="I2842" s="14"/>
    </row>
    <row r="2843">
      <c r="A2843" s="14">
        <v>401.0</v>
      </c>
      <c r="B2843" s="14">
        <v>2706089.0</v>
      </c>
      <c r="C2843" s="14">
        <v>1.1421553E7</v>
      </c>
      <c r="D2843" s="2" t="s">
        <v>4977</v>
      </c>
      <c r="E2843" s="1" t="s">
        <v>121</v>
      </c>
      <c r="F2843" s="14">
        <v>0.2023</v>
      </c>
      <c r="G2843" s="15"/>
      <c r="H2843" s="16"/>
      <c r="I2843" s="14"/>
    </row>
    <row r="2844">
      <c r="A2844" s="14">
        <v>597.0</v>
      </c>
      <c r="B2844" s="14">
        <v>3430287.0</v>
      </c>
      <c r="C2844" s="14">
        <v>1.4561094E7</v>
      </c>
      <c r="D2844" s="2" t="s">
        <v>4929</v>
      </c>
      <c r="E2844" s="1" t="s">
        <v>121</v>
      </c>
      <c r="F2844" s="14">
        <v>0.2023</v>
      </c>
      <c r="G2844" s="15"/>
      <c r="H2844" s="16"/>
      <c r="I2844" s="14"/>
    </row>
    <row r="2845">
      <c r="A2845" s="14">
        <v>403.0</v>
      </c>
      <c r="B2845" s="14">
        <v>5268787.0</v>
      </c>
      <c r="C2845" s="14">
        <v>3.9218701E7</v>
      </c>
      <c r="D2845" s="2" t="s">
        <v>4764</v>
      </c>
      <c r="E2845" s="1" t="s">
        <v>121</v>
      </c>
      <c r="F2845" s="14">
        <v>0.2023</v>
      </c>
      <c r="G2845" s="15"/>
      <c r="H2845" s="16"/>
      <c r="I2845" s="14"/>
    </row>
    <row r="2846">
      <c r="A2846" s="14">
        <v>671.0</v>
      </c>
      <c r="B2846" s="14">
        <v>1.3618711E7</v>
      </c>
      <c r="C2846" s="14">
        <v>5.7831315E7</v>
      </c>
      <c r="D2846" s="2" t="s">
        <v>4182</v>
      </c>
      <c r="E2846" s="1" t="s">
        <v>121</v>
      </c>
      <c r="F2846" s="14">
        <v>0.2023</v>
      </c>
      <c r="G2846" s="15"/>
      <c r="H2846" s="16"/>
      <c r="I2846" s="14"/>
    </row>
    <row r="2847">
      <c r="A2847" s="14">
        <v>609.0</v>
      </c>
      <c r="B2847" s="14">
        <v>1.8095375E7</v>
      </c>
      <c r="C2847" s="14">
        <v>7.6094623E7</v>
      </c>
      <c r="D2847" s="2" t="s">
        <v>3932</v>
      </c>
      <c r="E2847" s="1" t="s">
        <v>121</v>
      </c>
      <c r="F2847" s="14">
        <v>0.2023</v>
      </c>
      <c r="G2847" s="15"/>
      <c r="H2847" s="16"/>
      <c r="I2847" s="14"/>
    </row>
    <row r="2848">
      <c r="A2848" s="14">
        <v>320.0</v>
      </c>
      <c r="B2848" s="14">
        <v>3.365865E7</v>
      </c>
      <c r="C2848" s="14">
        <v>1.34479289E8</v>
      </c>
      <c r="D2848" s="2" t="s">
        <v>3503</v>
      </c>
      <c r="E2848" s="1" t="s">
        <v>121</v>
      </c>
      <c r="F2848" s="14">
        <v>0.2023</v>
      </c>
      <c r="G2848" s="15"/>
      <c r="H2848" s="16"/>
      <c r="I2848" s="14"/>
    </row>
    <row r="2849">
      <c r="A2849" s="14">
        <v>407.0</v>
      </c>
      <c r="B2849" s="14">
        <v>4.3999551E7</v>
      </c>
      <c r="C2849" s="14">
        <v>1.7385016E8</v>
      </c>
      <c r="D2849" s="2" t="s">
        <v>3270</v>
      </c>
      <c r="E2849" s="1" t="s">
        <v>121</v>
      </c>
      <c r="F2849" s="14">
        <v>0.2023</v>
      </c>
      <c r="G2849" s="15"/>
      <c r="H2849" s="16"/>
      <c r="I2849" s="14"/>
    </row>
    <row r="2850">
      <c r="A2850" s="14">
        <v>645.0</v>
      </c>
      <c r="B2850" s="14">
        <v>6.1165482E7</v>
      </c>
      <c r="C2850" s="14">
        <v>2.46330878E8</v>
      </c>
      <c r="D2850" s="2" t="s">
        <v>2645</v>
      </c>
      <c r="E2850" s="1" t="s">
        <v>121</v>
      </c>
      <c r="F2850" s="14">
        <v>0.2023</v>
      </c>
      <c r="G2850" s="15"/>
      <c r="H2850" s="16"/>
      <c r="I2850" s="14"/>
    </row>
    <row r="2851">
      <c r="A2851" s="14">
        <v>403.0</v>
      </c>
      <c r="B2851" s="14">
        <v>7.2633841E7</v>
      </c>
      <c r="C2851" s="14">
        <v>3.00477975E8</v>
      </c>
      <c r="D2851" s="2" t="s">
        <v>2099</v>
      </c>
      <c r="E2851" s="1" t="s">
        <v>121</v>
      </c>
      <c r="F2851" s="14">
        <v>0.2023</v>
      </c>
      <c r="G2851" s="15"/>
      <c r="H2851" s="16"/>
      <c r="I2851" s="14"/>
    </row>
    <row r="2852">
      <c r="A2852" s="14">
        <v>129.0</v>
      </c>
      <c r="B2852" s="14">
        <v>7.9407502E7</v>
      </c>
      <c r="C2852" s="14">
        <v>3.31415969E8</v>
      </c>
      <c r="D2852" s="2" t="s">
        <v>1775</v>
      </c>
      <c r="E2852" s="1" t="s">
        <v>121</v>
      </c>
      <c r="F2852" s="14">
        <v>0.2023</v>
      </c>
      <c r="G2852" s="15"/>
      <c r="H2852" s="16"/>
      <c r="I2852" s="14"/>
    </row>
    <row r="2853">
      <c r="A2853" s="14">
        <v>355.0</v>
      </c>
      <c r="B2853" s="14">
        <v>7.9540648E7</v>
      </c>
      <c r="C2853" s="14">
        <v>3.31938335E8</v>
      </c>
      <c r="D2853" s="2" t="s">
        <v>1763</v>
      </c>
      <c r="E2853" s="1" t="s">
        <v>121</v>
      </c>
      <c r="F2853" s="14">
        <v>0.2023</v>
      </c>
      <c r="G2853" s="15"/>
      <c r="H2853" s="16"/>
      <c r="I2853" s="14"/>
    </row>
    <row r="2854">
      <c r="A2854" s="14">
        <v>715.0</v>
      </c>
      <c r="B2854" s="14">
        <v>9.0296708E7</v>
      </c>
      <c r="C2854" s="14">
        <v>3.82875276E8</v>
      </c>
      <c r="D2854" s="2" t="s">
        <v>1123</v>
      </c>
      <c r="E2854" s="1" t="s">
        <v>121</v>
      </c>
      <c r="F2854" s="14">
        <v>0.2023</v>
      </c>
      <c r="G2854" s="15"/>
      <c r="H2854" s="16"/>
      <c r="I2854" s="14"/>
    </row>
    <row r="2855">
      <c r="A2855" s="14">
        <v>173.0</v>
      </c>
      <c r="B2855" s="14">
        <v>9.5497386E7</v>
      </c>
      <c r="C2855" s="14">
        <v>4.06854068E8</v>
      </c>
      <c r="D2855" s="2" t="s">
        <v>854</v>
      </c>
      <c r="E2855" s="1" t="s">
        <v>121</v>
      </c>
      <c r="F2855" s="14">
        <v>0.2023</v>
      </c>
      <c r="G2855" s="15"/>
      <c r="H2855" s="16"/>
      <c r="I2855" s="14"/>
    </row>
    <row r="2856">
      <c r="A2856" s="14">
        <v>504.0</v>
      </c>
      <c r="B2856" s="14">
        <v>3.3642194E7</v>
      </c>
      <c r="C2856" s="14">
        <v>1.35307316E8</v>
      </c>
      <c r="D2856" s="2" t="s">
        <v>3504</v>
      </c>
      <c r="E2856" s="1" t="s">
        <v>107</v>
      </c>
      <c r="F2856" s="14">
        <v>0.2003</v>
      </c>
      <c r="G2856" s="15"/>
      <c r="H2856" s="16"/>
      <c r="I2856" s="14"/>
    </row>
    <row r="2857">
      <c r="A2857" s="14">
        <v>228.0</v>
      </c>
      <c r="B2857" s="14">
        <v>862066.0</v>
      </c>
      <c r="C2857" s="14">
        <v>3.4965975E7</v>
      </c>
      <c r="D2857" s="2" t="s">
        <v>4984</v>
      </c>
      <c r="E2857" s="1" t="s">
        <v>121</v>
      </c>
      <c r="F2857" s="14">
        <v>0.2003</v>
      </c>
      <c r="G2857" s="15"/>
      <c r="H2857" s="16"/>
      <c r="I2857" s="14"/>
    </row>
    <row r="2858">
      <c r="A2858" s="14">
        <v>550.0</v>
      </c>
      <c r="B2858" s="14">
        <v>3.6621329E7</v>
      </c>
      <c r="C2858" s="14">
        <v>3.68699268E8</v>
      </c>
      <c r="D2858" s="2" t="s">
        <v>3455</v>
      </c>
      <c r="E2858" s="1" t="s">
        <v>107</v>
      </c>
      <c r="F2858" s="14">
        <v>0.1999</v>
      </c>
      <c r="G2858" s="15"/>
      <c r="H2858" s="16"/>
      <c r="I2858" s="14"/>
    </row>
    <row r="2859">
      <c r="A2859" s="14">
        <v>410.0</v>
      </c>
      <c r="B2859" s="14">
        <v>3.8088119E7</v>
      </c>
      <c r="C2859" s="14">
        <v>1.51183307E8</v>
      </c>
      <c r="D2859" s="2" t="s">
        <v>3431</v>
      </c>
      <c r="E2859" s="1" t="s">
        <v>699</v>
      </c>
      <c r="F2859" s="14">
        <v>0.1999</v>
      </c>
      <c r="G2859" s="15"/>
      <c r="H2859" s="16"/>
      <c r="I2859" s="14"/>
    </row>
    <row r="2860">
      <c r="A2860" s="14">
        <v>602.0</v>
      </c>
      <c r="B2860" s="14">
        <v>6.845457E7</v>
      </c>
      <c r="C2860" s="14">
        <v>2.81264164E8</v>
      </c>
      <c r="D2860" s="2" t="s">
        <v>2314</v>
      </c>
      <c r="E2860" s="1" t="s">
        <v>121</v>
      </c>
      <c r="F2860" s="14">
        <v>0.1994</v>
      </c>
      <c r="G2860" s="15"/>
      <c r="H2860" s="16"/>
      <c r="I2860" s="14"/>
    </row>
    <row r="2861">
      <c r="A2861" s="14">
        <v>712.0</v>
      </c>
      <c r="B2861" s="14">
        <v>2.1929757E7</v>
      </c>
      <c r="C2861" s="14">
        <v>9.0559575E7</v>
      </c>
      <c r="D2861" s="2" t="s">
        <v>3808</v>
      </c>
      <c r="E2861" s="1" t="s">
        <v>121</v>
      </c>
      <c r="F2861" s="14">
        <v>0.1979</v>
      </c>
      <c r="G2861" s="15"/>
      <c r="H2861" s="16"/>
      <c r="I2861" s="14"/>
    </row>
    <row r="2862">
      <c r="A2862" s="14">
        <v>403.0</v>
      </c>
      <c r="B2862" s="14">
        <v>7.8223888E7</v>
      </c>
      <c r="C2862" s="14">
        <v>3.25663571E8</v>
      </c>
      <c r="D2862" s="2" t="s">
        <v>1839</v>
      </c>
      <c r="E2862" s="1" t="s">
        <v>121</v>
      </c>
      <c r="F2862" s="14">
        <v>0.1979</v>
      </c>
      <c r="G2862" s="15"/>
      <c r="H2862" s="16"/>
      <c r="I2862" s="14"/>
    </row>
    <row r="2863">
      <c r="A2863" s="14">
        <v>410.0</v>
      </c>
      <c r="B2863" s="14">
        <v>1194075.0</v>
      </c>
      <c r="C2863" s="14">
        <v>5362750.0</v>
      </c>
      <c r="D2863" s="2" t="s">
        <v>4989</v>
      </c>
      <c r="E2863" s="1" t="s">
        <v>121</v>
      </c>
      <c r="F2863" s="14">
        <v>0.1921</v>
      </c>
      <c r="G2863" s="15"/>
      <c r="H2863" s="16"/>
      <c r="I2863" s="14"/>
    </row>
    <row r="2864">
      <c r="A2864" s="14">
        <v>120.0</v>
      </c>
      <c r="B2864" s="14">
        <v>7349913.0</v>
      </c>
      <c r="C2864" s="14">
        <v>3.1404791E7</v>
      </c>
      <c r="D2864" s="2" t="s">
        <v>4586</v>
      </c>
      <c r="E2864" s="1" t="s">
        <v>107</v>
      </c>
      <c r="F2864" s="14">
        <v>0.1901</v>
      </c>
      <c r="G2864" s="15"/>
      <c r="H2864" s="16"/>
      <c r="I2864" s="14"/>
    </row>
    <row r="2865">
      <c r="A2865" s="14">
        <v>503.0</v>
      </c>
      <c r="B2865" s="14">
        <v>8836368.0</v>
      </c>
      <c r="C2865" s="14">
        <v>3.7877845E7</v>
      </c>
      <c r="D2865" s="2" t="s">
        <v>4485</v>
      </c>
      <c r="E2865" s="1" t="s">
        <v>699</v>
      </c>
      <c r="F2865" s="14">
        <v>0.1901</v>
      </c>
      <c r="G2865" s="15"/>
      <c r="H2865" s="16"/>
      <c r="I2865" s="14"/>
    </row>
    <row r="2866">
      <c r="A2866" s="14">
        <v>671.0</v>
      </c>
      <c r="B2866" s="14">
        <v>4.1566791E7</v>
      </c>
      <c r="C2866" s="14">
        <v>1.64747513E8</v>
      </c>
      <c r="D2866" s="2" t="s">
        <v>3336</v>
      </c>
      <c r="E2866" s="1" t="s">
        <v>121</v>
      </c>
      <c r="F2866" s="14">
        <v>0.1901</v>
      </c>
      <c r="G2866" s="15"/>
      <c r="H2866" s="16"/>
      <c r="I2866" s="14"/>
    </row>
    <row r="2867">
      <c r="A2867" s="14">
        <v>484.0</v>
      </c>
      <c r="B2867" s="14">
        <v>821719.0</v>
      </c>
      <c r="C2867" s="14">
        <v>3.8387531E7</v>
      </c>
      <c r="D2867" s="2" t="s">
        <v>4990</v>
      </c>
      <c r="E2867" s="1" t="s">
        <v>699</v>
      </c>
      <c r="F2867" s="14">
        <v>0.1877</v>
      </c>
      <c r="G2867" s="15"/>
      <c r="H2867" s="16"/>
      <c r="I2867" s="14"/>
    </row>
    <row r="2868">
      <c r="A2868" s="14">
        <v>504.0</v>
      </c>
      <c r="B2868" s="14">
        <v>3065086.0</v>
      </c>
      <c r="C2868" s="14">
        <v>1.2966277E7</v>
      </c>
      <c r="D2868" s="2" t="s">
        <v>4967</v>
      </c>
      <c r="E2868" s="1" t="s">
        <v>121</v>
      </c>
      <c r="F2868" s="14">
        <v>0.1877</v>
      </c>
      <c r="G2868" s="15"/>
      <c r="H2868" s="16"/>
      <c r="I2868" s="14"/>
    </row>
    <row r="2869">
      <c r="A2869" s="14">
        <v>380.0</v>
      </c>
      <c r="B2869" s="14">
        <v>8.8687421E7</v>
      </c>
      <c r="C2869" s="14">
        <v>3.75598665E8</v>
      </c>
      <c r="D2869" s="2" t="s">
        <v>1204</v>
      </c>
      <c r="E2869" s="1" t="s">
        <v>121</v>
      </c>
      <c r="F2869" s="14">
        <v>0.1872</v>
      </c>
      <c r="G2869" s="15"/>
      <c r="H2869" s="16"/>
      <c r="I2869" s="14"/>
    </row>
    <row r="2870">
      <c r="A2870" s="14">
        <v>403.0</v>
      </c>
      <c r="B2870" s="14">
        <v>7.940805E7</v>
      </c>
      <c r="C2870" s="14">
        <v>3.31371206E8</v>
      </c>
      <c r="D2870" s="2" t="s">
        <v>1774</v>
      </c>
      <c r="E2870" s="1" t="s">
        <v>121</v>
      </c>
      <c r="F2870" s="14">
        <v>0.1857</v>
      </c>
      <c r="G2870" s="15"/>
      <c r="H2870" s="16"/>
      <c r="I2870" s="14"/>
    </row>
    <row r="2871">
      <c r="A2871" s="14">
        <v>571.0</v>
      </c>
      <c r="B2871" s="14">
        <v>4082682.0</v>
      </c>
      <c r="C2871" s="14">
        <v>1.7340134E7</v>
      </c>
      <c r="D2871" s="2" t="s">
        <v>4864</v>
      </c>
      <c r="E2871" s="1" t="s">
        <v>121</v>
      </c>
      <c r="F2871" s="14">
        <v>0.184</v>
      </c>
      <c r="G2871" s="15"/>
      <c r="H2871" s="16"/>
      <c r="I2871" s="14"/>
    </row>
    <row r="2872">
      <c r="A2872" s="14">
        <v>664.0</v>
      </c>
      <c r="B2872" s="14">
        <v>1.2701891E7</v>
      </c>
      <c r="C2872" s="14">
        <v>5.3866352E7</v>
      </c>
      <c r="D2872" s="2" t="s">
        <v>4228</v>
      </c>
      <c r="E2872" s="1" t="s">
        <v>121</v>
      </c>
      <c r="F2872" s="14">
        <v>0.1811</v>
      </c>
      <c r="G2872" s="15"/>
      <c r="H2872" s="16"/>
      <c r="I2872" s="14"/>
    </row>
    <row r="2873">
      <c r="A2873" s="14">
        <v>421.0</v>
      </c>
      <c r="B2873" s="14">
        <v>9.0254271E7</v>
      </c>
      <c r="C2873" s="14">
        <v>3.8322093E8</v>
      </c>
      <c r="D2873" s="2" t="s">
        <v>1126</v>
      </c>
      <c r="E2873" s="1" t="s">
        <v>121</v>
      </c>
      <c r="F2873" s="14">
        <v>0.1803</v>
      </c>
      <c r="G2873" s="15"/>
      <c r="H2873" s="16"/>
      <c r="I2873" s="14"/>
    </row>
    <row r="2874">
      <c r="A2874" s="14">
        <v>212.0</v>
      </c>
      <c r="B2874" s="14">
        <v>606304.0</v>
      </c>
      <c r="C2874" s="14">
        <v>2946408.0</v>
      </c>
      <c r="D2874" s="2" t="s">
        <v>4996</v>
      </c>
      <c r="E2874" s="1" t="s">
        <v>699</v>
      </c>
      <c r="F2874" s="14">
        <v>0.1779</v>
      </c>
      <c r="G2874" s="15"/>
      <c r="H2874" s="16"/>
      <c r="I2874" s="14"/>
    </row>
    <row r="2875">
      <c r="A2875" s="14">
        <v>120.0</v>
      </c>
      <c r="B2875" s="14">
        <v>4.3790178E7</v>
      </c>
      <c r="C2875" s="14">
        <v>1.73400281E8</v>
      </c>
      <c r="D2875" s="2" t="s">
        <v>3277</v>
      </c>
      <c r="E2875" s="1" t="s">
        <v>699</v>
      </c>
      <c r="F2875" s="14">
        <v>0.1779</v>
      </c>
      <c r="G2875" s="15"/>
      <c r="H2875" s="16"/>
      <c r="I2875" s="14"/>
    </row>
    <row r="2876">
      <c r="A2876" s="14">
        <v>578.0</v>
      </c>
      <c r="B2876" s="14">
        <v>1.00814642E8</v>
      </c>
      <c r="C2876" s="14">
        <v>4.32679476E8</v>
      </c>
      <c r="D2876" s="2" t="s">
        <v>536</v>
      </c>
      <c r="E2876" s="1" t="s">
        <v>699</v>
      </c>
      <c r="F2876" s="14">
        <v>0.1779</v>
      </c>
      <c r="G2876" s="15"/>
      <c r="H2876" s="16"/>
      <c r="I2876" s="14"/>
    </row>
    <row r="2877">
      <c r="A2877" s="14">
        <v>667.0</v>
      </c>
      <c r="B2877" s="14">
        <v>1.05463207E8</v>
      </c>
      <c r="C2877" s="14">
        <v>4.54362981E8</v>
      </c>
      <c r="D2877" s="2" t="s">
        <v>331</v>
      </c>
      <c r="E2877" s="1" t="s">
        <v>699</v>
      </c>
      <c r="F2877" s="14">
        <v>0.1779</v>
      </c>
      <c r="G2877" s="15"/>
      <c r="H2877" s="16"/>
      <c r="I2877" s="14"/>
    </row>
    <row r="2878">
      <c r="A2878" s="14">
        <v>326.0</v>
      </c>
      <c r="B2878" s="14">
        <v>471850.0</v>
      </c>
      <c r="C2878" s="14">
        <v>2190252.0</v>
      </c>
      <c r="D2878" s="2" t="s">
        <v>5000</v>
      </c>
      <c r="E2878" s="1" t="s">
        <v>121</v>
      </c>
      <c r="F2878" s="14">
        <v>0.1779</v>
      </c>
      <c r="G2878" s="15"/>
      <c r="H2878" s="16"/>
      <c r="I2878" s="14"/>
    </row>
    <row r="2879">
      <c r="A2879" s="14">
        <v>180.0</v>
      </c>
      <c r="B2879" s="14">
        <v>1108827.0</v>
      </c>
      <c r="C2879" s="14">
        <v>5032808.0</v>
      </c>
      <c r="D2879" s="2" t="s">
        <v>5002</v>
      </c>
      <c r="E2879" s="1" t="s">
        <v>121</v>
      </c>
      <c r="F2879" s="14">
        <v>0.1779</v>
      </c>
      <c r="G2879" s="15"/>
      <c r="H2879" s="16"/>
      <c r="I2879" s="14"/>
    </row>
    <row r="2880">
      <c r="A2880" s="14">
        <v>597.0</v>
      </c>
      <c r="B2880" s="14">
        <v>6428515.0</v>
      </c>
      <c r="C2880" s="14">
        <v>2.733731E7</v>
      </c>
      <c r="D2880" s="2" t="s">
        <v>4670</v>
      </c>
      <c r="E2880" s="1" t="s">
        <v>121</v>
      </c>
      <c r="F2880" s="14">
        <v>0.1779</v>
      </c>
      <c r="G2880" s="15"/>
      <c r="H2880" s="16"/>
      <c r="I2880" s="14"/>
    </row>
    <row r="2881">
      <c r="A2881" s="14">
        <v>228.0</v>
      </c>
      <c r="B2881" s="14">
        <v>1.0098435E7</v>
      </c>
      <c r="C2881" s="14">
        <v>4.2907106E7</v>
      </c>
      <c r="D2881" s="2" t="s">
        <v>4393</v>
      </c>
      <c r="E2881" s="1" t="s">
        <v>121</v>
      </c>
      <c r="F2881" s="14">
        <v>0.1779</v>
      </c>
      <c r="G2881" s="15"/>
      <c r="H2881" s="16"/>
      <c r="I2881" s="14"/>
    </row>
    <row r="2882">
      <c r="A2882" s="14">
        <v>355.0</v>
      </c>
      <c r="B2882" s="14">
        <v>1.6030998E7</v>
      </c>
      <c r="C2882" s="14">
        <v>6.8055022E7</v>
      </c>
      <c r="D2882" s="2" t="s">
        <v>4029</v>
      </c>
      <c r="E2882" s="1" t="s">
        <v>121</v>
      </c>
      <c r="F2882" s="14">
        <v>0.1779</v>
      </c>
      <c r="G2882" s="15"/>
      <c r="H2882" s="16"/>
      <c r="I2882" s="14"/>
    </row>
    <row r="2883">
      <c r="A2883" s="14">
        <v>470.0</v>
      </c>
      <c r="B2883" s="14">
        <v>1.8771526E7</v>
      </c>
      <c r="C2883" s="14">
        <v>7.870686E7</v>
      </c>
      <c r="D2883" s="2" t="s">
        <v>3904</v>
      </c>
      <c r="E2883" s="1" t="s">
        <v>121</v>
      </c>
      <c r="F2883" s="14">
        <v>0.1779</v>
      </c>
      <c r="G2883" s="15"/>
      <c r="H2883" s="16"/>
      <c r="I2883" s="14"/>
    </row>
    <row r="2884">
      <c r="A2884" s="14">
        <v>602.0</v>
      </c>
      <c r="B2884" s="14">
        <v>5.20234E7</v>
      </c>
      <c r="C2884" s="14">
        <v>2.0655137E8</v>
      </c>
      <c r="D2884" s="2" t="s">
        <v>2943</v>
      </c>
      <c r="E2884" s="1" t="s">
        <v>121</v>
      </c>
      <c r="F2884" s="14">
        <v>0.1779</v>
      </c>
      <c r="G2884" s="15"/>
      <c r="H2884" s="16"/>
      <c r="I2884" s="14"/>
    </row>
    <row r="2885">
      <c r="A2885" s="14">
        <v>392.0</v>
      </c>
      <c r="B2885" s="14">
        <v>6.6763153E7</v>
      </c>
      <c r="C2885" s="14">
        <v>2.73230779E8</v>
      </c>
      <c r="D2885" s="2" t="s">
        <v>2404</v>
      </c>
      <c r="E2885" s="1" t="s">
        <v>121</v>
      </c>
      <c r="F2885" s="14">
        <v>0.1779</v>
      </c>
      <c r="G2885" s="15"/>
      <c r="H2885" s="16"/>
      <c r="I2885" s="14"/>
    </row>
    <row r="2886">
      <c r="A2886" s="14">
        <v>602.0</v>
      </c>
      <c r="B2886" s="14">
        <v>7.6569537E7</v>
      </c>
      <c r="C2886" s="14">
        <v>3.18777805E8</v>
      </c>
      <c r="D2886" s="2" t="s">
        <v>1941</v>
      </c>
      <c r="E2886" s="1" t="s">
        <v>121</v>
      </c>
      <c r="F2886" s="14">
        <v>0.1779</v>
      </c>
      <c r="G2886" s="15"/>
      <c r="H2886" s="16"/>
      <c r="I2886" s="14"/>
    </row>
    <row r="2887">
      <c r="A2887" s="14">
        <v>319.0</v>
      </c>
      <c r="B2887" s="14">
        <v>7.959124E7</v>
      </c>
      <c r="C2887" s="14">
        <v>3.32445217E8</v>
      </c>
      <c r="D2887" s="2" t="s">
        <v>1761</v>
      </c>
      <c r="E2887" s="1" t="s">
        <v>121</v>
      </c>
      <c r="F2887" s="14">
        <v>0.1779</v>
      </c>
      <c r="G2887" s="15"/>
      <c r="H2887" s="16"/>
      <c r="I2887" s="14"/>
    </row>
    <row r="2888">
      <c r="A2888" s="14">
        <v>244.0</v>
      </c>
      <c r="B2888" s="14">
        <v>9.4847014E7</v>
      </c>
      <c r="C2888" s="14">
        <v>4.03362511E8</v>
      </c>
      <c r="D2888" s="2" t="s">
        <v>885</v>
      </c>
      <c r="E2888" s="1" t="s">
        <v>121</v>
      </c>
      <c r="F2888" s="14">
        <v>0.1779</v>
      </c>
      <c r="G2888" s="15"/>
      <c r="H2888" s="16"/>
      <c r="I2888" s="14"/>
    </row>
    <row r="2889">
      <c r="A2889" s="14">
        <v>504.0</v>
      </c>
      <c r="B2889" s="14">
        <v>2.2565784E7</v>
      </c>
      <c r="C2889" s="14">
        <v>1.00877869E8</v>
      </c>
      <c r="D2889" s="2" t="s">
        <v>3787</v>
      </c>
      <c r="E2889" s="1" t="s">
        <v>121</v>
      </c>
      <c r="F2889" s="14">
        <v>0.1776</v>
      </c>
      <c r="G2889" s="15"/>
      <c r="H2889" s="16"/>
      <c r="I2889" s="14"/>
    </row>
    <row r="2890">
      <c r="A2890" s="14">
        <v>380.0</v>
      </c>
      <c r="B2890" s="14">
        <v>2.2258815E7</v>
      </c>
      <c r="C2890" s="14">
        <v>9.1854873E7</v>
      </c>
      <c r="D2890" s="2" t="s">
        <v>3799</v>
      </c>
      <c r="E2890" s="1" t="s">
        <v>121</v>
      </c>
      <c r="F2890" s="14">
        <v>0.1734</v>
      </c>
      <c r="G2890" s="15"/>
      <c r="H2890" s="16"/>
      <c r="I2890" s="14"/>
    </row>
    <row r="2891">
      <c r="A2891" s="14">
        <v>667.0</v>
      </c>
      <c r="B2891" s="14">
        <v>6.7251851E7</v>
      </c>
      <c r="C2891" s="14">
        <v>2.75465772E8</v>
      </c>
      <c r="D2891" s="2" t="s">
        <v>2372</v>
      </c>
      <c r="E2891" s="1" t="s">
        <v>121</v>
      </c>
      <c r="F2891" s="14">
        <v>0.1655</v>
      </c>
      <c r="G2891" s="15"/>
      <c r="H2891" s="16"/>
      <c r="I2891" s="14"/>
    </row>
    <row r="2892">
      <c r="A2892" s="14">
        <v>244.0</v>
      </c>
      <c r="B2892" s="14">
        <v>3786350.0</v>
      </c>
      <c r="C2892" s="14">
        <v>1.6036494E7</v>
      </c>
      <c r="D2892" s="2" t="s">
        <v>4898</v>
      </c>
      <c r="E2892" s="1" t="s">
        <v>121</v>
      </c>
      <c r="F2892" s="14">
        <v>0.1646</v>
      </c>
      <c r="G2892" s="15"/>
      <c r="H2892" s="16"/>
      <c r="I2892" s="14"/>
    </row>
    <row r="2893">
      <c r="A2893" s="14">
        <v>481.0</v>
      </c>
      <c r="B2893" s="14">
        <v>4807541.0</v>
      </c>
      <c r="C2893" s="14">
        <v>2.0456177E7</v>
      </c>
      <c r="D2893" s="2" t="s">
        <v>4803</v>
      </c>
      <c r="E2893" s="1" t="s">
        <v>121</v>
      </c>
      <c r="F2893" s="14">
        <v>0.1635</v>
      </c>
      <c r="G2893" s="15"/>
      <c r="H2893" s="16"/>
      <c r="I2893" s="14"/>
    </row>
    <row r="2894">
      <c r="A2894" s="14">
        <v>129.0</v>
      </c>
      <c r="B2894" s="14">
        <v>1.11038864E8</v>
      </c>
      <c r="C2894" s="14">
        <v>4.81285368E8</v>
      </c>
      <c r="D2894" s="2" t="s">
        <v>52</v>
      </c>
      <c r="E2894" s="1" t="s">
        <v>121</v>
      </c>
      <c r="F2894" s="14">
        <v>0.1594</v>
      </c>
      <c r="G2894" s="15"/>
      <c r="H2894" s="16"/>
      <c r="I2894" s="14"/>
    </row>
    <row r="2895">
      <c r="A2895" s="14">
        <v>676.0</v>
      </c>
      <c r="B2895" s="14">
        <v>5292110.0</v>
      </c>
      <c r="C2895" s="14">
        <v>2.2588596E7</v>
      </c>
      <c r="D2895" s="2" t="s">
        <v>4760</v>
      </c>
      <c r="E2895" s="1" t="s">
        <v>121</v>
      </c>
      <c r="F2895" s="14">
        <v>0.1593</v>
      </c>
      <c r="G2895" s="15"/>
      <c r="H2895" s="16"/>
      <c r="I2895" s="14"/>
    </row>
    <row r="2896">
      <c r="A2896" s="14">
        <v>571.0</v>
      </c>
      <c r="B2896" s="14">
        <v>8436713.0</v>
      </c>
      <c r="C2896" s="14">
        <v>3.5704716E7</v>
      </c>
      <c r="D2896" s="2" t="s">
        <v>4511</v>
      </c>
      <c r="E2896" s="1" t="s">
        <v>121</v>
      </c>
      <c r="F2896" s="14">
        <v>0.1536</v>
      </c>
      <c r="G2896" s="15"/>
      <c r="H2896" s="16"/>
      <c r="I2896" s="14"/>
    </row>
    <row r="2897">
      <c r="A2897" s="14">
        <v>609.0</v>
      </c>
      <c r="B2897" s="14">
        <v>3986457.0</v>
      </c>
      <c r="C2897" s="14">
        <v>1.6867377E7</v>
      </c>
      <c r="D2897" s="2" t="s">
        <v>4872</v>
      </c>
      <c r="E2897" s="1" t="s">
        <v>107</v>
      </c>
      <c r="F2897" s="14">
        <v>0.1531</v>
      </c>
      <c r="G2897" s="15"/>
      <c r="H2897" s="16"/>
      <c r="I2897" s="14"/>
    </row>
    <row r="2898">
      <c r="A2898" s="14">
        <v>603.0</v>
      </c>
      <c r="B2898" s="14">
        <v>1.1691233E7</v>
      </c>
      <c r="C2898" s="14">
        <v>4.9606579E7</v>
      </c>
      <c r="D2898" s="2" t="s">
        <v>4272</v>
      </c>
      <c r="E2898" s="1" t="s">
        <v>107</v>
      </c>
      <c r="F2898" s="14">
        <v>0.1531</v>
      </c>
      <c r="G2898" s="15"/>
      <c r="H2898" s="16"/>
      <c r="I2898" s="14"/>
    </row>
    <row r="2899">
      <c r="A2899" s="14">
        <v>504.0</v>
      </c>
      <c r="B2899" s="14">
        <v>1.5475443E7</v>
      </c>
      <c r="C2899" s="14">
        <v>6.581179E7</v>
      </c>
      <c r="D2899" s="2" t="s">
        <v>4069</v>
      </c>
      <c r="E2899" s="1" t="s">
        <v>107</v>
      </c>
      <c r="F2899" s="14">
        <v>0.1531</v>
      </c>
      <c r="G2899" s="15"/>
      <c r="H2899" s="16"/>
      <c r="I2899" s="14"/>
    </row>
    <row r="2900">
      <c r="A2900" s="14">
        <v>458.0</v>
      </c>
      <c r="B2900" s="14">
        <v>1.7160215E7</v>
      </c>
      <c r="C2900" s="14">
        <v>7.2565875E7</v>
      </c>
      <c r="D2900" s="2" t="s">
        <v>3968</v>
      </c>
      <c r="E2900" s="1" t="s">
        <v>699</v>
      </c>
      <c r="F2900" s="14">
        <v>0.1531</v>
      </c>
      <c r="G2900" s="15"/>
      <c r="H2900" s="16"/>
      <c r="I2900" s="14"/>
    </row>
    <row r="2901">
      <c r="A2901" s="14">
        <v>677.0</v>
      </c>
      <c r="B2901" s="14">
        <v>7.4867331E7</v>
      </c>
      <c r="C2901" s="14">
        <v>3.10196992E8</v>
      </c>
      <c r="D2901" s="2" t="s">
        <v>2036</v>
      </c>
      <c r="E2901" s="1" t="s">
        <v>699</v>
      </c>
      <c r="F2901" s="14">
        <v>0.1531</v>
      </c>
      <c r="G2901" s="15"/>
      <c r="H2901" s="16"/>
      <c r="I2901" s="14"/>
    </row>
    <row r="2902">
      <c r="A2902" s="14">
        <v>671.0</v>
      </c>
      <c r="B2902" s="14">
        <v>1.01929404E8</v>
      </c>
      <c r="C2902" s="14">
        <v>4.37622079E8</v>
      </c>
      <c r="D2902" s="2" t="s">
        <v>472</v>
      </c>
      <c r="E2902" s="1" t="s">
        <v>699</v>
      </c>
      <c r="F2902" s="14">
        <v>0.1531</v>
      </c>
      <c r="G2902" s="15"/>
      <c r="H2902" s="16"/>
      <c r="I2902" s="14"/>
    </row>
    <row r="2903">
      <c r="A2903" s="14">
        <v>664.0</v>
      </c>
      <c r="B2903" s="14">
        <v>1.1400401E7</v>
      </c>
      <c r="C2903" s="14">
        <v>4.845249E7</v>
      </c>
      <c r="D2903" s="2" t="s">
        <v>4292</v>
      </c>
      <c r="E2903" s="1" t="s">
        <v>121</v>
      </c>
      <c r="F2903" s="14">
        <v>0.1531</v>
      </c>
      <c r="G2903" s="15"/>
      <c r="H2903" s="16"/>
      <c r="I2903" s="14"/>
    </row>
    <row r="2904">
      <c r="A2904" s="14">
        <v>395.0</v>
      </c>
      <c r="B2904" s="14">
        <v>1.658715E7</v>
      </c>
      <c r="C2904" s="14">
        <v>7.037454E7</v>
      </c>
      <c r="D2904" s="2" t="s">
        <v>3992</v>
      </c>
      <c r="E2904" s="1" t="s">
        <v>121</v>
      </c>
      <c r="F2904" s="14">
        <v>0.1531</v>
      </c>
      <c r="G2904" s="15"/>
      <c r="H2904" s="16"/>
      <c r="I2904" s="14"/>
    </row>
    <row r="2905">
      <c r="A2905" s="14">
        <v>179.0</v>
      </c>
      <c r="B2905" s="14">
        <v>4.5142903E7</v>
      </c>
      <c r="C2905" s="14">
        <v>1.78134187E8</v>
      </c>
      <c r="D2905" s="2" t="s">
        <v>3241</v>
      </c>
      <c r="E2905" s="1" t="s">
        <v>121</v>
      </c>
      <c r="F2905" s="14">
        <v>0.1531</v>
      </c>
      <c r="G2905" s="15"/>
      <c r="H2905" s="16"/>
      <c r="I2905" s="14"/>
    </row>
    <row r="2906">
      <c r="A2906" s="14">
        <v>586.0</v>
      </c>
      <c r="B2906" s="14">
        <v>4.8788895E7</v>
      </c>
      <c r="C2906" s="14">
        <v>1.92768907E8</v>
      </c>
      <c r="D2906" s="2" t="s">
        <v>3063</v>
      </c>
      <c r="E2906" s="1" t="s">
        <v>121</v>
      </c>
      <c r="F2906" s="14">
        <v>0.1531</v>
      </c>
      <c r="G2906" s="15"/>
      <c r="H2906" s="16"/>
      <c r="I2906" s="14"/>
    </row>
    <row r="2907">
      <c r="A2907" s="14">
        <v>587.0</v>
      </c>
      <c r="B2907" s="14">
        <v>6.8857193E7</v>
      </c>
      <c r="C2907" s="14">
        <v>2.8341017E8</v>
      </c>
      <c r="D2907" s="2" t="s">
        <v>2289</v>
      </c>
      <c r="E2907" s="1" t="s">
        <v>121</v>
      </c>
      <c r="F2907" s="14">
        <v>0.1531</v>
      </c>
      <c r="G2907" s="15"/>
      <c r="H2907" s="16"/>
      <c r="I2907" s="14"/>
    </row>
    <row r="2908">
      <c r="A2908" s="14">
        <v>673.0</v>
      </c>
      <c r="B2908" s="14">
        <v>6.9872795E7</v>
      </c>
      <c r="C2908" s="14">
        <v>2.87790225E8</v>
      </c>
      <c r="D2908" s="2" t="s">
        <v>2234</v>
      </c>
      <c r="E2908" s="1" t="s">
        <v>121</v>
      </c>
      <c r="F2908" s="14">
        <v>0.1531</v>
      </c>
      <c r="G2908" s="15"/>
      <c r="H2908" s="16"/>
      <c r="I2908" s="14"/>
    </row>
    <row r="2909">
      <c r="A2909" s="14">
        <v>410.0</v>
      </c>
      <c r="B2909" s="14">
        <v>8613244.0</v>
      </c>
      <c r="C2909" s="14">
        <v>3.6549764E7</v>
      </c>
      <c r="D2909" s="2" t="s">
        <v>4502</v>
      </c>
      <c r="E2909" s="1" t="s">
        <v>121</v>
      </c>
      <c r="F2909" s="14">
        <v>0.1528</v>
      </c>
      <c r="G2909" s="15"/>
      <c r="H2909" s="16"/>
      <c r="I2909" s="14"/>
    </row>
    <row r="2910">
      <c r="A2910" s="14">
        <v>504.0</v>
      </c>
      <c r="B2910" s="14">
        <v>2.977417E7</v>
      </c>
      <c r="C2910" s="14">
        <v>1.19533231E8</v>
      </c>
      <c r="D2910" s="2" t="s">
        <v>3595</v>
      </c>
      <c r="E2910" s="1" t="s">
        <v>121</v>
      </c>
      <c r="F2910" s="14">
        <v>0.1516</v>
      </c>
      <c r="G2910" s="15"/>
      <c r="H2910" s="16"/>
      <c r="I2910" s="14"/>
    </row>
    <row r="2911">
      <c r="A2911" s="14">
        <v>194.0</v>
      </c>
      <c r="B2911" s="14">
        <v>5.0667153E7</v>
      </c>
      <c r="C2911" s="14">
        <v>2.00597582E8</v>
      </c>
      <c r="D2911" s="2" t="s">
        <v>2998</v>
      </c>
      <c r="E2911" s="1" t="s">
        <v>107</v>
      </c>
      <c r="F2911" s="14">
        <v>0.1511</v>
      </c>
      <c r="G2911" s="15"/>
      <c r="H2911" s="16"/>
      <c r="I2911" s="14"/>
    </row>
    <row r="2912">
      <c r="A2912" s="14">
        <v>492.0</v>
      </c>
      <c r="B2912" s="14">
        <v>3.143977E7</v>
      </c>
      <c r="C2912" s="14">
        <v>1.26173293E8</v>
      </c>
      <c r="D2912" s="2" t="s">
        <v>3552</v>
      </c>
      <c r="E2912" s="1" t="s">
        <v>699</v>
      </c>
      <c r="F2912" s="14">
        <v>0.1511</v>
      </c>
      <c r="G2912" s="15"/>
      <c r="H2912" s="16"/>
      <c r="I2912" s="14"/>
    </row>
    <row r="2913">
      <c r="A2913" s="14">
        <v>194.0</v>
      </c>
      <c r="B2913" s="14">
        <v>6.6087953E7</v>
      </c>
      <c r="C2913" s="14">
        <v>2.69853978E8</v>
      </c>
      <c r="D2913" s="2" t="s">
        <v>2430</v>
      </c>
      <c r="E2913" s="1" t="s">
        <v>699</v>
      </c>
      <c r="F2913" s="14">
        <v>0.1511</v>
      </c>
      <c r="G2913" s="15"/>
      <c r="H2913" s="16"/>
      <c r="I2913" s="14"/>
    </row>
    <row r="2914">
      <c r="A2914" s="14">
        <v>207.0</v>
      </c>
      <c r="B2914" s="14">
        <v>1.0652816E7</v>
      </c>
      <c r="C2914" s="14">
        <v>4.526873E7</v>
      </c>
      <c r="D2914" s="2" t="s">
        <v>4343</v>
      </c>
      <c r="E2914" s="1" t="s">
        <v>121</v>
      </c>
      <c r="F2914" s="14">
        <v>0.1506</v>
      </c>
      <c r="G2914" s="15"/>
      <c r="H2914" s="16"/>
      <c r="I2914" s="14"/>
    </row>
    <row r="2915">
      <c r="A2915" s="14">
        <v>129.0</v>
      </c>
      <c r="B2915" s="14">
        <v>6.9956878E7</v>
      </c>
      <c r="C2915" s="14">
        <v>2.88202688E8</v>
      </c>
      <c r="D2915" s="2" t="s">
        <v>2228</v>
      </c>
      <c r="E2915" s="1" t="s">
        <v>699</v>
      </c>
      <c r="F2915" s="14">
        <v>0.1476</v>
      </c>
      <c r="G2915" s="15"/>
      <c r="H2915" s="16"/>
      <c r="I2915" s="14"/>
    </row>
    <row r="2916">
      <c r="A2916" s="14">
        <v>120.0</v>
      </c>
      <c r="B2916" s="14">
        <v>7192486.0</v>
      </c>
      <c r="C2916" s="14">
        <v>3.0814485E7</v>
      </c>
      <c r="D2916" s="2" t="s">
        <v>4590</v>
      </c>
      <c r="E2916" s="1" t="s">
        <v>121</v>
      </c>
      <c r="F2916" s="14">
        <v>0.1431</v>
      </c>
      <c r="G2916" s="15"/>
      <c r="H2916" s="16"/>
      <c r="I2916" s="14"/>
    </row>
    <row r="2917">
      <c r="A2917" s="14">
        <v>715.0</v>
      </c>
      <c r="B2917" s="14">
        <v>8.7425494E7</v>
      </c>
      <c r="C2917" s="14">
        <v>3.69825644E8</v>
      </c>
      <c r="D2917" s="2" t="s">
        <v>1277</v>
      </c>
      <c r="E2917" s="1" t="s">
        <v>107</v>
      </c>
      <c r="F2917" s="14">
        <v>0.1406</v>
      </c>
      <c r="G2917" s="15"/>
      <c r="H2917" s="16"/>
      <c r="I2917" s="14"/>
    </row>
    <row r="2918">
      <c r="A2918" s="14">
        <v>321.0</v>
      </c>
      <c r="B2918" s="14">
        <v>5129210.0</v>
      </c>
      <c r="C2918" s="14">
        <v>2.185533E7</v>
      </c>
      <c r="D2918" s="2" t="s">
        <v>4786</v>
      </c>
      <c r="E2918" s="1" t="s">
        <v>121</v>
      </c>
      <c r="F2918" s="14">
        <v>0.1406</v>
      </c>
      <c r="G2918" s="15"/>
      <c r="H2918" s="16"/>
      <c r="I2918" s="14"/>
    </row>
    <row r="2919">
      <c r="A2919" s="14">
        <v>578.0</v>
      </c>
      <c r="B2919" s="14">
        <v>6.5405365E7</v>
      </c>
      <c r="C2919" s="14">
        <v>2.66491082E8</v>
      </c>
      <c r="D2919" s="2" t="s">
        <v>2468</v>
      </c>
      <c r="E2919" s="1" t="s">
        <v>121</v>
      </c>
      <c r="F2919" s="14">
        <v>0.1406</v>
      </c>
      <c r="G2919" s="15"/>
      <c r="H2919" s="16"/>
      <c r="I2919" s="14"/>
    </row>
    <row r="2920">
      <c r="A2920" s="14">
        <v>702.0</v>
      </c>
      <c r="B2920" s="14">
        <v>1.058343E7</v>
      </c>
      <c r="C2920" s="14">
        <v>4.4996289E7</v>
      </c>
      <c r="D2920" s="2" t="s">
        <v>4352</v>
      </c>
      <c r="E2920" s="1" t="s">
        <v>121</v>
      </c>
      <c r="F2920" s="14">
        <v>0.1399</v>
      </c>
      <c r="G2920" s="15"/>
      <c r="H2920" s="16"/>
      <c r="I2920" s="14"/>
    </row>
    <row r="2921">
      <c r="A2921" s="14">
        <v>224.0</v>
      </c>
      <c r="B2921" s="14">
        <v>7.6740004E7</v>
      </c>
      <c r="C2921" s="14">
        <v>3.18765856E8</v>
      </c>
      <c r="D2921" s="2" t="s">
        <v>1931</v>
      </c>
      <c r="E2921" s="1" t="s">
        <v>121</v>
      </c>
      <c r="F2921" s="14">
        <v>0.1397</v>
      </c>
      <c r="G2921" s="15"/>
      <c r="H2921" s="16"/>
      <c r="I2921" s="14"/>
    </row>
    <row r="2922">
      <c r="A2922" s="14">
        <v>355.0</v>
      </c>
      <c r="B2922" s="14">
        <v>6.5401017E7</v>
      </c>
      <c r="C2922" s="14">
        <v>2.66492559E8</v>
      </c>
      <c r="D2922" s="2" t="s">
        <v>2470</v>
      </c>
      <c r="E2922" s="1" t="s">
        <v>699</v>
      </c>
      <c r="F2922" s="14">
        <v>0.1386</v>
      </c>
      <c r="G2922" s="15"/>
      <c r="H2922" s="16"/>
      <c r="I2922" s="14"/>
    </row>
    <row r="2923">
      <c r="A2923" s="14">
        <v>679.0</v>
      </c>
      <c r="B2923" s="14">
        <v>1996515.0</v>
      </c>
      <c r="C2923" s="14">
        <v>3.3847847E7</v>
      </c>
      <c r="D2923" s="2" t="s">
        <v>5019</v>
      </c>
      <c r="E2923" s="1" t="s">
        <v>121</v>
      </c>
      <c r="F2923" s="14">
        <v>0.1317</v>
      </c>
      <c r="G2923" s="15"/>
      <c r="H2923" s="16"/>
      <c r="I2923" s="14"/>
    </row>
    <row r="2924">
      <c r="A2924" s="14">
        <v>473.0</v>
      </c>
      <c r="B2924" s="14">
        <v>5.4635546E7</v>
      </c>
      <c r="C2924" s="14">
        <v>2.16680877E8</v>
      </c>
      <c r="D2924" s="2" t="s">
        <v>2854</v>
      </c>
      <c r="E2924" s="1" t="s">
        <v>121</v>
      </c>
      <c r="F2924" s="14">
        <v>0.1298</v>
      </c>
      <c r="G2924" s="15"/>
      <c r="H2924" s="16"/>
      <c r="I2924" s="14"/>
    </row>
    <row r="2925">
      <c r="A2925" s="14">
        <v>565.0</v>
      </c>
      <c r="B2925" s="14">
        <v>1.08810567E8</v>
      </c>
      <c r="C2925" s="14">
        <v>4.71039227E8</v>
      </c>
      <c r="D2925" s="2" t="s">
        <v>167</v>
      </c>
      <c r="E2925" s="1" t="s">
        <v>121</v>
      </c>
      <c r="F2925" s="14">
        <v>0.1298</v>
      </c>
      <c r="G2925" s="15"/>
      <c r="H2925" s="16"/>
      <c r="I2925" s="14"/>
    </row>
    <row r="2926">
      <c r="A2926" s="14">
        <v>587.0</v>
      </c>
      <c r="B2926" s="14">
        <v>1.05211406E8</v>
      </c>
      <c r="C2926" s="14">
        <v>4.53114501E8</v>
      </c>
      <c r="D2926" s="2" t="s">
        <v>339</v>
      </c>
      <c r="E2926" s="1" t="s">
        <v>107</v>
      </c>
      <c r="F2926" s="14">
        <v>0.128</v>
      </c>
      <c r="G2926" s="15"/>
      <c r="H2926" s="16"/>
      <c r="I2926" s="14"/>
    </row>
    <row r="2927">
      <c r="A2927" s="14">
        <v>676.0</v>
      </c>
      <c r="B2927" s="14">
        <v>2082007.0</v>
      </c>
      <c r="C2927" s="14">
        <v>8.3097082E7</v>
      </c>
      <c r="D2927" s="2" t="s">
        <v>5024</v>
      </c>
      <c r="E2927" s="1" t="s">
        <v>699</v>
      </c>
      <c r="F2927" s="14">
        <v>0.128</v>
      </c>
      <c r="G2927" s="15"/>
      <c r="H2927" s="16"/>
      <c r="I2927" s="14"/>
    </row>
    <row r="2928">
      <c r="A2928" s="14">
        <v>671.0</v>
      </c>
      <c r="B2928" s="14">
        <v>3513577.0</v>
      </c>
      <c r="C2928" s="14">
        <v>1.4860553E7</v>
      </c>
      <c r="D2928" s="2" t="s">
        <v>4921</v>
      </c>
      <c r="E2928" s="1" t="s">
        <v>699</v>
      </c>
      <c r="F2928" s="14">
        <v>0.128</v>
      </c>
      <c r="G2928" s="15"/>
      <c r="H2928" s="16"/>
      <c r="I2928" s="14"/>
    </row>
    <row r="2929">
      <c r="A2929" s="14">
        <v>471.0</v>
      </c>
      <c r="B2929" s="14">
        <v>4.8167244E7</v>
      </c>
      <c r="C2929" s="14">
        <v>1.90460154E8</v>
      </c>
      <c r="D2929" s="2" t="s">
        <v>3095</v>
      </c>
      <c r="E2929" s="1" t="s">
        <v>699</v>
      </c>
      <c r="F2929" s="14">
        <v>0.128</v>
      </c>
      <c r="G2929" s="15"/>
      <c r="H2929" s="16"/>
      <c r="I2929" s="14"/>
    </row>
    <row r="2930">
      <c r="A2930" s="14">
        <v>680.0</v>
      </c>
      <c r="B2930" s="14">
        <v>4566534.0</v>
      </c>
      <c r="C2930" s="14">
        <v>1.9352328E7</v>
      </c>
      <c r="D2930" s="2" t="s">
        <v>4816</v>
      </c>
      <c r="E2930" s="1" t="s">
        <v>121</v>
      </c>
      <c r="F2930" s="14">
        <v>0.128</v>
      </c>
      <c r="G2930" s="15"/>
      <c r="H2930" s="16"/>
      <c r="I2930" s="14"/>
    </row>
    <row r="2931">
      <c r="A2931" s="14">
        <v>676.0</v>
      </c>
      <c r="B2931" s="14">
        <v>2.5452071E7</v>
      </c>
      <c r="C2931" s="14">
        <v>1.15162944E8</v>
      </c>
      <c r="D2931" s="2" t="s">
        <v>3716</v>
      </c>
      <c r="E2931" s="1" t="s">
        <v>121</v>
      </c>
      <c r="F2931" s="14">
        <v>0.128</v>
      </c>
      <c r="G2931" s="15"/>
      <c r="H2931" s="16"/>
      <c r="I2931" s="14"/>
    </row>
    <row r="2932">
      <c r="A2932" s="14">
        <v>701.0</v>
      </c>
      <c r="B2932" s="14">
        <v>2.6154591E7</v>
      </c>
      <c r="C2932" s="14">
        <v>1.06188145E8</v>
      </c>
      <c r="D2932" s="2" t="s">
        <v>3701</v>
      </c>
      <c r="E2932" s="1" t="s">
        <v>121</v>
      </c>
      <c r="F2932" s="14">
        <v>0.128</v>
      </c>
      <c r="G2932" s="15"/>
      <c r="H2932" s="16"/>
      <c r="I2932" s="14"/>
    </row>
    <row r="2933">
      <c r="A2933" s="14">
        <v>593.0</v>
      </c>
      <c r="B2933" s="14">
        <v>3.900696E7</v>
      </c>
      <c r="C2933" s="14">
        <v>1.55517747E8</v>
      </c>
      <c r="D2933" s="2" t="s">
        <v>3398</v>
      </c>
      <c r="E2933" s="1" t="s">
        <v>121</v>
      </c>
      <c r="F2933" s="14">
        <v>0.128</v>
      </c>
      <c r="G2933" s="15"/>
      <c r="H2933" s="16"/>
      <c r="I2933" s="14"/>
    </row>
    <row r="2934">
      <c r="A2934" s="14">
        <v>461.0</v>
      </c>
      <c r="B2934" s="14">
        <v>5.3410013E7</v>
      </c>
      <c r="C2934" s="14">
        <v>2.11743758E8</v>
      </c>
      <c r="D2934" s="2" t="s">
        <v>2898</v>
      </c>
      <c r="E2934" s="1" t="s">
        <v>121</v>
      </c>
      <c r="F2934" s="14">
        <v>0.128</v>
      </c>
      <c r="G2934" s="15"/>
      <c r="H2934" s="16"/>
      <c r="I2934" s="14"/>
    </row>
    <row r="2935">
      <c r="A2935" s="14">
        <v>571.0</v>
      </c>
      <c r="B2935" s="14">
        <v>6.5834759E7</v>
      </c>
      <c r="C2935" s="14">
        <v>2.68727845E8</v>
      </c>
      <c r="D2935" s="2" t="s">
        <v>2445</v>
      </c>
      <c r="E2935" s="1" t="s">
        <v>121</v>
      </c>
      <c r="F2935" s="14">
        <v>0.128</v>
      </c>
      <c r="G2935" s="15"/>
      <c r="H2935" s="16"/>
      <c r="I2935" s="14"/>
    </row>
    <row r="2936">
      <c r="A2936" s="14">
        <v>484.0</v>
      </c>
      <c r="B2936" s="14">
        <v>7.5736391E7</v>
      </c>
      <c r="C2936" s="14">
        <v>4.14592627E8</v>
      </c>
      <c r="D2936" s="2" t="s">
        <v>1981</v>
      </c>
      <c r="E2936" s="1" t="s">
        <v>121</v>
      </c>
      <c r="F2936" s="14">
        <v>0.128</v>
      </c>
      <c r="G2936" s="15"/>
      <c r="H2936" s="16"/>
      <c r="I2936" s="14"/>
    </row>
    <row r="2937">
      <c r="A2937" s="14">
        <v>593.0</v>
      </c>
      <c r="B2937" s="14">
        <v>8.6989706E7</v>
      </c>
      <c r="C2937" s="14">
        <v>3.67648987E8</v>
      </c>
      <c r="D2937" s="2" t="s">
        <v>1297</v>
      </c>
      <c r="E2937" s="1" t="s">
        <v>121</v>
      </c>
      <c r="F2937" s="14">
        <v>0.128</v>
      </c>
      <c r="G2937" s="15"/>
      <c r="H2937" s="16"/>
      <c r="I2937" s="14"/>
    </row>
    <row r="2938">
      <c r="A2938" s="14">
        <v>673.0</v>
      </c>
      <c r="B2938" s="14">
        <v>1.09933862E8</v>
      </c>
      <c r="C2938" s="14">
        <v>4.76600301E8</v>
      </c>
      <c r="D2938" s="2" t="s">
        <v>93</v>
      </c>
      <c r="E2938" s="1" t="s">
        <v>121</v>
      </c>
      <c r="F2938" s="14">
        <v>0.128</v>
      </c>
      <c r="G2938" s="15"/>
      <c r="H2938" s="16"/>
      <c r="I2938" s="14"/>
    </row>
    <row r="2939">
      <c r="A2939" s="14">
        <v>403.0</v>
      </c>
      <c r="B2939" s="14">
        <v>6.5798127E7</v>
      </c>
      <c r="C2939" s="14">
        <v>4.64609854E8</v>
      </c>
      <c r="D2939" s="2" t="s">
        <v>2448</v>
      </c>
      <c r="E2939" s="1" t="s">
        <v>121</v>
      </c>
      <c r="F2939" s="14">
        <v>0.1278</v>
      </c>
      <c r="G2939" s="15"/>
      <c r="H2939" s="16"/>
      <c r="I2939" s="14"/>
    </row>
    <row r="2940">
      <c r="A2940" s="14">
        <v>608.0</v>
      </c>
      <c r="B2940" s="14">
        <v>1.5544281E7</v>
      </c>
      <c r="C2940" s="14">
        <v>6.6013397E7</v>
      </c>
      <c r="D2940" s="2" t="s">
        <v>4065</v>
      </c>
      <c r="E2940" s="1" t="s">
        <v>121</v>
      </c>
      <c r="F2940" s="14">
        <v>0.1268</v>
      </c>
      <c r="G2940" s="15"/>
      <c r="H2940" s="16"/>
      <c r="I2940" s="14"/>
    </row>
    <row r="2941">
      <c r="A2941" s="14">
        <v>575.0</v>
      </c>
      <c r="B2941" s="14">
        <v>6.8457453E7</v>
      </c>
      <c r="C2941" s="14">
        <v>2.81268918E8</v>
      </c>
      <c r="D2941" s="2" t="s">
        <v>2312</v>
      </c>
      <c r="E2941" s="1" t="s">
        <v>699</v>
      </c>
      <c r="F2941" s="14">
        <v>0.126</v>
      </c>
      <c r="G2941" s="15"/>
      <c r="H2941" s="16"/>
      <c r="I2941" s="14"/>
    </row>
    <row r="2942">
      <c r="A2942" s="14">
        <v>410.0</v>
      </c>
      <c r="B2942" s="14">
        <v>3424981.0</v>
      </c>
      <c r="C2942" s="14">
        <v>1.4510519E7</v>
      </c>
      <c r="D2942" s="2" t="s">
        <v>4931</v>
      </c>
      <c r="E2942" s="1" t="s">
        <v>121</v>
      </c>
      <c r="F2942" s="14">
        <v>0.126</v>
      </c>
      <c r="G2942" s="15"/>
      <c r="H2942" s="16"/>
      <c r="I2942" s="14"/>
    </row>
    <row r="2943">
      <c r="A2943" s="14">
        <v>601.0</v>
      </c>
      <c r="B2943" s="14">
        <v>5.5742985E7</v>
      </c>
      <c r="C2943" s="14">
        <v>2.21373613E8</v>
      </c>
      <c r="D2943" s="2" t="s">
        <v>2821</v>
      </c>
      <c r="E2943" s="1" t="s">
        <v>121</v>
      </c>
      <c r="F2943" s="14">
        <v>0.125</v>
      </c>
      <c r="G2943" s="15"/>
      <c r="H2943" s="16"/>
      <c r="I2943" s="14"/>
    </row>
    <row r="2944">
      <c r="A2944" s="14">
        <v>676.0</v>
      </c>
      <c r="B2944" s="14">
        <v>8.8887145E7</v>
      </c>
      <c r="C2944" s="14">
        <v>3.77004154E8</v>
      </c>
      <c r="D2944" s="2" t="s">
        <v>1195</v>
      </c>
      <c r="E2944" s="1" t="s">
        <v>121</v>
      </c>
      <c r="F2944" s="14">
        <v>0.125</v>
      </c>
      <c r="G2944" s="15"/>
      <c r="H2944" s="16"/>
      <c r="I2944" s="14"/>
    </row>
    <row r="2945">
      <c r="A2945" s="14">
        <v>504.0</v>
      </c>
      <c r="B2945" s="14">
        <v>2.1709747E7</v>
      </c>
      <c r="C2945" s="14">
        <v>8.980304E7</v>
      </c>
      <c r="D2945" s="2" t="s">
        <v>3817</v>
      </c>
      <c r="E2945" s="1" t="s">
        <v>121</v>
      </c>
      <c r="F2945" s="14">
        <v>0.1248</v>
      </c>
      <c r="G2945" s="15"/>
      <c r="H2945" s="16"/>
      <c r="I2945" s="14"/>
    </row>
    <row r="2946">
      <c r="A2946" s="14">
        <v>173.0</v>
      </c>
      <c r="B2946" s="14">
        <v>184161.0</v>
      </c>
      <c r="C2946" s="14">
        <v>738244.0</v>
      </c>
      <c r="D2946" s="2" t="s">
        <v>5028</v>
      </c>
      <c r="E2946" s="1" t="s">
        <v>121</v>
      </c>
      <c r="F2946" s="14">
        <v>0.1226</v>
      </c>
      <c r="G2946" s="15"/>
      <c r="H2946" s="16"/>
      <c r="I2946" s="14"/>
    </row>
    <row r="2947">
      <c r="A2947" s="14">
        <v>120.0</v>
      </c>
      <c r="B2947" s="14">
        <v>2747766.0</v>
      </c>
      <c r="C2947" s="14">
        <v>1.1598932E7</v>
      </c>
      <c r="D2947" s="2" t="s">
        <v>5004</v>
      </c>
      <c r="E2947" s="1" t="s">
        <v>121</v>
      </c>
      <c r="F2947" s="14">
        <v>0.1212</v>
      </c>
      <c r="G2947" s="15"/>
      <c r="H2947" s="16"/>
      <c r="I2947" s="14"/>
    </row>
    <row r="2948">
      <c r="A2948" s="14">
        <v>570.0</v>
      </c>
      <c r="B2948" s="14">
        <v>5.7153478E7</v>
      </c>
      <c r="C2948" s="14">
        <v>2.2740351E8</v>
      </c>
      <c r="D2948" s="2" t="s">
        <v>2779</v>
      </c>
      <c r="E2948" s="1" t="s">
        <v>107</v>
      </c>
      <c r="F2948" s="14">
        <v>0.1197</v>
      </c>
      <c r="G2948" s="15"/>
      <c r="H2948" s="16"/>
      <c r="I2948" s="14"/>
    </row>
    <row r="2949">
      <c r="A2949" s="14">
        <v>410.0</v>
      </c>
      <c r="B2949" s="14">
        <v>6452238.0</v>
      </c>
      <c r="C2949" s="14">
        <v>2.7438362E7</v>
      </c>
      <c r="D2949" s="2" t="s">
        <v>4668</v>
      </c>
      <c r="E2949" s="1" t="s">
        <v>121</v>
      </c>
      <c r="F2949" s="14">
        <v>0.1154</v>
      </c>
      <c r="G2949" s="15"/>
      <c r="H2949" s="16"/>
      <c r="I2949" s="14"/>
    </row>
    <row r="2950">
      <c r="A2950" s="14">
        <v>694.0</v>
      </c>
      <c r="B2950" s="14">
        <v>2.4017854E7</v>
      </c>
      <c r="C2950" s="14">
        <v>9.876032E7</v>
      </c>
      <c r="D2950" s="2" t="s">
        <v>3750</v>
      </c>
      <c r="E2950" s="1" t="s">
        <v>121</v>
      </c>
      <c r="F2950" s="14">
        <v>0.1154</v>
      </c>
      <c r="G2950" s="15"/>
      <c r="H2950" s="16"/>
      <c r="I2950" s="14"/>
    </row>
    <row r="2951">
      <c r="A2951" s="14">
        <v>578.0</v>
      </c>
      <c r="B2951" s="14">
        <v>9.652217E7</v>
      </c>
      <c r="C2951" s="14">
        <v>4.12480688E8</v>
      </c>
      <c r="D2951" s="2" t="s">
        <v>790</v>
      </c>
      <c r="E2951" s="1" t="s">
        <v>699</v>
      </c>
      <c r="F2951" s="14">
        <v>0.1134</v>
      </c>
      <c r="G2951" s="15"/>
      <c r="H2951" s="16"/>
      <c r="I2951" s="14"/>
    </row>
    <row r="2952">
      <c r="A2952" s="14">
        <v>609.0</v>
      </c>
      <c r="B2952" s="14">
        <v>9328046.0</v>
      </c>
      <c r="C2952" s="14">
        <v>3.9563562E7</v>
      </c>
      <c r="D2952" s="2" t="s">
        <v>4442</v>
      </c>
      <c r="E2952" s="1" t="s">
        <v>121</v>
      </c>
      <c r="F2952" s="14">
        <v>0.1134</v>
      </c>
      <c r="G2952" s="15"/>
      <c r="H2952" s="16"/>
      <c r="I2952" s="14"/>
    </row>
    <row r="2953">
      <c r="A2953" s="14">
        <v>522.0</v>
      </c>
      <c r="B2953" s="14">
        <v>2.864639E7</v>
      </c>
      <c r="C2953" s="14">
        <v>1.1530406E8</v>
      </c>
      <c r="D2953" s="2" t="s">
        <v>3620</v>
      </c>
      <c r="E2953" s="1" t="s">
        <v>121</v>
      </c>
      <c r="F2953" s="14">
        <v>0.1134</v>
      </c>
      <c r="G2953" s="15"/>
      <c r="H2953" s="16"/>
      <c r="I2953" s="14"/>
    </row>
    <row r="2954">
      <c r="A2954" s="14">
        <v>498.0</v>
      </c>
      <c r="B2954" s="14">
        <v>1.12577771E8</v>
      </c>
      <c r="C2954" s="14">
        <v>4.89379003E8</v>
      </c>
      <c r="D2954" s="2" t="s">
        <v>22</v>
      </c>
      <c r="E2954" s="1" t="s">
        <v>121</v>
      </c>
      <c r="F2954" s="14">
        <v>0.1134</v>
      </c>
      <c r="G2954" s="15"/>
      <c r="H2954" s="16"/>
      <c r="I2954" s="14"/>
    </row>
    <row r="2955">
      <c r="A2955" s="14">
        <v>587.0</v>
      </c>
      <c r="B2955" s="14">
        <v>9.9098944E7</v>
      </c>
      <c r="C2955" s="14">
        <v>4.24084388E8</v>
      </c>
      <c r="D2955" s="2" t="s">
        <v>646</v>
      </c>
      <c r="E2955" s="1" t="s">
        <v>121</v>
      </c>
      <c r="F2955" s="14">
        <v>0.1069</v>
      </c>
      <c r="G2955" s="15"/>
      <c r="H2955" s="16"/>
      <c r="I2955" s="14"/>
    </row>
    <row r="2956">
      <c r="A2956" s="14">
        <v>565.0</v>
      </c>
      <c r="B2956" s="14">
        <v>4564376.0</v>
      </c>
      <c r="C2956" s="14">
        <v>1.9563073E7</v>
      </c>
      <c r="D2956" s="2" t="s">
        <v>4817</v>
      </c>
      <c r="E2956" s="1" t="s">
        <v>121</v>
      </c>
      <c r="F2956" s="14">
        <v>0.1036</v>
      </c>
      <c r="G2956" s="15"/>
      <c r="H2956" s="16"/>
      <c r="I2956" s="14"/>
    </row>
    <row r="2957">
      <c r="A2957" s="14">
        <v>565.0</v>
      </c>
      <c r="B2957" s="14">
        <v>2.1788756E7</v>
      </c>
      <c r="C2957" s="14">
        <v>4.10729022E8</v>
      </c>
      <c r="D2957" s="2" t="s">
        <v>3813</v>
      </c>
      <c r="E2957" s="1" t="s">
        <v>699</v>
      </c>
      <c r="F2957" s="14">
        <v>0.1032</v>
      </c>
      <c r="G2957" s="15"/>
      <c r="H2957" s="16"/>
      <c r="I2957" s="14"/>
    </row>
    <row r="2958">
      <c r="A2958" s="14">
        <v>677.0</v>
      </c>
      <c r="B2958" s="14">
        <v>1.7631128E7</v>
      </c>
      <c r="C2958" s="14">
        <v>7.4438569E7</v>
      </c>
      <c r="D2958" s="2" t="s">
        <v>3952</v>
      </c>
      <c r="E2958" s="1" t="s">
        <v>121</v>
      </c>
      <c r="F2958" s="14">
        <v>0.1032</v>
      </c>
      <c r="G2958" s="15"/>
      <c r="H2958" s="16"/>
      <c r="I2958" s="14"/>
    </row>
    <row r="2959">
      <c r="A2959" s="14">
        <v>715.0</v>
      </c>
      <c r="B2959" s="14">
        <v>3463876.0</v>
      </c>
      <c r="C2959" s="14">
        <v>1.4655406E7</v>
      </c>
      <c r="D2959" s="2" t="s">
        <v>4927</v>
      </c>
      <c r="E2959" s="1" t="s">
        <v>121</v>
      </c>
      <c r="F2959" s="14">
        <v>0.103</v>
      </c>
      <c r="G2959" s="15"/>
      <c r="H2959" s="16"/>
      <c r="I2959" s="14"/>
    </row>
    <row r="2960">
      <c r="A2960" s="14">
        <v>531.0</v>
      </c>
      <c r="B2960" s="14">
        <v>1.2354274E7</v>
      </c>
      <c r="C2960" s="14">
        <v>5.2568636E7</v>
      </c>
      <c r="D2960" s="2" t="s">
        <v>4240</v>
      </c>
      <c r="E2960" s="1" t="s">
        <v>699</v>
      </c>
      <c r="F2960" s="14">
        <v>0.1027</v>
      </c>
      <c r="G2960" s="15"/>
      <c r="H2960" s="16"/>
      <c r="I2960" s="14"/>
    </row>
    <row r="2961">
      <c r="A2961" s="14">
        <v>337.0</v>
      </c>
      <c r="B2961" s="14">
        <v>2.8336775E7</v>
      </c>
      <c r="C2961" s="14">
        <v>1.56275454E8</v>
      </c>
      <c r="D2961" s="2" t="s">
        <v>3630</v>
      </c>
      <c r="E2961" s="1" t="s">
        <v>699</v>
      </c>
      <c r="F2961" s="14">
        <v>0.1027</v>
      </c>
      <c r="G2961" s="15"/>
      <c r="H2961" s="16"/>
      <c r="I2961" s="14"/>
    </row>
    <row r="2962">
      <c r="A2962" s="14">
        <v>602.0</v>
      </c>
      <c r="B2962" s="14">
        <v>6.2369808E7</v>
      </c>
      <c r="C2962" s="14">
        <v>3.52499604E8</v>
      </c>
      <c r="D2962" s="2" t="s">
        <v>2597</v>
      </c>
      <c r="E2962" s="1" t="s">
        <v>699</v>
      </c>
      <c r="F2962" s="14">
        <v>0.1027</v>
      </c>
      <c r="G2962" s="15"/>
      <c r="H2962" s="16"/>
      <c r="I2962" s="14"/>
    </row>
    <row r="2963">
      <c r="A2963" s="14">
        <v>421.0</v>
      </c>
      <c r="B2963" s="14">
        <v>7.7203058E7</v>
      </c>
      <c r="C2963" s="14">
        <v>3.21005776E8</v>
      </c>
      <c r="D2963" s="2" t="s">
        <v>1904</v>
      </c>
      <c r="E2963" s="1" t="s">
        <v>699</v>
      </c>
      <c r="F2963" s="14">
        <v>0.1027</v>
      </c>
      <c r="G2963" s="15"/>
      <c r="H2963" s="16"/>
      <c r="I2963" s="14"/>
    </row>
    <row r="2964">
      <c r="A2964" s="14">
        <v>120.0</v>
      </c>
      <c r="B2964" s="14">
        <v>349285.0</v>
      </c>
      <c r="C2964" s="14">
        <v>1508980.0</v>
      </c>
      <c r="D2964" s="2" t="s">
        <v>5042</v>
      </c>
      <c r="E2964" s="1" t="s">
        <v>121</v>
      </c>
      <c r="F2964" s="14">
        <v>0.1027</v>
      </c>
      <c r="G2964" s="15"/>
      <c r="H2964" s="16"/>
      <c r="I2964" s="14"/>
    </row>
    <row r="2965">
      <c r="A2965" s="14">
        <v>458.0</v>
      </c>
      <c r="B2965" s="14">
        <v>6183699.0</v>
      </c>
      <c r="C2965" s="14">
        <v>2.6345424E7</v>
      </c>
      <c r="D2965" s="2" t="s">
        <v>4698</v>
      </c>
      <c r="E2965" s="1" t="s">
        <v>121</v>
      </c>
      <c r="F2965" s="14">
        <v>0.1027</v>
      </c>
      <c r="G2965" s="15"/>
      <c r="H2965" s="16"/>
      <c r="I2965" s="14"/>
    </row>
    <row r="2966">
      <c r="A2966" s="14">
        <v>571.0</v>
      </c>
      <c r="B2966" s="14">
        <v>6232697.0</v>
      </c>
      <c r="C2966" s="14">
        <v>2.6662204E7</v>
      </c>
      <c r="D2966" s="2" t="s">
        <v>4691</v>
      </c>
      <c r="E2966" s="1" t="s">
        <v>121</v>
      </c>
      <c r="F2966" s="14">
        <v>0.1027</v>
      </c>
      <c r="G2966" s="15"/>
      <c r="H2966" s="16"/>
      <c r="I2966" s="14"/>
    </row>
    <row r="2967">
      <c r="A2967" s="14">
        <v>571.0</v>
      </c>
      <c r="B2967" s="14">
        <v>6505335.0</v>
      </c>
      <c r="C2967" s="14">
        <v>2.7697497E7</v>
      </c>
      <c r="D2967" s="2" t="s">
        <v>4662</v>
      </c>
      <c r="E2967" s="1" t="s">
        <v>121</v>
      </c>
      <c r="F2967" s="14">
        <v>0.1025</v>
      </c>
      <c r="G2967" s="15"/>
      <c r="H2967" s="16"/>
      <c r="I2967" s="14"/>
    </row>
    <row r="2968">
      <c r="A2968" s="14">
        <v>573.0</v>
      </c>
      <c r="B2968" s="14">
        <v>8119189.0</v>
      </c>
      <c r="C2968" s="14">
        <v>3.4438454E7</v>
      </c>
      <c r="D2968" s="2" t="s">
        <v>4531</v>
      </c>
      <c r="E2968" s="1" t="s">
        <v>121</v>
      </c>
      <c r="F2968" s="14">
        <v>0.101</v>
      </c>
      <c r="G2968" s="15"/>
      <c r="H2968" s="16"/>
      <c r="I2968" s="14"/>
    </row>
    <row r="2969">
      <c r="A2969" s="14">
        <v>194.0</v>
      </c>
      <c r="B2969" s="14">
        <v>8.2650607E7</v>
      </c>
      <c r="C2969" s="14">
        <v>3.46495739E8</v>
      </c>
      <c r="D2969" s="2" t="s">
        <v>1585</v>
      </c>
      <c r="E2969" s="1" t="s">
        <v>107</v>
      </c>
      <c r="F2969" s="14">
        <v>0.1007</v>
      </c>
      <c r="G2969" s="15"/>
      <c r="H2969" s="16"/>
      <c r="I2969" s="14"/>
    </row>
    <row r="2970">
      <c r="A2970" s="14">
        <v>492.0</v>
      </c>
      <c r="B2970" s="14">
        <v>7144551.0</v>
      </c>
      <c r="C2970" s="14">
        <v>3.0348561E7</v>
      </c>
      <c r="D2970" s="2" t="s">
        <v>4593</v>
      </c>
      <c r="E2970" s="1" t="s">
        <v>121</v>
      </c>
      <c r="F2970" s="14">
        <v>0.1005</v>
      </c>
      <c r="G2970" s="15"/>
      <c r="H2970" s="16"/>
      <c r="I2970" s="14"/>
    </row>
    <row r="2971">
      <c r="A2971" s="14">
        <v>661.0</v>
      </c>
      <c r="B2971" s="14">
        <v>5.6058594E7</v>
      </c>
      <c r="C2971" s="14">
        <v>2.22820291E8</v>
      </c>
      <c r="D2971" s="2" t="s">
        <v>2812</v>
      </c>
      <c r="E2971" s="1" t="s">
        <v>121</v>
      </c>
      <c r="F2971" s="14">
        <v>0.1002</v>
      </c>
      <c r="G2971" s="15"/>
      <c r="H2971" s="16"/>
      <c r="I2971" s="14"/>
    </row>
    <row r="2972">
      <c r="A2972" s="14">
        <v>713.0</v>
      </c>
      <c r="B2972" s="14">
        <v>5.8647893E7</v>
      </c>
      <c r="C2972" s="14">
        <v>2.34152361E8</v>
      </c>
      <c r="D2972" s="2" t="s">
        <v>2736</v>
      </c>
      <c r="E2972" s="1" t="s">
        <v>699</v>
      </c>
      <c r="F2972" s="14">
        <v>0.0964</v>
      </c>
      <c r="G2972" s="15"/>
      <c r="H2972" s="16"/>
      <c r="I2972" s="14"/>
    </row>
    <row r="2973">
      <c r="A2973" s="14">
        <v>597.0</v>
      </c>
      <c r="B2973" s="14">
        <v>5.8890754E7</v>
      </c>
      <c r="C2973" s="14">
        <v>2.35178804E8</v>
      </c>
      <c r="D2973" s="2" t="s">
        <v>2729</v>
      </c>
      <c r="E2973" s="1" t="s">
        <v>699</v>
      </c>
      <c r="F2973" s="14">
        <v>0.0964</v>
      </c>
      <c r="G2973" s="15"/>
      <c r="H2973" s="16"/>
      <c r="I2973" s="14"/>
    </row>
    <row r="2974">
      <c r="A2974" s="14">
        <v>414.0</v>
      </c>
      <c r="B2974" s="14">
        <v>1.12969818E8</v>
      </c>
      <c r="C2974" s="14">
        <v>4.90893757E8</v>
      </c>
      <c r="D2974" s="2" t="s">
        <v>10</v>
      </c>
      <c r="E2974" s="1" t="s">
        <v>699</v>
      </c>
      <c r="F2974" s="14">
        <v>0.0964</v>
      </c>
      <c r="G2974" s="15"/>
      <c r="H2974" s="16"/>
      <c r="I2974" s="14"/>
    </row>
    <row r="2975">
      <c r="A2975" s="14">
        <v>504.0</v>
      </c>
      <c r="B2975" s="14">
        <v>2276565.0</v>
      </c>
      <c r="C2975" s="14">
        <v>9725889.0</v>
      </c>
      <c r="D2975" s="2" t="s">
        <v>5036</v>
      </c>
      <c r="E2975" s="1" t="s">
        <v>121</v>
      </c>
      <c r="F2975" s="14">
        <v>0.0935</v>
      </c>
      <c r="G2975" s="15"/>
      <c r="H2975" s="16"/>
      <c r="I2975" s="14"/>
    </row>
    <row r="2976">
      <c r="A2976" s="14">
        <v>120.0</v>
      </c>
      <c r="B2976" s="14">
        <v>2862547.0</v>
      </c>
      <c r="C2976" s="14">
        <v>1.2101167E7</v>
      </c>
      <c r="D2976" s="2" t="s">
        <v>4983</v>
      </c>
      <c r="E2976" s="1" t="s">
        <v>699</v>
      </c>
      <c r="F2976" s="14">
        <v>0.0772</v>
      </c>
      <c r="G2976" s="15"/>
      <c r="H2976" s="16"/>
      <c r="I2976" s="14"/>
    </row>
    <row r="2977">
      <c r="A2977" s="14">
        <v>402.0</v>
      </c>
      <c r="B2977" s="14">
        <v>3069588.0</v>
      </c>
      <c r="C2977" s="14">
        <v>1.3032455E7</v>
      </c>
      <c r="D2977" s="2" t="s">
        <v>4966</v>
      </c>
      <c r="E2977" s="1" t="s">
        <v>699</v>
      </c>
      <c r="F2977" s="14">
        <v>0.0772</v>
      </c>
      <c r="G2977" s="15"/>
      <c r="H2977" s="16"/>
      <c r="I2977" s="14"/>
    </row>
    <row r="2978">
      <c r="A2978" s="14">
        <v>671.0</v>
      </c>
      <c r="B2978" s="14">
        <v>3996382.0</v>
      </c>
      <c r="C2978" s="14">
        <v>1.89857979E8</v>
      </c>
      <c r="D2978" s="2" t="s">
        <v>4871</v>
      </c>
      <c r="E2978" s="1" t="s">
        <v>699</v>
      </c>
      <c r="F2978" s="14">
        <v>0.0772</v>
      </c>
      <c r="G2978" s="15"/>
      <c r="H2978" s="16"/>
      <c r="I2978" s="14"/>
    </row>
    <row r="2979">
      <c r="A2979" s="14">
        <v>395.0</v>
      </c>
      <c r="B2979" s="14">
        <v>6360308.0</v>
      </c>
      <c r="C2979" s="14">
        <v>2.7101388E7</v>
      </c>
      <c r="D2979" s="2" t="s">
        <v>4678</v>
      </c>
      <c r="E2979" s="1" t="s">
        <v>699</v>
      </c>
      <c r="F2979" s="14">
        <v>0.0772</v>
      </c>
      <c r="G2979" s="15"/>
      <c r="H2979" s="16"/>
      <c r="I2979" s="14"/>
    </row>
    <row r="2980">
      <c r="A2980" s="14">
        <v>565.0</v>
      </c>
      <c r="B2980" s="14">
        <v>1.1174087E7</v>
      </c>
      <c r="C2980" s="14">
        <v>4.71051638E8</v>
      </c>
      <c r="D2980" s="2" t="s">
        <v>4304</v>
      </c>
      <c r="E2980" s="1" t="s">
        <v>699</v>
      </c>
      <c r="F2980" s="14">
        <v>0.0772</v>
      </c>
      <c r="G2980" s="15"/>
      <c r="H2980" s="16"/>
      <c r="I2980" s="14"/>
    </row>
    <row r="2981">
      <c r="A2981" s="14">
        <v>410.0</v>
      </c>
      <c r="B2981" s="14">
        <v>2.3191315E7</v>
      </c>
      <c r="C2981" s="14">
        <v>9.5836001E7</v>
      </c>
      <c r="D2981" s="2" t="s">
        <v>3769</v>
      </c>
      <c r="E2981" s="1" t="s">
        <v>699</v>
      </c>
      <c r="F2981" s="14">
        <v>0.0772</v>
      </c>
      <c r="G2981" s="15"/>
      <c r="H2981" s="16"/>
      <c r="I2981" s="14"/>
    </row>
    <row r="2982">
      <c r="A2982" s="14">
        <v>662.0</v>
      </c>
      <c r="B2982" s="14">
        <v>2.8100605E7</v>
      </c>
      <c r="C2982" s="14">
        <v>1.13209264E8</v>
      </c>
      <c r="D2982" s="2" t="s">
        <v>3642</v>
      </c>
      <c r="E2982" s="1" t="s">
        <v>699</v>
      </c>
      <c r="F2982" s="14">
        <v>0.0772</v>
      </c>
      <c r="G2982" s="15"/>
      <c r="H2982" s="16"/>
      <c r="I2982" s="14"/>
    </row>
    <row r="2983">
      <c r="A2983" s="14">
        <v>194.0</v>
      </c>
      <c r="B2983" s="14">
        <v>3.8716547E7</v>
      </c>
      <c r="C2983" s="14">
        <v>1.53900918E8</v>
      </c>
      <c r="D2983" s="2" t="s">
        <v>3420</v>
      </c>
      <c r="E2983" s="1" t="s">
        <v>699</v>
      </c>
      <c r="F2983" s="14">
        <v>0.0772</v>
      </c>
      <c r="G2983" s="15"/>
      <c r="H2983" s="16"/>
      <c r="I2983" s="14"/>
    </row>
    <row r="2984">
      <c r="A2984" s="14">
        <v>712.0</v>
      </c>
      <c r="B2984" s="14">
        <v>4.3952133E7</v>
      </c>
      <c r="C2984" s="14">
        <v>1.74003417E8</v>
      </c>
      <c r="D2984" s="2" t="s">
        <v>3271</v>
      </c>
      <c r="E2984" s="1" t="s">
        <v>699</v>
      </c>
      <c r="F2984" s="14">
        <v>0.0772</v>
      </c>
      <c r="G2984" s="15"/>
      <c r="H2984" s="16"/>
      <c r="I2984" s="14"/>
    </row>
    <row r="2985">
      <c r="A2985" s="14">
        <v>602.0</v>
      </c>
      <c r="B2985" s="14">
        <v>5.9024279E7</v>
      </c>
      <c r="C2985" s="14">
        <v>2.35861947E8</v>
      </c>
      <c r="D2985" s="2" t="s">
        <v>2723</v>
      </c>
      <c r="E2985" s="1" t="s">
        <v>699</v>
      </c>
      <c r="F2985" s="14">
        <v>0.0772</v>
      </c>
      <c r="G2985" s="15"/>
      <c r="H2985" s="16"/>
      <c r="I2985" s="14"/>
    </row>
    <row r="2986">
      <c r="A2986" s="14">
        <v>120.0</v>
      </c>
      <c r="B2986" s="14">
        <v>6.0117617E7</v>
      </c>
      <c r="C2986" s="14">
        <v>4.1808658E8</v>
      </c>
      <c r="D2986" s="2" t="s">
        <v>2687</v>
      </c>
      <c r="E2986" s="1" t="s">
        <v>699</v>
      </c>
      <c r="F2986" s="14">
        <v>0.0772</v>
      </c>
      <c r="G2986" s="15"/>
      <c r="H2986" s="16"/>
      <c r="I2986" s="14"/>
    </row>
    <row r="2987">
      <c r="A2987" s="14">
        <v>565.0</v>
      </c>
      <c r="B2987" s="14">
        <v>7.7771197E7</v>
      </c>
      <c r="C2987" s="14">
        <v>4.33030198E8</v>
      </c>
      <c r="D2987" s="2" t="s">
        <v>1881</v>
      </c>
      <c r="E2987" s="1" t="s">
        <v>699</v>
      </c>
      <c r="F2987" s="14">
        <v>0.0772</v>
      </c>
      <c r="G2987" s="15"/>
      <c r="H2987" s="16"/>
      <c r="I2987" s="14"/>
    </row>
    <row r="2988">
      <c r="A2988" s="14">
        <v>213.0</v>
      </c>
      <c r="B2988" s="14">
        <v>9.0407263E7</v>
      </c>
      <c r="C2988" s="14">
        <v>3.83864229E8</v>
      </c>
      <c r="D2988" s="2" t="s">
        <v>1116</v>
      </c>
      <c r="E2988" s="1" t="s">
        <v>699</v>
      </c>
      <c r="F2988" s="14">
        <v>0.0772</v>
      </c>
      <c r="G2988" s="15"/>
      <c r="H2988" s="16"/>
      <c r="I2988" s="14"/>
    </row>
    <row r="2989">
      <c r="A2989" s="14">
        <v>425.0</v>
      </c>
      <c r="B2989" s="14">
        <v>883461.0</v>
      </c>
      <c r="C2989" s="14">
        <v>4141830.0</v>
      </c>
      <c r="D2989" s="2" t="s">
        <v>5053</v>
      </c>
      <c r="E2989" s="1" t="s">
        <v>121</v>
      </c>
      <c r="F2989" s="14">
        <v>0.0772</v>
      </c>
      <c r="G2989" s="15"/>
      <c r="H2989" s="16"/>
      <c r="I2989" s="14"/>
    </row>
    <row r="2990">
      <c r="A2990" s="14">
        <v>571.0</v>
      </c>
      <c r="B2990" s="14">
        <v>1177183.0</v>
      </c>
      <c r="C2990" s="14">
        <v>2.4411524E7</v>
      </c>
      <c r="D2990" s="2" t="s">
        <v>5054</v>
      </c>
      <c r="E2990" s="1" t="s">
        <v>121</v>
      </c>
      <c r="F2990" s="14">
        <v>0.0772</v>
      </c>
      <c r="G2990" s="15"/>
      <c r="H2990" s="16"/>
      <c r="I2990" s="14"/>
    </row>
    <row r="2991">
      <c r="A2991" s="14">
        <v>326.0</v>
      </c>
      <c r="B2991" s="14">
        <v>1815152.0</v>
      </c>
      <c r="C2991" s="14">
        <v>7927150.0</v>
      </c>
      <c r="D2991" s="2" t="s">
        <v>5055</v>
      </c>
      <c r="E2991" s="1" t="s">
        <v>121</v>
      </c>
      <c r="F2991" s="14">
        <v>0.0772</v>
      </c>
      <c r="G2991" s="15"/>
      <c r="H2991" s="16"/>
      <c r="I2991" s="14"/>
    </row>
    <row r="2992">
      <c r="A2992" s="14">
        <v>378.0</v>
      </c>
      <c r="B2992" s="14">
        <v>8686475.0</v>
      </c>
      <c r="C2992" s="14">
        <v>3.6858803E7</v>
      </c>
      <c r="D2992" s="2" t="s">
        <v>4498</v>
      </c>
      <c r="E2992" s="1" t="s">
        <v>121</v>
      </c>
      <c r="F2992" s="14">
        <v>0.0772</v>
      </c>
      <c r="G2992" s="15"/>
      <c r="H2992" s="16"/>
      <c r="I2992" s="14"/>
    </row>
    <row r="2993">
      <c r="A2993" s="14">
        <v>410.0</v>
      </c>
      <c r="B2993" s="14">
        <v>3.1378016E7</v>
      </c>
      <c r="C2993" s="14">
        <v>1.25925678E8</v>
      </c>
      <c r="D2993" s="2" t="s">
        <v>3555</v>
      </c>
      <c r="E2993" s="1" t="s">
        <v>121</v>
      </c>
      <c r="F2993" s="14">
        <v>0.0772</v>
      </c>
      <c r="G2993" s="15"/>
      <c r="H2993" s="16"/>
      <c r="I2993" s="14"/>
    </row>
    <row r="2994">
      <c r="A2994" s="14">
        <v>601.0</v>
      </c>
      <c r="B2994" s="14">
        <v>6.0847656E7</v>
      </c>
      <c r="C2994" s="14">
        <v>2.44783737E8</v>
      </c>
      <c r="D2994" s="2" t="s">
        <v>2658</v>
      </c>
      <c r="E2994" s="1" t="s">
        <v>121</v>
      </c>
      <c r="F2994" s="14">
        <v>0.0772</v>
      </c>
      <c r="G2994" s="15"/>
      <c r="H2994" s="16"/>
      <c r="I2994" s="14"/>
    </row>
    <row r="2995">
      <c r="A2995" s="14">
        <v>173.0</v>
      </c>
      <c r="B2995" s="14">
        <v>6.2458527E7</v>
      </c>
      <c r="C2995" s="14">
        <v>3.21078176E8</v>
      </c>
      <c r="D2995" s="2" t="s">
        <v>2594</v>
      </c>
      <c r="E2995" s="1" t="s">
        <v>121</v>
      </c>
      <c r="F2995" s="14">
        <v>0.0772</v>
      </c>
      <c r="G2995" s="15"/>
      <c r="H2995" s="16"/>
      <c r="I2995" s="14"/>
    </row>
    <row r="2996">
      <c r="A2996" s="14">
        <v>353.0</v>
      </c>
      <c r="B2996" s="14">
        <v>6.7312674E7</v>
      </c>
      <c r="C2996" s="14">
        <v>4.75182717E8</v>
      </c>
      <c r="D2996" s="2" t="s">
        <v>2369</v>
      </c>
      <c r="E2996" s="1" t="s">
        <v>121</v>
      </c>
      <c r="F2996" s="14">
        <v>0.0772</v>
      </c>
      <c r="G2996" s="15"/>
      <c r="H2996" s="16"/>
      <c r="I2996" s="14"/>
    </row>
    <row r="2997">
      <c r="A2997" s="14">
        <v>571.0</v>
      </c>
      <c r="B2997" s="14">
        <v>9.6704857E7</v>
      </c>
      <c r="C2997" s="14">
        <v>4.13373508E8</v>
      </c>
      <c r="D2997" s="2" t="s">
        <v>780</v>
      </c>
      <c r="E2997" s="1" t="s">
        <v>121</v>
      </c>
      <c r="F2997" s="14">
        <v>0.0772</v>
      </c>
      <c r="G2997" s="15"/>
      <c r="H2997" s="16"/>
      <c r="I2997" s="14"/>
    </row>
    <row r="2998">
      <c r="A2998" s="14">
        <v>676.0</v>
      </c>
      <c r="B2998" s="14">
        <v>9.7994459E7</v>
      </c>
      <c r="C2998" s="14">
        <v>4.19240543E8</v>
      </c>
      <c r="D2998" s="2" t="s">
        <v>710</v>
      </c>
      <c r="E2998" s="1" t="s">
        <v>121</v>
      </c>
      <c r="F2998" s="14">
        <v>0.0772</v>
      </c>
      <c r="G2998" s="15"/>
      <c r="H2998" s="16"/>
      <c r="I2998" s="14"/>
    </row>
    <row r="2999">
      <c r="A2999" s="14">
        <v>715.0</v>
      </c>
      <c r="B2999" s="14">
        <v>1.0383622E7</v>
      </c>
      <c r="C2999" s="14">
        <v>4.4153495E7</v>
      </c>
      <c r="D2999" s="2" t="s">
        <v>4370</v>
      </c>
      <c r="E2999" s="1" t="s">
        <v>699</v>
      </c>
      <c r="F2999" s="14">
        <v>0.077</v>
      </c>
      <c r="G2999" s="15"/>
      <c r="H2999" s="16"/>
      <c r="I2999" s="14"/>
    </row>
    <row r="3000">
      <c r="A3000" s="14">
        <v>531.0</v>
      </c>
      <c r="B3000" s="14">
        <v>7.5520408E7</v>
      </c>
      <c r="C3000" s="14">
        <v>3.13683052E8</v>
      </c>
      <c r="D3000" s="2" t="s">
        <v>1993</v>
      </c>
      <c r="E3000" s="1" t="s">
        <v>699</v>
      </c>
      <c r="F3000" s="14">
        <v>0.0762</v>
      </c>
      <c r="G3000" s="15"/>
      <c r="H3000" s="16"/>
      <c r="I3000" s="14"/>
    </row>
    <row r="3001">
      <c r="A3001" s="14">
        <v>645.0</v>
      </c>
      <c r="B3001" s="14">
        <v>8.4350237E7</v>
      </c>
      <c r="C3001" s="14">
        <v>3.545413E8</v>
      </c>
      <c r="D3001" s="2" t="s">
        <v>1476</v>
      </c>
      <c r="E3001" s="1" t="s">
        <v>699</v>
      </c>
      <c r="F3001" s="14">
        <v>0.0762</v>
      </c>
      <c r="G3001" s="15"/>
      <c r="H3001" s="16"/>
      <c r="I3001" s="14"/>
    </row>
    <row r="3002">
      <c r="A3002" s="14">
        <v>500.0</v>
      </c>
      <c r="B3002" s="14">
        <v>8042368.0</v>
      </c>
      <c r="C3002" s="14">
        <v>3.4081148E7</v>
      </c>
      <c r="D3002" s="2" t="s">
        <v>4540</v>
      </c>
      <c r="E3002" s="1" t="s">
        <v>121</v>
      </c>
      <c r="F3002" s="14">
        <v>0.0736</v>
      </c>
      <c r="G3002" s="15"/>
      <c r="H3002" s="16"/>
      <c r="I3002" s="14"/>
    </row>
    <row r="3003">
      <c r="A3003" s="14">
        <v>603.0</v>
      </c>
      <c r="B3003" s="14">
        <v>3.8730618E7</v>
      </c>
      <c r="C3003" s="14">
        <v>1.88261499E8</v>
      </c>
      <c r="D3003" s="2" t="s">
        <v>3417</v>
      </c>
      <c r="E3003" s="1" t="s">
        <v>121</v>
      </c>
      <c r="F3003" s="14">
        <v>0.0714</v>
      </c>
      <c r="G3003" s="15"/>
      <c r="H3003" s="16"/>
      <c r="I3003" s="14"/>
    </row>
    <row r="3004">
      <c r="A3004" s="14">
        <v>565.0</v>
      </c>
      <c r="B3004" s="14">
        <v>3.752582E7</v>
      </c>
      <c r="C3004" s="14">
        <v>1.49188589E8</v>
      </c>
      <c r="D3004" s="2" t="s">
        <v>3440</v>
      </c>
      <c r="E3004" s="1" t="s">
        <v>121</v>
      </c>
      <c r="F3004" s="14">
        <v>0.069</v>
      </c>
      <c r="G3004" s="15"/>
      <c r="H3004" s="16"/>
      <c r="I3004" s="14"/>
    </row>
    <row r="3005">
      <c r="A3005" s="14">
        <v>609.0</v>
      </c>
      <c r="B3005" s="14">
        <v>1.1711735E7</v>
      </c>
      <c r="C3005" s="14">
        <v>4.9812549E7</v>
      </c>
      <c r="D3005" s="2" t="s">
        <v>4270</v>
      </c>
      <c r="E3005" s="1" t="s">
        <v>121</v>
      </c>
      <c r="F3005" s="14">
        <v>0.0688</v>
      </c>
      <c r="G3005" s="15"/>
      <c r="H3005" s="16"/>
      <c r="I3005" s="14"/>
    </row>
    <row r="3006">
      <c r="A3006" s="14">
        <v>484.0</v>
      </c>
      <c r="B3006" s="14">
        <v>4.7774705E7</v>
      </c>
      <c r="C3006" s="14">
        <v>1.88966855E8</v>
      </c>
      <c r="D3006" s="2" t="s">
        <v>3123</v>
      </c>
      <c r="E3006" s="1" t="s">
        <v>121</v>
      </c>
      <c r="F3006" s="14">
        <v>0.0653</v>
      </c>
      <c r="G3006" s="15"/>
      <c r="H3006" s="16"/>
      <c r="I3006" s="14"/>
    </row>
    <row r="3007">
      <c r="A3007" s="14">
        <v>207.0</v>
      </c>
      <c r="B3007" s="14">
        <v>6390299.0</v>
      </c>
      <c r="C3007" s="14">
        <v>2.7184386E7</v>
      </c>
      <c r="D3007" s="2" t="s">
        <v>4672</v>
      </c>
      <c r="E3007" s="1" t="s">
        <v>121</v>
      </c>
      <c r="F3007" s="14">
        <v>0.0635</v>
      </c>
      <c r="G3007" s="15"/>
      <c r="H3007" s="16"/>
      <c r="I3007" s="14"/>
    </row>
    <row r="3008">
      <c r="A3008" s="14">
        <v>715.0</v>
      </c>
      <c r="B3008" s="14">
        <v>3146952.0</v>
      </c>
      <c r="C3008" s="14">
        <v>1.3348193E7</v>
      </c>
      <c r="D3008" s="2" t="s">
        <v>4950</v>
      </c>
      <c r="E3008" s="1" t="s">
        <v>121</v>
      </c>
      <c r="F3008" s="14">
        <v>0.0624</v>
      </c>
      <c r="G3008" s="15"/>
      <c r="H3008" s="16"/>
      <c r="I3008" s="14"/>
    </row>
    <row r="3009">
      <c r="A3009" s="14">
        <v>671.0</v>
      </c>
      <c r="B3009" s="14">
        <v>9108339.0</v>
      </c>
      <c r="C3009" s="14">
        <v>3.8621904E7</v>
      </c>
      <c r="D3009" s="2" t="s">
        <v>4466</v>
      </c>
      <c r="E3009" s="1" t="s">
        <v>121</v>
      </c>
      <c r="F3009" s="14">
        <v>0.054</v>
      </c>
      <c r="G3009" s="15"/>
      <c r="H3009" s="16"/>
      <c r="I3009" s="14"/>
    </row>
    <row r="3010">
      <c r="A3010" s="14">
        <v>129.0</v>
      </c>
      <c r="B3010" s="14">
        <v>9.3992907E7</v>
      </c>
      <c r="C3010" s="14">
        <v>3.99452155E8</v>
      </c>
      <c r="D3010" s="2" t="s">
        <v>928</v>
      </c>
      <c r="E3010" s="1" t="s">
        <v>121</v>
      </c>
      <c r="F3010" s="14">
        <v>0.0524</v>
      </c>
      <c r="G3010" s="15"/>
      <c r="H3010" s="16"/>
      <c r="I3010" s="14"/>
    </row>
    <row r="3011">
      <c r="A3011" s="14">
        <v>173.0</v>
      </c>
      <c r="B3011" s="14">
        <v>948098.0</v>
      </c>
      <c r="C3011" s="14">
        <v>4389488.0</v>
      </c>
      <c r="D3011" s="2" t="s">
        <v>5066</v>
      </c>
      <c r="E3011" s="1" t="s">
        <v>121</v>
      </c>
      <c r="F3011" s="14">
        <v>0.0516</v>
      </c>
      <c r="G3011" s="15"/>
      <c r="H3011" s="16"/>
      <c r="I3011" s="14"/>
    </row>
    <row r="3012">
      <c r="A3012" s="14">
        <v>353.0</v>
      </c>
      <c r="B3012" s="14">
        <v>1.01909854E8</v>
      </c>
      <c r="C3012" s="14">
        <v>4.37598886E8</v>
      </c>
      <c r="D3012" s="2" t="s">
        <v>474</v>
      </c>
      <c r="E3012" s="1" t="s">
        <v>121</v>
      </c>
      <c r="F3012" s="14">
        <v>0.0516</v>
      </c>
      <c r="G3012" s="15"/>
      <c r="H3012" s="16"/>
      <c r="I3012" s="14"/>
    </row>
    <row r="3013">
      <c r="A3013" s="14">
        <v>504.0</v>
      </c>
      <c r="B3013" s="14">
        <v>1311632.0</v>
      </c>
      <c r="C3013" s="14">
        <v>5865932.0</v>
      </c>
      <c r="D3013" s="2" t="s">
        <v>5067</v>
      </c>
      <c r="E3013" s="1" t="s">
        <v>121</v>
      </c>
      <c r="F3013" s="14">
        <v>0.05</v>
      </c>
      <c r="G3013" s="15"/>
      <c r="H3013" s="16"/>
      <c r="I3013" s="14"/>
    </row>
    <row r="3014">
      <c r="A3014" s="14">
        <v>244.0</v>
      </c>
      <c r="B3014" s="14">
        <v>7.0539494E7</v>
      </c>
      <c r="C3014" s="14">
        <v>2.90948109E8</v>
      </c>
      <c r="D3014" s="2" t="s">
        <v>2185</v>
      </c>
      <c r="E3014" s="1" t="s">
        <v>121</v>
      </c>
      <c r="F3014" s="14">
        <v>0.049</v>
      </c>
      <c r="G3014" s="15"/>
      <c r="H3014" s="16"/>
      <c r="I3014" s="14"/>
    </row>
    <row r="3015">
      <c r="A3015" s="14">
        <v>667.0</v>
      </c>
      <c r="B3015" s="14">
        <v>6.570171E7</v>
      </c>
      <c r="C3015" s="14">
        <v>2.67867803E8</v>
      </c>
      <c r="D3015" s="2" t="s">
        <v>2459</v>
      </c>
      <c r="E3015" s="1" t="s">
        <v>121</v>
      </c>
      <c r="F3015" s="14">
        <v>0.0454</v>
      </c>
      <c r="G3015" s="15"/>
      <c r="H3015" s="16"/>
      <c r="I3015" s="14"/>
    </row>
    <row r="3016">
      <c r="A3016" s="14">
        <v>700.0</v>
      </c>
      <c r="B3016" s="14">
        <v>1.3755147E7</v>
      </c>
      <c r="C3016" s="14">
        <v>5.8485649E7</v>
      </c>
      <c r="D3016" s="2" t="s">
        <v>4176</v>
      </c>
      <c r="E3016" s="1" t="s">
        <v>121</v>
      </c>
      <c r="F3016" s="14">
        <v>0.0396</v>
      </c>
      <c r="G3016" s="15"/>
      <c r="H3016" s="16"/>
      <c r="I3016" s="14"/>
    </row>
    <row r="3017">
      <c r="A3017" s="14">
        <v>555.0</v>
      </c>
      <c r="B3017" s="14">
        <v>3578897.0</v>
      </c>
      <c r="C3017" s="14">
        <v>1.5171323E7</v>
      </c>
      <c r="D3017" s="2" t="s">
        <v>4912</v>
      </c>
      <c r="E3017" s="1" t="s">
        <v>121</v>
      </c>
      <c r="F3017" s="14">
        <v>0.0382</v>
      </c>
      <c r="G3017" s="15"/>
      <c r="H3017" s="16"/>
      <c r="I3017" s="14"/>
    </row>
    <row r="3018">
      <c r="A3018" s="14">
        <v>492.0</v>
      </c>
      <c r="B3018" s="14">
        <v>9.9401187E7</v>
      </c>
      <c r="C3018" s="14">
        <v>4.25764243E8</v>
      </c>
      <c r="D3018" s="2" t="s">
        <v>621</v>
      </c>
      <c r="E3018" s="1" t="s">
        <v>121</v>
      </c>
      <c r="F3018" s="14">
        <v>0.0352</v>
      </c>
      <c r="G3018" s="15"/>
      <c r="H3018" s="16"/>
      <c r="I3018" s="14"/>
    </row>
    <row r="3019">
      <c r="A3019" s="14">
        <v>571.0</v>
      </c>
      <c r="B3019" s="14">
        <v>3983935.0</v>
      </c>
      <c r="C3019" s="14">
        <v>1.6854273E7</v>
      </c>
      <c r="D3019" s="2" t="s">
        <v>4874</v>
      </c>
      <c r="E3019" s="1" t="s">
        <v>121</v>
      </c>
      <c r="F3019" s="14">
        <v>0.0314</v>
      </c>
      <c r="G3019" s="15"/>
      <c r="H3019" s="16"/>
      <c r="I3019" s="14"/>
    </row>
    <row r="3020">
      <c r="A3020" s="14">
        <v>120.0</v>
      </c>
      <c r="B3020" s="14">
        <v>9053097.0</v>
      </c>
      <c r="C3020" s="14">
        <v>3.8393307E7</v>
      </c>
      <c r="D3020" s="2" t="s">
        <v>4469</v>
      </c>
      <c r="E3020" s="1" t="s">
        <v>107</v>
      </c>
      <c r="F3020" s="14">
        <v>0.0258</v>
      </c>
      <c r="G3020" s="15"/>
      <c r="H3020" s="16"/>
      <c r="I3020" s="14"/>
    </row>
    <row r="3021">
      <c r="A3021" s="14">
        <v>223.0</v>
      </c>
      <c r="B3021" s="14">
        <v>370741.0</v>
      </c>
      <c r="C3021" s="14">
        <v>1618676.0</v>
      </c>
      <c r="D3021" s="2" t="s">
        <v>5071</v>
      </c>
      <c r="E3021" s="1" t="s">
        <v>699</v>
      </c>
      <c r="F3021" s="14">
        <v>0.0258</v>
      </c>
      <c r="G3021" s="15"/>
      <c r="H3021" s="16"/>
      <c r="I3021" s="14"/>
    </row>
    <row r="3022">
      <c r="A3022" s="14">
        <v>160.0</v>
      </c>
      <c r="B3022" s="14">
        <v>566256.0</v>
      </c>
      <c r="C3022" s="14">
        <v>2734096.0</v>
      </c>
      <c r="D3022" s="2" t="s">
        <v>5072</v>
      </c>
      <c r="E3022" s="1" t="s">
        <v>699</v>
      </c>
      <c r="F3022" s="14">
        <v>0.0258</v>
      </c>
      <c r="G3022" s="15"/>
      <c r="H3022" s="16"/>
      <c r="I3022" s="14"/>
    </row>
    <row r="3023">
      <c r="A3023" s="14">
        <v>228.0</v>
      </c>
      <c r="B3023" s="14">
        <v>1310594.0</v>
      </c>
      <c r="C3023" s="14">
        <v>5889284.0</v>
      </c>
      <c r="D3023" s="2" t="s">
        <v>5074</v>
      </c>
      <c r="E3023" s="1" t="s">
        <v>699</v>
      </c>
      <c r="F3023" s="14">
        <v>0.0258</v>
      </c>
      <c r="G3023" s="15"/>
      <c r="H3023" s="16"/>
      <c r="I3023" s="14"/>
    </row>
    <row r="3024">
      <c r="A3024" s="14">
        <v>522.0</v>
      </c>
      <c r="B3024" s="14">
        <v>1328634.0</v>
      </c>
      <c r="C3024" s="14">
        <v>5925006.0</v>
      </c>
      <c r="D3024" s="2" t="s">
        <v>5075</v>
      </c>
      <c r="E3024" s="1" t="s">
        <v>699</v>
      </c>
      <c r="F3024" s="14">
        <v>0.0258</v>
      </c>
      <c r="G3024" s="15"/>
      <c r="H3024" s="16"/>
      <c r="I3024" s="14"/>
    </row>
    <row r="3025">
      <c r="A3025" s="14">
        <v>180.0</v>
      </c>
      <c r="B3025" s="14">
        <v>3183670.0</v>
      </c>
      <c r="C3025" s="14">
        <v>1.3521554E7</v>
      </c>
      <c r="D3025" s="2" t="s">
        <v>4944</v>
      </c>
      <c r="E3025" s="1" t="s">
        <v>699</v>
      </c>
      <c r="F3025" s="14">
        <v>0.0258</v>
      </c>
      <c r="G3025" s="15"/>
      <c r="H3025" s="16"/>
      <c r="I3025" s="14"/>
    </row>
    <row r="3026">
      <c r="A3026" s="14">
        <v>142.0</v>
      </c>
      <c r="B3026" s="14">
        <v>2.1806143E7</v>
      </c>
      <c r="C3026" s="14">
        <v>9.0637634E7</v>
      </c>
      <c r="D3026" s="2" t="s">
        <v>3811</v>
      </c>
      <c r="E3026" s="1" t="s">
        <v>699</v>
      </c>
      <c r="F3026" s="14">
        <v>0.0258</v>
      </c>
      <c r="G3026" s="15"/>
      <c r="H3026" s="16"/>
      <c r="I3026" s="14"/>
    </row>
    <row r="3027">
      <c r="A3027" s="14">
        <v>677.0</v>
      </c>
      <c r="B3027" s="14">
        <v>5.1654231E7</v>
      </c>
      <c r="C3027" s="14">
        <v>2.04741029E8</v>
      </c>
      <c r="D3027" s="2" t="s">
        <v>2959</v>
      </c>
      <c r="E3027" s="1" t="s">
        <v>699</v>
      </c>
      <c r="F3027" s="14">
        <v>0.0258</v>
      </c>
      <c r="G3027" s="15"/>
      <c r="H3027" s="16"/>
      <c r="I3027" s="14"/>
    </row>
    <row r="3028">
      <c r="A3028" s="14">
        <v>671.0</v>
      </c>
      <c r="B3028" s="14">
        <v>5.8472099E7</v>
      </c>
      <c r="C3028" s="14">
        <v>2.33414411E8</v>
      </c>
      <c r="D3028" s="2" t="s">
        <v>2738</v>
      </c>
      <c r="E3028" s="1" t="s">
        <v>699</v>
      </c>
      <c r="F3028" s="14">
        <v>0.0258</v>
      </c>
      <c r="G3028" s="15"/>
      <c r="H3028" s="16"/>
      <c r="I3028" s="14"/>
    </row>
    <row r="3029">
      <c r="A3029" s="14">
        <v>601.0</v>
      </c>
      <c r="B3029" s="14">
        <v>2787563.0</v>
      </c>
      <c r="C3029" s="14">
        <v>1.1778236E7</v>
      </c>
      <c r="D3029" s="2" t="s">
        <v>4993</v>
      </c>
      <c r="E3029" s="1" t="s">
        <v>121</v>
      </c>
      <c r="F3029" s="14">
        <v>0.0258</v>
      </c>
      <c r="G3029" s="15"/>
      <c r="H3029" s="16"/>
      <c r="I3029" s="14"/>
    </row>
    <row r="3030">
      <c r="A3030" s="14">
        <v>531.0</v>
      </c>
      <c r="B3030" s="14">
        <v>8733207.0</v>
      </c>
      <c r="C3030" s="14">
        <v>3.7081582E7</v>
      </c>
      <c r="D3030" s="2" t="s">
        <v>4494</v>
      </c>
      <c r="E3030" s="1" t="s">
        <v>121</v>
      </c>
      <c r="F3030" s="14">
        <v>0.0258</v>
      </c>
      <c r="G3030" s="15"/>
      <c r="H3030" s="16"/>
      <c r="I3030" s="14"/>
    </row>
    <row r="3031">
      <c r="A3031" s="14">
        <v>673.0</v>
      </c>
      <c r="B3031" s="14">
        <v>1.0958224E7</v>
      </c>
      <c r="C3031" s="14">
        <v>3.90894935E8</v>
      </c>
      <c r="D3031" s="2" t="s">
        <v>4321</v>
      </c>
      <c r="E3031" s="1" t="s">
        <v>121</v>
      </c>
      <c r="F3031" s="14">
        <v>0.0258</v>
      </c>
      <c r="G3031" s="15"/>
      <c r="H3031" s="16"/>
      <c r="I3031" s="14"/>
    </row>
    <row r="3032">
      <c r="A3032" s="14">
        <v>244.0</v>
      </c>
      <c r="B3032" s="14">
        <v>1.4607022E7</v>
      </c>
      <c r="C3032" s="14">
        <v>6.2143182E7</v>
      </c>
      <c r="D3032" s="2" t="s">
        <v>4121</v>
      </c>
      <c r="E3032" s="1" t="s">
        <v>121</v>
      </c>
      <c r="F3032" s="14">
        <v>0.0258</v>
      </c>
      <c r="G3032" s="15"/>
      <c r="H3032" s="16"/>
      <c r="I3032" s="14"/>
    </row>
    <row r="3033">
      <c r="A3033" s="14">
        <v>696.0</v>
      </c>
      <c r="B3033" s="14">
        <v>1.7881222E7</v>
      </c>
      <c r="C3033" s="14">
        <v>7.5229776E7</v>
      </c>
      <c r="D3033" s="2" t="s">
        <v>3942</v>
      </c>
      <c r="E3033" s="1" t="s">
        <v>121</v>
      </c>
      <c r="F3033" s="14">
        <v>0.0258</v>
      </c>
      <c r="G3033" s="15"/>
      <c r="H3033" s="16"/>
      <c r="I3033" s="14"/>
    </row>
    <row r="3034">
      <c r="A3034" s="14">
        <v>410.0</v>
      </c>
      <c r="B3034" s="14">
        <v>2.6019325E7</v>
      </c>
      <c r="C3034" s="14">
        <v>1.05648543E8</v>
      </c>
      <c r="D3034" s="2" t="s">
        <v>3705</v>
      </c>
      <c r="E3034" s="1" t="s">
        <v>121</v>
      </c>
      <c r="F3034" s="14">
        <v>0.0258</v>
      </c>
      <c r="G3034" s="15"/>
      <c r="H3034" s="16"/>
      <c r="I3034" s="14"/>
    </row>
    <row r="3035">
      <c r="A3035" s="14">
        <v>194.0</v>
      </c>
      <c r="B3035" s="14">
        <v>3.1714296E7</v>
      </c>
      <c r="C3035" s="14">
        <v>1.2708938E8</v>
      </c>
      <c r="D3035" s="2" t="s">
        <v>3549</v>
      </c>
      <c r="E3035" s="1" t="s">
        <v>121</v>
      </c>
      <c r="F3035" s="14">
        <v>0.0258</v>
      </c>
      <c r="G3035" s="15"/>
      <c r="H3035" s="16"/>
      <c r="I3035" s="14"/>
    </row>
    <row r="3036">
      <c r="A3036" s="14">
        <v>419.0</v>
      </c>
      <c r="B3036" s="14">
        <v>4.1984523E7</v>
      </c>
      <c r="C3036" s="14">
        <v>1.66016474E8</v>
      </c>
      <c r="D3036" s="2" t="s">
        <v>3321</v>
      </c>
      <c r="E3036" s="1" t="s">
        <v>121</v>
      </c>
      <c r="F3036" s="14">
        <v>0.0258</v>
      </c>
      <c r="G3036" s="15"/>
      <c r="H3036" s="16"/>
      <c r="I3036" s="14"/>
    </row>
    <row r="3037">
      <c r="A3037" s="14">
        <v>207.0</v>
      </c>
      <c r="B3037" s="14">
        <v>4.2037019E7</v>
      </c>
      <c r="C3037" s="14">
        <v>1.66560223E8</v>
      </c>
      <c r="D3037" s="2" t="s">
        <v>3319</v>
      </c>
      <c r="E3037" s="1" t="s">
        <v>121</v>
      </c>
      <c r="F3037" s="14">
        <v>0.0258</v>
      </c>
      <c r="G3037" s="15"/>
      <c r="H3037" s="16"/>
      <c r="I3037" s="14"/>
    </row>
    <row r="3038">
      <c r="A3038" s="14">
        <v>573.0</v>
      </c>
      <c r="B3038" s="14">
        <v>9222480.0</v>
      </c>
      <c r="C3038" s="14">
        <v>3.9115744E7</v>
      </c>
      <c r="D3038" s="2" t="s">
        <v>4453</v>
      </c>
      <c r="E3038" s="1" t="s">
        <v>121</v>
      </c>
      <c r="F3038" s="14">
        <v>0.0227</v>
      </c>
      <c r="G3038" s="15"/>
      <c r="H3038" s="16"/>
      <c r="I3038" s="14"/>
    </row>
    <row r="3039">
      <c r="A3039" s="14">
        <v>673.0</v>
      </c>
      <c r="B3039" s="14">
        <v>4.3782623E7</v>
      </c>
      <c r="C3039" s="14">
        <v>1.73045515E8</v>
      </c>
      <c r="D3039" s="2" t="s">
        <v>3278</v>
      </c>
      <c r="E3039" s="1" t="s">
        <v>121</v>
      </c>
      <c r="F3039" s="14">
        <v>0.0183</v>
      </c>
      <c r="G3039" s="15"/>
      <c r="H3039" s="16"/>
      <c r="I3039" s="14"/>
    </row>
    <row r="3040">
      <c r="A3040" s="14">
        <v>608.0</v>
      </c>
      <c r="B3040" s="14">
        <v>3.0442154E7</v>
      </c>
      <c r="C3040" s="14">
        <v>1.22067471E8</v>
      </c>
      <c r="D3040" s="2" t="s">
        <v>3572</v>
      </c>
      <c r="E3040" s="1" t="s">
        <v>121</v>
      </c>
      <c r="F3040" s="14">
        <v>0.0166</v>
      </c>
      <c r="G3040" s="15"/>
      <c r="H3040" s="16"/>
      <c r="I3040" s="14"/>
    </row>
    <row r="3041">
      <c r="A3041" s="14">
        <v>674.0</v>
      </c>
      <c r="B3041" s="14">
        <v>1.0617338E8</v>
      </c>
      <c r="C3041" s="14">
        <v>4.57859728E8</v>
      </c>
      <c r="D3041" s="2" t="s">
        <v>305</v>
      </c>
      <c r="E3041" s="1" t="s">
        <v>121</v>
      </c>
      <c r="F3041" s="14">
        <v>0.015</v>
      </c>
      <c r="G3041" s="15"/>
      <c r="H3041" s="16"/>
      <c r="I3041" s="14"/>
    </row>
    <row r="3042">
      <c r="A3042" s="14">
        <v>173.0</v>
      </c>
      <c r="B3042" s="14">
        <v>9.8245418E7</v>
      </c>
      <c r="C3042" s="14">
        <v>4.20310216E8</v>
      </c>
      <c r="D3042" s="2" t="s">
        <v>684</v>
      </c>
      <c r="E3042" s="1" t="s">
        <v>107</v>
      </c>
      <c r="F3042" s="14">
        <v>0.0147</v>
      </c>
      <c r="G3042" s="15"/>
      <c r="H3042" s="16"/>
      <c r="I3042" s="14"/>
    </row>
    <row r="3043">
      <c r="A3043" s="14">
        <v>380.0</v>
      </c>
      <c r="B3043" s="14">
        <v>8111116.0</v>
      </c>
      <c r="C3043" s="14">
        <v>3.4352941E7</v>
      </c>
      <c r="D3043" s="2" t="s">
        <v>4535</v>
      </c>
      <c r="E3043" s="1" t="s">
        <v>121</v>
      </c>
      <c r="F3043" s="14">
        <v>0.012</v>
      </c>
      <c r="G3043" s="15"/>
      <c r="H3043" s="16"/>
      <c r="I3043" s="14"/>
    </row>
    <row r="3044">
      <c r="A3044" s="14">
        <v>503.0</v>
      </c>
      <c r="B3044" s="14">
        <v>4996027.0</v>
      </c>
      <c r="C3044" s="14">
        <v>2.1319925E7</v>
      </c>
      <c r="D3044" s="2" t="s">
        <v>4794</v>
      </c>
      <c r="E3044" s="1" t="s">
        <v>121</v>
      </c>
      <c r="F3044" s="14">
        <v>0.0018</v>
      </c>
      <c r="G3044" s="15"/>
      <c r="H3044" s="16"/>
      <c r="I3044" s="14"/>
    </row>
    <row r="3045">
      <c r="A3045" s="14">
        <v>380.0</v>
      </c>
      <c r="B3045" s="14">
        <v>2.250623E7</v>
      </c>
      <c r="C3045" s="14">
        <v>9.3128958E7</v>
      </c>
      <c r="D3045" s="2" t="s">
        <v>3789</v>
      </c>
      <c r="E3045" s="1" t="s">
        <v>121</v>
      </c>
      <c r="F3045" s="14">
        <v>0.0018</v>
      </c>
      <c r="G3045" s="15"/>
      <c r="H3045" s="16"/>
      <c r="I3045" s="14"/>
    </row>
    <row r="3046">
      <c r="A3046" s="14">
        <v>601.0</v>
      </c>
      <c r="B3046" s="14">
        <v>8.2087496E7</v>
      </c>
      <c r="C3046" s="14">
        <v>3.43947245E8</v>
      </c>
      <c r="D3046" s="2" t="s">
        <v>1625</v>
      </c>
      <c r="E3046" s="1" t="s">
        <v>121</v>
      </c>
      <c r="F3046" s="14">
        <v>0.0015</v>
      </c>
      <c r="G3046" s="15"/>
      <c r="H3046" s="16"/>
      <c r="I3046" s="14"/>
    </row>
    <row r="3047">
      <c r="A3047" s="14">
        <v>93.0</v>
      </c>
      <c r="B3047" s="14">
        <v>105546.0</v>
      </c>
      <c r="C3047" s="14">
        <v>8878792.0</v>
      </c>
      <c r="D3047" s="2" t="s">
        <v>5086</v>
      </c>
      <c r="E3047" s="1" t="s">
        <v>107</v>
      </c>
      <c r="F3047" s="14">
        <v>0.0</v>
      </c>
      <c r="G3047" s="15"/>
      <c r="H3047" s="16"/>
      <c r="I3047" s="14"/>
    </row>
    <row r="3048">
      <c r="A3048" s="14">
        <v>550.0</v>
      </c>
      <c r="B3048" s="14">
        <v>1200877.0</v>
      </c>
      <c r="C3048" s="14">
        <v>5377202.0</v>
      </c>
      <c r="D3048" s="2" t="s">
        <v>5088</v>
      </c>
      <c r="E3048" s="1" t="s">
        <v>107</v>
      </c>
      <c r="F3048" s="14">
        <v>0.0</v>
      </c>
      <c r="G3048" s="15"/>
      <c r="H3048" s="16"/>
      <c r="I3048" s="14"/>
    </row>
    <row r="3049">
      <c r="A3049" s="14">
        <v>142.0</v>
      </c>
      <c r="B3049" s="14">
        <v>4153785.0</v>
      </c>
      <c r="C3049" s="14">
        <v>1.7654642E7</v>
      </c>
      <c r="D3049" s="2" t="s">
        <v>4861</v>
      </c>
      <c r="E3049" s="1" t="s">
        <v>107</v>
      </c>
      <c r="F3049" s="14">
        <v>0.0</v>
      </c>
      <c r="G3049" s="15"/>
      <c r="H3049" s="16"/>
      <c r="I3049" s="14"/>
    </row>
    <row r="3050">
      <c r="A3050" s="14">
        <v>401.0</v>
      </c>
      <c r="B3050" s="14">
        <v>5670869.0</v>
      </c>
      <c r="C3050" s="14">
        <v>2.8687582E7</v>
      </c>
      <c r="D3050" s="2" t="s">
        <v>4728</v>
      </c>
      <c r="E3050" s="1" t="s">
        <v>107</v>
      </c>
      <c r="F3050" s="14">
        <v>0.0</v>
      </c>
      <c r="G3050" s="15"/>
      <c r="H3050" s="16"/>
      <c r="I3050" s="14"/>
    </row>
    <row r="3051">
      <c r="A3051" s="14">
        <v>609.0</v>
      </c>
      <c r="B3051" s="14">
        <v>5815645.0</v>
      </c>
      <c r="C3051" s="14">
        <v>2.496562E7</v>
      </c>
      <c r="D3051" s="2" t="s">
        <v>4714</v>
      </c>
      <c r="E3051" s="1" t="s">
        <v>107</v>
      </c>
      <c r="F3051" s="14">
        <v>0.0</v>
      </c>
      <c r="G3051" s="15"/>
      <c r="H3051" s="16"/>
      <c r="I3051" s="14"/>
    </row>
    <row r="3052">
      <c r="A3052" s="14">
        <v>649.0</v>
      </c>
      <c r="B3052" s="14">
        <v>6302774.0</v>
      </c>
      <c r="C3052" s="14">
        <v>2.6823529E7</v>
      </c>
      <c r="D3052" s="2" t="s">
        <v>4686</v>
      </c>
      <c r="E3052" s="1" t="s">
        <v>107</v>
      </c>
      <c r="F3052" s="14">
        <v>0.0</v>
      </c>
      <c r="G3052" s="15"/>
      <c r="H3052" s="16"/>
      <c r="I3052" s="14"/>
    </row>
    <row r="3053">
      <c r="A3053" s="14">
        <v>578.0</v>
      </c>
      <c r="B3053" s="14">
        <v>8821539.0</v>
      </c>
      <c r="C3053" s="14">
        <v>3.7398554E7</v>
      </c>
      <c r="D3053" s="2" t="s">
        <v>4489</v>
      </c>
      <c r="E3053" s="1" t="s">
        <v>107</v>
      </c>
      <c r="F3053" s="14">
        <v>0.0</v>
      </c>
      <c r="G3053" s="15"/>
      <c r="H3053" s="16"/>
      <c r="I3053" s="14"/>
    </row>
    <row r="3054">
      <c r="A3054" s="14">
        <v>676.0</v>
      </c>
      <c r="B3054" s="14">
        <v>1.1895846E7</v>
      </c>
      <c r="C3054" s="14">
        <v>5.0509806E7</v>
      </c>
      <c r="D3054" s="2" t="s">
        <v>4260</v>
      </c>
      <c r="E3054" s="1" t="s">
        <v>107</v>
      </c>
      <c r="F3054" s="14">
        <v>0.0</v>
      </c>
      <c r="G3054" s="15"/>
      <c r="H3054" s="16"/>
      <c r="I3054" s="14"/>
    </row>
    <row r="3055">
      <c r="A3055" s="14">
        <v>665.0</v>
      </c>
      <c r="B3055" s="14">
        <v>1.2586096E7</v>
      </c>
      <c r="C3055" s="14">
        <v>1.24104748E8</v>
      </c>
      <c r="D3055" s="2" t="s">
        <v>4233</v>
      </c>
      <c r="E3055" s="1" t="s">
        <v>107</v>
      </c>
      <c r="F3055" s="14">
        <v>0.0</v>
      </c>
      <c r="G3055" s="15"/>
      <c r="H3055" s="16"/>
      <c r="I3055" s="14"/>
    </row>
    <row r="3056">
      <c r="A3056" s="14">
        <v>410.0</v>
      </c>
      <c r="B3056" s="14">
        <v>1.4746913E7</v>
      </c>
      <c r="C3056" s="14">
        <v>6.269728E7</v>
      </c>
      <c r="D3056" s="2" t="s">
        <v>4118</v>
      </c>
      <c r="E3056" s="1" t="s">
        <v>107</v>
      </c>
      <c r="F3056" s="14">
        <v>0.0</v>
      </c>
      <c r="G3056" s="15"/>
      <c r="H3056" s="16"/>
      <c r="I3056" s="14"/>
    </row>
    <row r="3057">
      <c r="A3057" s="14">
        <v>503.0</v>
      </c>
      <c r="B3057" s="14">
        <v>1.5121031E7</v>
      </c>
      <c r="C3057" s="14">
        <v>6.4518796E7</v>
      </c>
      <c r="D3057" s="2" t="s">
        <v>4099</v>
      </c>
      <c r="E3057" s="1" t="s">
        <v>107</v>
      </c>
      <c r="F3057" s="14">
        <v>0.0</v>
      </c>
      <c r="G3057" s="15"/>
      <c r="H3057" s="16"/>
      <c r="I3057" s="14"/>
    </row>
    <row r="3058">
      <c r="A3058" s="14">
        <v>664.0</v>
      </c>
      <c r="B3058" s="14">
        <v>1.6556177E7</v>
      </c>
      <c r="C3058" s="14">
        <v>7.0198964E7</v>
      </c>
      <c r="D3058" s="2" t="s">
        <v>3996</v>
      </c>
      <c r="E3058" s="1" t="s">
        <v>107</v>
      </c>
      <c r="F3058" s="14">
        <v>0.0</v>
      </c>
      <c r="G3058" s="15"/>
      <c r="H3058" s="16"/>
      <c r="I3058" s="14"/>
    </row>
    <row r="3059">
      <c r="A3059" s="14">
        <v>578.0</v>
      </c>
      <c r="B3059" s="14">
        <v>1.7703513E7</v>
      </c>
      <c r="C3059" s="14">
        <v>7.4603727E7</v>
      </c>
      <c r="D3059" s="2" t="s">
        <v>3946</v>
      </c>
      <c r="E3059" s="1" t="s">
        <v>107</v>
      </c>
      <c r="F3059" s="14">
        <v>0.0</v>
      </c>
      <c r="G3059" s="15"/>
      <c r="H3059" s="16"/>
      <c r="I3059" s="14"/>
    </row>
    <row r="3060">
      <c r="A3060" s="14">
        <v>671.0</v>
      </c>
      <c r="B3060" s="14">
        <v>1.9058967E7</v>
      </c>
      <c r="C3060" s="14">
        <v>7.9737565E7</v>
      </c>
      <c r="D3060" s="2" t="s">
        <v>3901</v>
      </c>
      <c r="E3060" s="1" t="s">
        <v>107</v>
      </c>
      <c r="F3060" s="14">
        <v>0.0</v>
      </c>
      <c r="G3060" s="15"/>
      <c r="H3060" s="16"/>
      <c r="I3060" s="14"/>
    </row>
    <row r="3061">
      <c r="A3061" s="14">
        <v>700.0</v>
      </c>
      <c r="B3061" s="14">
        <v>3.5780962E7</v>
      </c>
      <c r="C3061" s="14">
        <v>1.42637982E8</v>
      </c>
      <c r="D3061" s="2" t="s">
        <v>3473</v>
      </c>
      <c r="E3061" s="1" t="s">
        <v>107</v>
      </c>
      <c r="F3061" s="14">
        <v>0.0</v>
      </c>
      <c r="G3061" s="15"/>
      <c r="H3061" s="16"/>
      <c r="I3061" s="14"/>
    </row>
    <row r="3062">
      <c r="A3062" s="14">
        <v>665.0</v>
      </c>
      <c r="B3062" s="14">
        <v>4.0332025E7</v>
      </c>
      <c r="C3062" s="14">
        <v>1.59795204E8</v>
      </c>
      <c r="D3062" s="2" t="s">
        <v>3365</v>
      </c>
      <c r="E3062" s="1" t="s">
        <v>107</v>
      </c>
      <c r="F3062" s="14">
        <v>0.0</v>
      </c>
      <c r="G3062" s="15"/>
      <c r="H3062" s="16"/>
      <c r="I3062" s="14"/>
    </row>
    <row r="3063">
      <c r="A3063" s="14">
        <v>172.0</v>
      </c>
      <c r="B3063" s="14">
        <v>4.951399E7</v>
      </c>
      <c r="C3063" s="14">
        <v>1.95833853E8</v>
      </c>
      <c r="D3063" s="2" t="s">
        <v>3036</v>
      </c>
      <c r="E3063" s="1" t="s">
        <v>107</v>
      </c>
      <c r="F3063" s="14">
        <v>0.0</v>
      </c>
      <c r="G3063" s="15"/>
      <c r="H3063" s="16"/>
      <c r="I3063" s="14"/>
    </row>
    <row r="3064">
      <c r="A3064" s="14">
        <v>244.0</v>
      </c>
      <c r="B3064" s="14">
        <v>5.9408847E7</v>
      </c>
      <c r="C3064" s="14">
        <v>2.37674023E8</v>
      </c>
      <c r="D3064" s="2" t="s">
        <v>2711</v>
      </c>
      <c r="E3064" s="1" t="s">
        <v>107</v>
      </c>
      <c r="F3064" s="14">
        <v>0.0</v>
      </c>
      <c r="G3064" s="15"/>
      <c r="H3064" s="16"/>
      <c r="I3064" s="14"/>
    </row>
    <row r="3065">
      <c r="A3065" s="14">
        <v>215.0</v>
      </c>
      <c r="B3065" s="14">
        <v>6.3917482E7</v>
      </c>
      <c r="C3065" s="14">
        <v>2.59778011E8</v>
      </c>
      <c r="D3065" s="2" t="s">
        <v>2533</v>
      </c>
      <c r="E3065" s="1" t="s">
        <v>107</v>
      </c>
      <c r="F3065" s="14">
        <v>0.0</v>
      </c>
      <c r="G3065" s="15"/>
      <c r="H3065" s="16"/>
      <c r="I3065" s="14"/>
    </row>
    <row r="3066">
      <c r="A3066" s="14">
        <v>194.0</v>
      </c>
      <c r="B3066" s="14">
        <v>6.624065E7</v>
      </c>
      <c r="C3066" s="14">
        <v>2.7051382E8</v>
      </c>
      <c r="D3066" s="2" t="s">
        <v>2422</v>
      </c>
      <c r="E3066" s="1" t="s">
        <v>107</v>
      </c>
      <c r="F3066" s="14">
        <v>0.0</v>
      </c>
      <c r="G3066" s="15"/>
      <c r="H3066" s="16"/>
      <c r="I3066" s="14"/>
    </row>
    <row r="3067">
      <c r="A3067" s="14">
        <v>215.0</v>
      </c>
      <c r="B3067" s="14">
        <v>6.8817306E7</v>
      </c>
      <c r="C3067" s="14">
        <v>2.83026271E8</v>
      </c>
      <c r="D3067" s="2" t="s">
        <v>2295</v>
      </c>
      <c r="E3067" s="1" t="s">
        <v>107</v>
      </c>
      <c r="F3067" s="14">
        <v>0.0</v>
      </c>
      <c r="G3067" s="15"/>
      <c r="H3067" s="16"/>
      <c r="I3067" s="14"/>
    </row>
    <row r="3068">
      <c r="A3068" s="14">
        <v>173.0</v>
      </c>
      <c r="B3068" s="14">
        <v>7.0083785E7</v>
      </c>
      <c r="C3068" s="14">
        <v>2.88955069E8</v>
      </c>
      <c r="D3068" s="2" t="s">
        <v>2216</v>
      </c>
      <c r="E3068" s="1" t="s">
        <v>107</v>
      </c>
      <c r="F3068" s="14">
        <v>0.0</v>
      </c>
      <c r="G3068" s="15"/>
      <c r="H3068" s="16"/>
      <c r="I3068" s="14"/>
    </row>
    <row r="3069">
      <c r="A3069" s="14">
        <v>671.0</v>
      </c>
      <c r="B3069" s="14">
        <v>7.0321263E7</v>
      </c>
      <c r="C3069" s="14">
        <v>2.89797934E8</v>
      </c>
      <c r="D3069" s="2" t="s">
        <v>2210</v>
      </c>
      <c r="E3069" s="1" t="s">
        <v>107</v>
      </c>
      <c r="F3069" s="14">
        <v>0.0</v>
      </c>
      <c r="G3069" s="15"/>
      <c r="H3069" s="16"/>
      <c r="I3069" s="14"/>
    </row>
    <row r="3070">
      <c r="A3070" s="14">
        <v>671.0</v>
      </c>
      <c r="B3070" s="14">
        <v>7.256588E7</v>
      </c>
      <c r="C3070" s="14">
        <v>3.00000922E8</v>
      </c>
      <c r="D3070" s="2" t="s">
        <v>2110</v>
      </c>
      <c r="E3070" s="1" t="s">
        <v>107</v>
      </c>
      <c r="F3070" s="14">
        <v>0.0</v>
      </c>
      <c r="G3070" s="15"/>
      <c r="H3070" s="16"/>
      <c r="I3070" s="14"/>
    </row>
    <row r="3071">
      <c r="A3071" s="14">
        <v>353.0</v>
      </c>
      <c r="B3071" s="14">
        <v>8.1251949E7</v>
      </c>
      <c r="C3071" s="14">
        <v>3.40345399E8</v>
      </c>
      <c r="D3071" s="2" t="s">
        <v>1685</v>
      </c>
      <c r="E3071" s="1" t="s">
        <v>107</v>
      </c>
      <c r="F3071" s="14">
        <v>0.0</v>
      </c>
      <c r="G3071" s="15"/>
      <c r="H3071" s="16"/>
      <c r="I3071" s="14"/>
    </row>
    <row r="3072">
      <c r="A3072" s="14">
        <v>654.0</v>
      </c>
      <c r="B3072" s="14">
        <v>8.4450851E7</v>
      </c>
      <c r="C3072" s="14">
        <v>3.55152699E8</v>
      </c>
      <c r="D3072" s="2" t="s">
        <v>1471</v>
      </c>
      <c r="E3072" s="1" t="s">
        <v>107</v>
      </c>
      <c r="F3072" s="14">
        <v>0.0</v>
      </c>
      <c r="G3072" s="15"/>
      <c r="H3072" s="16"/>
      <c r="I3072" s="14"/>
    </row>
    <row r="3073">
      <c r="A3073" s="14">
        <v>669.0</v>
      </c>
      <c r="B3073" s="14">
        <v>8.6202397E7</v>
      </c>
      <c r="C3073" s="14">
        <v>3.63724859E8</v>
      </c>
      <c r="D3073" s="2" t="s">
        <v>1351</v>
      </c>
      <c r="E3073" s="1" t="s">
        <v>107</v>
      </c>
      <c r="F3073" s="14">
        <v>0.0</v>
      </c>
      <c r="G3073" s="15"/>
      <c r="H3073" s="16"/>
      <c r="I3073" s="14"/>
    </row>
    <row r="3074">
      <c r="A3074" s="14">
        <v>353.0</v>
      </c>
      <c r="B3074" s="14">
        <v>9.732485E7</v>
      </c>
      <c r="C3074" s="14">
        <v>4.15658055E8</v>
      </c>
      <c r="D3074" s="2" t="s">
        <v>752</v>
      </c>
      <c r="E3074" s="1" t="s">
        <v>107</v>
      </c>
      <c r="F3074" s="14">
        <v>0.0</v>
      </c>
      <c r="G3074" s="15"/>
      <c r="H3074" s="16"/>
      <c r="I3074" s="14"/>
    </row>
    <row r="3075">
      <c r="A3075" s="14">
        <v>671.0</v>
      </c>
      <c r="B3075" s="14">
        <v>1.00134958E8</v>
      </c>
      <c r="C3075" s="14">
        <v>4.29259858E8</v>
      </c>
      <c r="D3075" s="2" t="s">
        <v>585</v>
      </c>
      <c r="E3075" s="1" t="s">
        <v>107</v>
      </c>
      <c r="F3075" s="14">
        <v>0.0</v>
      </c>
      <c r="G3075" s="15"/>
      <c r="H3075" s="16"/>
      <c r="I3075" s="14"/>
    </row>
    <row r="3076">
      <c r="A3076" s="14">
        <v>337.0</v>
      </c>
      <c r="B3076" s="14">
        <v>1.03607244E8</v>
      </c>
      <c r="C3076" s="14">
        <v>4.46155297E8</v>
      </c>
      <c r="D3076" s="2" t="s">
        <v>398</v>
      </c>
      <c r="E3076" s="1" t="s">
        <v>107</v>
      </c>
      <c r="F3076" s="14">
        <v>0.0</v>
      </c>
      <c r="G3076" s="15"/>
      <c r="H3076" s="16"/>
      <c r="I3076" s="14"/>
    </row>
    <row r="3077">
      <c r="A3077" s="14">
        <v>602.0</v>
      </c>
      <c r="B3077" s="14">
        <v>1.10043062E8</v>
      </c>
      <c r="C3077" s="14">
        <v>4.7697864E8</v>
      </c>
      <c r="D3077" s="2" t="s">
        <v>89</v>
      </c>
      <c r="E3077" s="1" t="s">
        <v>107</v>
      </c>
      <c r="F3077" s="14">
        <v>0.0</v>
      </c>
      <c r="G3077" s="15"/>
      <c r="H3077" s="16"/>
      <c r="I3077" s="14"/>
    </row>
    <row r="3078">
      <c r="A3078" s="14">
        <v>406.0</v>
      </c>
      <c r="B3078" s="14">
        <v>1.12581111E8</v>
      </c>
      <c r="C3078" s="14">
        <v>4.89412549E8</v>
      </c>
      <c r="D3078" s="2" t="s">
        <v>21</v>
      </c>
      <c r="E3078" s="1" t="s">
        <v>107</v>
      </c>
      <c r="F3078" s="14">
        <v>0.0</v>
      </c>
      <c r="G3078" s="15"/>
      <c r="H3078" s="16"/>
      <c r="I3078" s="14"/>
    </row>
    <row r="3079">
      <c r="A3079" s="14">
        <v>93.0</v>
      </c>
      <c r="B3079" s="14">
        <v>31416.0</v>
      </c>
      <c r="C3079" s="14">
        <v>98927.0</v>
      </c>
      <c r="D3079" s="2" t="s">
        <v>5100</v>
      </c>
      <c r="E3079" s="1" t="s">
        <v>699</v>
      </c>
      <c r="F3079" s="14">
        <v>0.0</v>
      </c>
      <c r="G3079" s="15"/>
      <c r="H3079" s="16"/>
      <c r="I3079" s="14"/>
    </row>
    <row r="3080">
      <c r="A3080" s="14">
        <v>103.0</v>
      </c>
      <c r="B3080" s="14">
        <v>36526.0</v>
      </c>
      <c r="C3080" s="14">
        <v>886994.0</v>
      </c>
      <c r="D3080" s="2" t="s">
        <v>5101</v>
      </c>
      <c r="E3080" s="1" t="s">
        <v>699</v>
      </c>
      <c r="F3080" s="14">
        <v>0.0</v>
      </c>
      <c r="G3080" s="15"/>
      <c r="H3080" s="16"/>
      <c r="I3080" s="14"/>
    </row>
    <row r="3081">
      <c r="A3081" s="14">
        <v>120.0</v>
      </c>
      <c r="B3081" s="14">
        <v>46514.0</v>
      </c>
      <c r="C3081" s="14">
        <v>162170.0</v>
      </c>
      <c r="D3081" s="2" t="s">
        <v>5102</v>
      </c>
      <c r="E3081" s="1" t="s">
        <v>699</v>
      </c>
      <c r="F3081" s="14">
        <v>0.0</v>
      </c>
      <c r="G3081" s="15"/>
      <c r="H3081" s="16"/>
      <c r="I3081" s="14"/>
    </row>
    <row r="3082">
      <c r="A3082" s="14">
        <v>120.0</v>
      </c>
      <c r="B3082" s="14">
        <v>52201.0</v>
      </c>
      <c r="C3082" s="14">
        <v>183731.0</v>
      </c>
      <c r="D3082" s="2" t="s">
        <v>5104</v>
      </c>
      <c r="E3082" s="1" t="s">
        <v>699</v>
      </c>
      <c r="F3082" s="14">
        <v>0.0</v>
      </c>
      <c r="G3082" s="15"/>
      <c r="H3082" s="16"/>
      <c r="I3082" s="14"/>
    </row>
    <row r="3083">
      <c r="A3083" s="14">
        <v>126.0</v>
      </c>
      <c r="B3083" s="14">
        <v>68485.0</v>
      </c>
      <c r="C3083" s="14">
        <v>249517.0</v>
      </c>
      <c r="D3083" s="2" t="s">
        <v>5105</v>
      </c>
      <c r="E3083" s="1" t="s">
        <v>699</v>
      </c>
      <c r="F3083" s="14">
        <v>0.0</v>
      </c>
      <c r="G3083" s="15"/>
      <c r="H3083" s="16"/>
      <c r="I3083" s="14"/>
    </row>
    <row r="3084">
      <c r="A3084" s="14">
        <v>93.0</v>
      </c>
      <c r="B3084" s="14">
        <v>186267.0</v>
      </c>
      <c r="C3084" s="14">
        <v>750181.0</v>
      </c>
      <c r="D3084" s="2" t="s">
        <v>5106</v>
      </c>
      <c r="E3084" s="1" t="s">
        <v>699</v>
      </c>
      <c r="F3084" s="14">
        <v>0.0</v>
      </c>
      <c r="G3084" s="15"/>
      <c r="H3084" s="16"/>
      <c r="I3084" s="14"/>
    </row>
    <row r="3085">
      <c r="A3085" s="14">
        <v>120.0</v>
      </c>
      <c r="B3085" s="14">
        <v>200234.0</v>
      </c>
      <c r="C3085" s="14">
        <v>2.00075212E8</v>
      </c>
      <c r="D3085" s="2" t="s">
        <v>5108</v>
      </c>
      <c r="E3085" s="1" t="s">
        <v>699</v>
      </c>
      <c r="F3085" s="14">
        <v>0.0</v>
      </c>
      <c r="G3085" s="15"/>
      <c r="H3085" s="16"/>
      <c r="I3085" s="14"/>
    </row>
    <row r="3086">
      <c r="A3086" s="14">
        <v>212.0</v>
      </c>
      <c r="B3086" s="14">
        <v>211510.0</v>
      </c>
      <c r="C3086" s="14">
        <v>872785.0</v>
      </c>
      <c r="D3086" s="2" t="s">
        <v>5109</v>
      </c>
      <c r="E3086" s="1" t="s">
        <v>699</v>
      </c>
      <c r="F3086" s="14">
        <v>0.0</v>
      </c>
      <c r="G3086" s="15"/>
      <c r="H3086" s="16"/>
      <c r="I3086" s="14"/>
    </row>
    <row r="3087">
      <c r="A3087" s="14">
        <v>120.0</v>
      </c>
      <c r="B3087" s="14">
        <v>211860.0</v>
      </c>
      <c r="C3087" s="14">
        <v>9.1647204E7</v>
      </c>
      <c r="D3087" s="2" t="s">
        <v>5111</v>
      </c>
      <c r="E3087" s="1" t="s">
        <v>699</v>
      </c>
      <c r="F3087" s="14">
        <v>0.0</v>
      </c>
      <c r="G3087" s="15"/>
      <c r="H3087" s="16"/>
      <c r="I3087" s="14"/>
    </row>
    <row r="3088">
      <c r="A3088" s="14">
        <v>247.0</v>
      </c>
      <c r="B3088" s="14">
        <v>212948.0</v>
      </c>
      <c r="C3088" s="14">
        <v>5886272.0</v>
      </c>
      <c r="D3088" s="2" t="s">
        <v>5112</v>
      </c>
      <c r="E3088" s="1" t="s">
        <v>699</v>
      </c>
      <c r="F3088" s="14">
        <v>0.0</v>
      </c>
      <c r="G3088" s="15"/>
      <c r="H3088" s="16"/>
      <c r="I3088" s="14"/>
    </row>
    <row r="3089">
      <c r="A3089" s="14">
        <v>93.0</v>
      </c>
      <c r="B3089" s="14">
        <v>222770.0</v>
      </c>
      <c r="C3089" s="14">
        <v>922826.0</v>
      </c>
      <c r="D3089" s="2" t="s">
        <v>5113</v>
      </c>
      <c r="E3089" s="1" t="s">
        <v>699</v>
      </c>
      <c r="F3089" s="14">
        <v>0.0</v>
      </c>
      <c r="G3089" s="15"/>
      <c r="H3089" s="16"/>
      <c r="I3089" s="14"/>
    </row>
    <row r="3090">
      <c r="A3090" s="14">
        <v>216.0</v>
      </c>
      <c r="B3090" s="14">
        <v>251078.0</v>
      </c>
      <c r="C3090" s="14">
        <v>1054797.0</v>
      </c>
      <c r="D3090" s="2" t="s">
        <v>5114</v>
      </c>
      <c r="E3090" s="1" t="s">
        <v>699</v>
      </c>
      <c r="F3090" s="14">
        <v>0.0</v>
      </c>
      <c r="G3090" s="15"/>
      <c r="H3090" s="16"/>
      <c r="I3090" s="14"/>
    </row>
    <row r="3091">
      <c r="A3091" s="14">
        <v>206.0</v>
      </c>
      <c r="B3091" s="14">
        <v>270117.0</v>
      </c>
      <c r="C3091" s="14">
        <v>1143853.0</v>
      </c>
      <c r="D3091" s="2" t="s">
        <v>5115</v>
      </c>
      <c r="E3091" s="1" t="s">
        <v>699</v>
      </c>
      <c r="F3091" s="14">
        <v>0.0</v>
      </c>
      <c r="G3091" s="15"/>
      <c r="H3091" s="16"/>
      <c r="I3091" s="14"/>
    </row>
    <row r="3092">
      <c r="A3092" s="14">
        <v>122.0</v>
      </c>
      <c r="B3092" s="14">
        <v>383117.0</v>
      </c>
      <c r="C3092" s="14">
        <v>1687914.0</v>
      </c>
      <c r="D3092" s="2" t="s">
        <v>5116</v>
      </c>
      <c r="E3092" s="1" t="s">
        <v>699</v>
      </c>
      <c r="F3092" s="14">
        <v>0.0</v>
      </c>
      <c r="G3092" s="15"/>
      <c r="H3092" s="16"/>
      <c r="I3092" s="14"/>
    </row>
    <row r="3093">
      <c r="A3093" s="14">
        <v>204.0</v>
      </c>
      <c r="B3093" s="14">
        <v>461094.0</v>
      </c>
      <c r="C3093" s="14">
        <v>2129050.0</v>
      </c>
      <c r="D3093" s="2" t="s">
        <v>5117</v>
      </c>
      <c r="E3093" s="1" t="s">
        <v>699</v>
      </c>
      <c r="F3093" s="14">
        <v>0.0</v>
      </c>
      <c r="G3093" s="15"/>
      <c r="H3093" s="16"/>
      <c r="I3093" s="14"/>
    </row>
    <row r="3094">
      <c r="A3094" s="14">
        <v>223.0</v>
      </c>
      <c r="B3094" s="14">
        <v>491951.0</v>
      </c>
      <c r="C3094" s="14">
        <v>2324817.0</v>
      </c>
      <c r="D3094" s="2" t="s">
        <v>5119</v>
      </c>
      <c r="E3094" s="1" t="s">
        <v>699</v>
      </c>
      <c r="F3094" s="14">
        <v>0.0</v>
      </c>
      <c r="G3094" s="15"/>
      <c r="H3094" s="16"/>
      <c r="I3094" s="14"/>
    </row>
    <row r="3095">
      <c r="A3095" s="14">
        <v>120.0</v>
      </c>
      <c r="B3095" s="14">
        <v>568289.0</v>
      </c>
      <c r="C3095" s="14">
        <v>2752562.0</v>
      </c>
      <c r="D3095" s="2" t="s">
        <v>5120</v>
      </c>
      <c r="E3095" s="1" t="s">
        <v>699</v>
      </c>
      <c r="F3095" s="14">
        <v>0.0</v>
      </c>
      <c r="G3095" s="15"/>
      <c r="H3095" s="16"/>
      <c r="I3095" s="14"/>
    </row>
    <row r="3096">
      <c r="A3096" s="14">
        <v>223.0</v>
      </c>
      <c r="B3096" s="14">
        <v>648236.0</v>
      </c>
      <c r="C3096" s="14">
        <v>3146242.0</v>
      </c>
      <c r="D3096" s="2" t="s">
        <v>5123</v>
      </c>
      <c r="E3096" s="1" t="s">
        <v>699</v>
      </c>
      <c r="F3096" s="14">
        <v>0.0</v>
      </c>
      <c r="G3096" s="15"/>
      <c r="H3096" s="16"/>
      <c r="I3096" s="14"/>
    </row>
    <row r="3097">
      <c r="A3097" s="14">
        <v>228.0</v>
      </c>
      <c r="B3097" s="14">
        <v>678105.0</v>
      </c>
      <c r="C3097" s="14">
        <v>3294408.0</v>
      </c>
      <c r="D3097" s="2" t="s">
        <v>5124</v>
      </c>
      <c r="E3097" s="1" t="s">
        <v>699</v>
      </c>
      <c r="F3097" s="14">
        <v>0.0</v>
      </c>
      <c r="G3097" s="15"/>
      <c r="H3097" s="16"/>
      <c r="I3097" s="14"/>
    </row>
    <row r="3098">
      <c r="A3098" s="14">
        <v>173.0</v>
      </c>
      <c r="B3098" s="14">
        <v>729981.0</v>
      </c>
      <c r="C3098" s="14">
        <v>3521178.0</v>
      </c>
      <c r="D3098" s="2" t="s">
        <v>5126</v>
      </c>
      <c r="E3098" s="1" t="s">
        <v>699</v>
      </c>
      <c r="F3098" s="14">
        <v>0.0</v>
      </c>
      <c r="G3098" s="15"/>
      <c r="H3098" s="16"/>
      <c r="I3098" s="14"/>
    </row>
    <row r="3099">
      <c r="A3099" s="14">
        <v>339.0</v>
      </c>
      <c r="B3099" s="14">
        <v>745626.0</v>
      </c>
      <c r="C3099" s="14">
        <v>1.3574239E7</v>
      </c>
      <c r="D3099" s="2" t="s">
        <v>5128</v>
      </c>
      <c r="E3099" s="1" t="s">
        <v>699</v>
      </c>
      <c r="F3099" s="14">
        <v>0.0</v>
      </c>
      <c r="G3099" s="15"/>
      <c r="H3099" s="16"/>
      <c r="I3099" s="14"/>
    </row>
    <row r="3100">
      <c r="A3100" s="14">
        <v>247.0</v>
      </c>
      <c r="B3100" s="14">
        <v>796342.0</v>
      </c>
      <c r="C3100" s="14">
        <v>3796727.0</v>
      </c>
      <c r="D3100" s="2" t="s">
        <v>5129</v>
      </c>
      <c r="E3100" s="1" t="s">
        <v>699</v>
      </c>
      <c r="F3100" s="14">
        <v>0.0</v>
      </c>
      <c r="G3100" s="15"/>
      <c r="H3100" s="16"/>
      <c r="I3100" s="14"/>
    </row>
    <row r="3101">
      <c r="A3101" s="14">
        <v>216.0</v>
      </c>
      <c r="B3101" s="14">
        <v>914908.0</v>
      </c>
      <c r="C3101" s="14">
        <v>4274301.0</v>
      </c>
      <c r="D3101" s="2" t="s">
        <v>5130</v>
      </c>
      <c r="E3101" s="1" t="s">
        <v>699</v>
      </c>
      <c r="F3101" s="14">
        <v>0.0</v>
      </c>
      <c r="G3101" s="15"/>
      <c r="H3101" s="16"/>
      <c r="I3101" s="14"/>
    </row>
    <row r="3102">
      <c r="A3102" s="14">
        <v>243.0</v>
      </c>
      <c r="B3102" s="14">
        <v>1014717.0</v>
      </c>
      <c r="C3102" s="14">
        <v>4644561.0</v>
      </c>
      <c r="D3102" s="2" t="s">
        <v>5131</v>
      </c>
      <c r="E3102" s="1" t="s">
        <v>699</v>
      </c>
      <c r="F3102" s="14">
        <v>0.0</v>
      </c>
      <c r="G3102" s="15"/>
      <c r="H3102" s="16"/>
      <c r="I3102" s="14"/>
    </row>
    <row r="3103">
      <c r="A3103" s="14">
        <v>410.0</v>
      </c>
      <c r="B3103" s="14">
        <v>1043954.0</v>
      </c>
      <c r="C3103" s="14">
        <v>4788097.0</v>
      </c>
      <c r="D3103" s="2" t="s">
        <v>5133</v>
      </c>
      <c r="E3103" s="1" t="s">
        <v>699</v>
      </c>
      <c r="F3103" s="14">
        <v>0.0</v>
      </c>
      <c r="G3103" s="15"/>
      <c r="H3103" s="16"/>
      <c r="I3103" s="14"/>
    </row>
    <row r="3104">
      <c r="A3104" s="14">
        <v>173.0</v>
      </c>
      <c r="B3104" s="14">
        <v>1092263.0</v>
      </c>
      <c r="C3104" s="14">
        <v>2.18293619E8</v>
      </c>
      <c r="D3104" s="2" t="s">
        <v>5134</v>
      </c>
      <c r="E3104" s="1" t="s">
        <v>699</v>
      </c>
      <c r="F3104" s="14">
        <v>0.0</v>
      </c>
      <c r="G3104" s="15"/>
      <c r="H3104" s="16"/>
      <c r="I3104" s="14"/>
    </row>
    <row r="3105">
      <c r="A3105" s="14">
        <v>572.0</v>
      </c>
      <c r="B3105" s="14">
        <v>1196795.0</v>
      </c>
      <c r="C3105" s="14">
        <v>5361717.0</v>
      </c>
      <c r="D3105" s="2" t="s">
        <v>5110</v>
      </c>
      <c r="E3105" s="1" t="s">
        <v>699</v>
      </c>
      <c r="F3105" s="14">
        <v>0.0</v>
      </c>
      <c r="G3105" s="15"/>
      <c r="H3105" s="16"/>
      <c r="I3105" s="14"/>
    </row>
    <row r="3106">
      <c r="A3106" s="14">
        <v>484.0</v>
      </c>
      <c r="B3106" s="14">
        <v>1199138.0</v>
      </c>
      <c r="C3106" s="14">
        <v>4.2533975E8</v>
      </c>
      <c r="D3106" s="2" t="s">
        <v>5107</v>
      </c>
      <c r="E3106" s="1" t="s">
        <v>699</v>
      </c>
      <c r="F3106" s="14">
        <v>0.0</v>
      </c>
      <c r="G3106" s="15"/>
      <c r="H3106" s="16"/>
      <c r="I3106" s="14"/>
    </row>
    <row r="3107">
      <c r="A3107" s="14">
        <v>401.0</v>
      </c>
      <c r="B3107" s="14">
        <v>1210285.0</v>
      </c>
      <c r="C3107" s="14">
        <v>5408740.0</v>
      </c>
      <c r="D3107" s="2" t="s">
        <v>5103</v>
      </c>
      <c r="E3107" s="1" t="s">
        <v>699</v>
      </c>
      <c r="F3107" s="14">
        <v>0.0</v>
      </c>
      <c r="G3107" s="15"/>
      <c r="H3107" s="16"/>
      <c r="I3107" s="14"/>
    </row>
    <row r="3108">
      <c r="A3108" s="14">
        <v>476.0</v>
      </c>
      <c r="B3108" s="14">
        <v>1254418.0</v>
      </c>
      <c r="C3108" s="14">
        <v>5639992.0</v>
      </c>
      <c r="D3108" s="2" t="s">
        <v>5099</v>
      </c>
      <c r="E3108" s="1" t="s">
        <v>699</v>
      </c>
      <c r="F3108" s="14">
        <v>0.0</v>
      </c>
      <c r="G3108" s="15"/>
      <c r="H3108" s="16"/>
      <c r="I3108" s="14"/>
    </row>
    <row r="3109">
      <c r="A3109" s="14">
        <v>630.0</v>
      </c>
      <c r="B3109" s="14">
        <v>1328947.0</v>
      </c>
      <c r="C3109" s="14">
        <v>3.2304326E8</v>
      </c>
      <c r="D3109" s="2" t="s">
        <v>5092</v>
      </c>
      <c r="E3109" s="1" t="s">
        <v>699</v>
      </c>
      <c r="F3109" s="14">
        <v>0.0</v>
      </c>
      <c r="G3109" s="15"/>
      <c r="H3109" s="16"/>
      <c r="I3109" s="14"/>
    </row>
    <row r="3110">
      <c r="A3110" s="14">
        <v>460.0</v>
      </c>
      <c r="B3110" s="14">
        <v>1399022.0</v>
      </c>
      <c r="C3110" s="14">
        <v>6186811.0</v>
      </c>
      <c r="D3110" s="2" t="s">
        <v>5091</v>
      </c>
      <c r="E3110" s="1" t="s">
        <v>699</v>
      </c>
      <c r="F3110" s="14">
        <v>0.0</v>
      </c>
      <c r="G3110" s="15"/>
      <c r="H3110" s="16"/>
      <c r="I3110" s="14"/>
    </row>
    <row r="3111">
      <c r="A3111" s="14">
        <v>587.0</v>
      </c>
      <c r="B3111" s="14">
        <v>1407379.0</v>
      </c>
      <c r="C3111" s="14">
        <v>2.0608338E8</v>
      </c>
      <c r="D3111" s="2" t="s">
        <v>5090</v>
      </c>
      <c r="E3111" s="1" t="s">
        <v>699</v>
      </c>
      <c r="F3111" s="14">
        <v>0.0</v>
      </c>
      <c r="G3111" s="15"/>
      <c r="H3111" s="16"/>
      <c r="I3111" s="14"/>
    </row>
    <row r="3112">
      <c r="A3112" s="14">
        <v>403.0</v>
      </c>
      <c r="B3112" s="14">
        <v>1481183.0</v>
      </c>
      <c r="C3112" s="14">
        <v>6516391.0</v>
      </c>
      <c r="D3112" s="2" t="s">
        <v>5084</v>
      </c>
      <c r="E3112" s="1" t="s">
        <v>699</v>
      </c>
      <c r="F3112" s="14">
        <v>0.0</v>
      </c>
      <c r="G3112" s="15"/>
      <c r="H3112" s="16"/>
      <c r="I3112" s="14"/>
    </row>
    <row r="3113">
      <c r="A3113" s="14">
        <v>228.0</v>
      </c>
      <c r="B3113" s="14">
        <v>1500522.0</v>
      </c>
      <c r="C3113" s="14">
        <v>6616466.0</v>
      </c>
      <c r="D3113" s="2" t="s">
        <v>5082</v>
      </c>
      <c r="E3113" s="1" t="s">
        <v>699</v>
      </c>
      <c r="F3113" s="14">
        <v>0.0</v>
      </c>
      <c r="G3113" s="15"/>
      <c r="H3113" s="16"/>
      <c r="I3113" s="14"/>
    </row>
    <row r="3114">
      <c r="A3114" s="14">
        <v>395.0</v>
      </c>
      <c r="B3114" s="14">
        <v>1517444.0</v>
      </c>
      <c r="C3114" s="14">
        <v>6682217.0</v>
      </c>
      <c r="D3114" s="2" t="s">
        <v>5081</v>
      </c>
      <c r="E3114" s="1" t="s">
        <v>699</v>
      </c>
      <c r="F3114" s="14">
        <v>0.0</v>
      </c>
      <c r="G3114" s="15"/>
      <c r="H3114" s="16"/>
      <c r="I3114" s="14"/>
    </row>
    <row r="3115">
      <c r="A3115" s="14">
        <v>601.0</v>
      </c>
      <c r="B3115" s="14">
        <v>1519224.0</v>
      </c>
      <c r="C3115" s="14">
        <v>6683746.0</v>
      </c>
      <c r="D3115" s="2" t="s">
        <v>5080</v>
      </c>
      <c r="E3115" s="1" t="s">
        <v>699</v>
      </c>
      <c r="F3115" s="14">
        <v>0.0</v>
      </c>
      <c r="G3115" s="15"/>
      <c r="H3115" s="16"/>
      <c r="I3115" s="14"/>
    </row>
    <row r="3116">
      <c r="A3116" s="14">
        <v>627.0</v>
      </c>
      <c r="B3116" s="14">
        <v>1660596.0</v>
      </c>
      <c r="C3116" s="14">
        <v>7267360.0</v>
      </c>
      <c r="D3116" s="2" t="s">
        <v>5069</v>
      </c>
      <c r="E3116" s="1" t="s">
        <v>699</v>
      </c>
      <c r="F3116" s="14">
        <v>0.0</v>
      </c>
      <c r="G3116" s="15"/>
      <c r="H3116" s="16"/>
      <c r="I3116" s="14"/>
    </row>
    <row r="3117">
      <c r="A3117" s="14">
        <v>120.0</v>
      </c>
      <c r="B3117" s="14">
        <v>1848602.0</v>
      </c>
      <c r="C3117" s="14">
        <v>8052988.0</v>
      </c>
      <c r="D3117" s="2" t="s">
        <v>5060</v>
      </c>
      <c r="E3117" s="1" t="s">
        <v>699</v>
      </c>
      <c r="F3117" s="14">
        <v>0.0</v>
      </c>
      <c r="G3117" s="15"/>
      <c r="H3117" s="16"/>
      <c r="I3117" s="14"/>
    </row>
    <row r="3118">
      <c r="A3118" s="14">
        <v>120.0</v>
      </c>
      <c r="B3118" s="14">
        <v>1964251.0</v>
      </c>
      <c r="C3118" s="14">
        <v>8522548.0</v>
      </c>
      <c r="D3118" s="2" t="s">
        <v>5051</v>
      </c>
      <c r="E3118" s="1" t="s">
        <v>699</v>
      </c>
      <c r="F3118" s="14">
        <v>0.0</v>
      </c>
      <c r="G3118" s="15"/>
      <c r="H3118" s="16"/>
      <c r="I3118" s="14"/>
    </row>
    <row r="3119">
      <c r="A3119" s="14">
        <v>602.0</v>
      </c>
      <c r="B3119" s="14">
        <v>2017276.0</v>
      </c>
      <c r="C3119" s="14">
        <v>2.02387714E8</v>
      </c>
      <c r="D3119" s="2" t="s">
        <v>5048</v>
      </c>
      <c r="E3119" s="1" t="s">
        <v>699</v>
      </c>
      <c r="F3119" s="14">
        <v>0.0</v>
      </c>
      <c r="G3119" s="15"/>
      <c r="H3119" s="16"/>
      <c r="I3119" s="14"/>
    </row>
    <row r="3120">
      <c r="A3120" s="14">
        <v>379.0</v>
      </c>
      <c r="B3120" s="14">
        <v>2037086.0</v>
      </c>
      <c r="C3120" s="14">
        <v>3.62451483E8</v>
      </c>
      <c r="D3120" s="2" t="s">
        <v>5047</v>
      </c>
      <c r="E3120" s="1" t="s">
        <v>699</v>
      </c>
      <c r="F3120" s="14">
        <v>0.0</v>
      </c>
      <c r="G3120" s="15"/>
      <c r="H3120" s="16"/>
      <c r="I3120" s="14"/>
    </row>
    <row r="3121">
      <c r="A3121" s="14">
        <v>120.0</v>
      </c>
      <c r="B3121" s="14">
        <v>2228740.0</v>
      </c>
      <c r="C3121" s="14">
        <v>9518877.0</v>
      </c>
      <c r="D3121" s="2" t="s">
        <v>5040</v>
      </c>
      <c r="E3121" s="1" t="s">
        <v>699</v>
      </c>
      <c r="F3121" s="14">
        <v>0.0</v>
      </c>
      <c r="G3121" s="15"/>
      <c r="H3121" s="16"/>
      <c r="I3121" s="14"/>
    </row>
    <row r="3122">
      <c r="A3122" s="14">
        <v>610.0</v>
      </c>
      <c r="B3122" s="14">
        <v>2281089.0</v>
      </c>
      <c r="C3122" s="14">
        <v>9725856.0</v>
      </c>
      <c r="D3122" s="2" t="s">
        <v>5035</v>
      </c>
      <c r="E3122" s="1" t="s">
        <v>699</v>
      </c>
      <c r="F3122" s="14">
        <v>0.0</v>
      </c>
      <c r="G3122" s="15"/>
      <c r="H3122" s="16"/>
      <c r="I3122" s="14"/>
    </row>
    <row r="3123">
      <c r="A3123" s="14">
        <v>587.0</v>
      </c>
      <c r="B3123" s="14">
        <v>2293954.0</v>
      </c>
      <c r="C3123" s="14">
        <v>9772804.0</v>
      </c>
      <c r="D3123" s="2" t="s">
        <v>5034</v>
      </c>
      <c r="E3123" s="1" t="s">
        <v>699</v>
      </c>
      <c r="F3123" s="14">
        <v>0.0</v>
      </c>
      <c r="G3123" s="15"/>
      <c r="H3123" s="16"/>
      <c r="I3123" s="14"/>
    </row>
    <row r="3124">
      <c r="A3124" s="14">
        <v>526.0</v>
      </c>
      <c r="B3124" s="14">
        <v>2333057.0</v>
      </c>
      <c r="C3124" s="14">
        <v>9935863.0</v>
      </c>
      <c r="D3124" s="2" t="s">
        <v>5030</v>
      </c>
      <c r="E3124" s="1" t="s">
        <v>699</v>
      </c>
      <c r="F3124" s="14">
        <v>0.0</v>
      </c>
      <c r="G3124" s="15"/>
      <c r="H3124" s="16"/>
      <c r="I3124" s="14"/>
    </row>
    <row r="3125">
      <c r="A3125" s="14">
        <v>504.0</v>
      </c>
      <c r="B3125" s="14">
        <v>2430701.0</v>
      </c>
      <c r="C3125" s="14">
        <v>1.79550098E8</v>
      </c>
      <c r="D3125" s="2" t="s">
        <v>5026</v>
      </c>
      <c r="E3125" s="1" t="s">
        <v>699</v>
      </c>
      <c r="F3125" s="14">
        <v>0.0</v>
      </c>
      <c r="G3125" s="15"/>
      <c r="H3125" s="16"/>
      <c r="I3125" s="14"/>
    </row>
    <row r="3126">
      <c r="A3126" s="14">
        <v>571.0</v>
      </c>
      <c r="B3126" s="14">
        <v>2492807.0</v>
      </c>
      <c r="C3126" s="14">
        <v>2.68884066E8</v>
      </c>
      <c r="D3126" s="2" t="s">
        <v>5021</v>
      </c>
      <c r="E3126" s="1" t="s">
        <v>699</v>
      </c>
      <c r="F3126" s="14">
        <v>0.0</v>
      </c>
      <c r="G3126" s="15"/>
      <c r="H3126" s="16"/>
      <c r="I3126" s="14"/>
    </row>
    <row r="3127">
      <c r="A3127" s="14">
        <v>670.0</v>
      </c>
      <c r="B3127" s="14">
        <v>2575712.0</v>
      </c>
      <c r="C3127" s="14">
        <v>2.9801359E7</v>
      </c>
      <c r="D3127" s="2" t="s">
        <v>5016</v>
      </c>
      <c r="E3127" s="1" t="s">
        <v>699</v>
      </c>
      <c r="F3127" s="14">
        <v>0.0</v>
      </c>
      <c r="G3127" s="15"/>
      <c r="H3127" s="16"/>
      <c r="I3127" s="14"/>
    </row>
    <row r="3128">
      <c r="A3128" s="14">
        <v>587.0</v>
      </c>
      <c r="B3128" s="14">
        <v>2632317.0</v>
      </c>
      <c r="C3128" s="14">
        <v>1.1073651E7</v>
      </c>
      <c r="D3128" s="2" t="s">
        <v>5013</v>
      </c>
      <c r="E3128" s="1" t="s">
        <v>699</v>
      </c>
      <c r="F3128" s="14">
        <v>0.0</v>
      </c>
      <c r="G3128" s="15"/>
      <c r="H3128" s="16"/>
      <c r="I3128" s="14"/>
    </row>
    <row r="3129">
      <c r="A3129" s="14">
        <v>216.0</v>
      </c>
      <c r="B3129" s="14">
        <v>2689774.0</v>
      </c>
      <c r="C3129" s="14">
        <v>1.1328438E7</v>
      </c>
      <c r="D3129" s="2" t="s">
        <v>5008</v>
      </c>
      <c r="E3129" s="1" t="s">
        <v>699</v>
      </c>
      <c r="F3129" s="14">
        <v>0.0</v>
      </c>
      <c r="G3129" s="15"/>
      <c r="H3129" s="16"/>
      <c r="I3129" s="14"/>
    </row>
    <row r="3130">
      <c r="A3130" s="14">
        <v>120.0</v>
      </c>
      <c r="B3130" s="14">
        <v>2714653.0</v>
      </c>
      <c r="C3130" s="14">
        <v>1.1431912E7</v>
      </c>
      <c r="D3130" s="2" t="s">
        <v>5006</v>
      </c>
      <c r="E3130" s="1" t="s">
        <v>699</v>
      </c>
      <c r="F3130" s="14">
        <v>0.0</v>
      </c>
      <c r="G3130" s="15"/>
      <c r="H3130" s="16"/>
      <c r="I3130" s="14"/>
    </row>
    <row r="3131">
      <c r="A3131" s="14">
        <v>481.0</v>
      </c>
      <c r="B3131" s="14">
        <v>2718577.0</v>
      </c>
      <c r="C3131" s="14">
        <v>1.1424374E7</v>
      </c>
      <c r="D3131" s="2" t="s">
        <v>5005</v>
      </c>
      <c r="E3131" s="1" t="s">
        <v>699</v>
      </c>
      <c r="F3131" s="14">
        <v>0.0</v>
      </c>
      <c r="G3131" s="15"/>
      <c r="H3131" s="16"/>
      <c r="I3131" s="14"/>
    </row>
    <row r="3132">
      <c r="A3132" s="14">
        <v>394.0</v>
      </c>
      <c r="B3132" s="14">
        <v>2752018.0</v>
      </c>
      <c r="C3132" s="14">
        <v>3.9021589E7</v>
      </c>
      <c r="D3132" s="2" t="s">
        <v>5001</v>
      </c>
      <c r="E3132" s="1" t="s">
        <v>699</v>
      </c>
      <c r="F3132" s="14">
        <v>0.0</v>
      </c>
      <c r="G3132" s="15"/>
      <c r="H3132" s="16"/>
      <c r="I3132" s="14"/>
    </row>
    <row r="3133">
      <c r="A3133" s="14">
        <v>120.0</v>
      </c>
      <c r="B3133" s="14">
        <v>2768429.0</v>
      </c>
      <c r="C3133" s="14">
        <v>1.1667389E7</v>
      </c>
      <c r="D3133" s="2" t="s">
        <v>4999</v>
      </c>
      <c r="E3133" s="1" t="s">
        <v>699</v>
      </c>
      <c r="F3133" s="14">
        <v>0.0</v>
      </c>
      <c r="G3133" s="15"/>
      <c r="H3133" s="16"/>
      <c r="I3133" s="14"/>
    </row>
    <row r="3134">
      <c r="A3134" s="14">
        <v>120.0</v>
      </c>
      <c r="B3134" s="14">
        <v>2844300.0</v>
      </c>
      <c r="C3134" s="14">
        <v>1.2049041E7</v>
      </c>
      <c r="D3134" s="2" t="s">
        <v>4985</v>
      </c>
      <c r="E3134" s="1" t="s">
        <v>699</v>
      </c>
      <c r="F3134" s="14">
        <v>0.0</v>
      </c>
      <c r="G3134" s="15"/>
      <c r="H3134" s="16"/>
      <c r="I3134" s="14"/>
    </row>
    <row r="3135">
      <c r="A3135" s="14">
        <v>667.0</v>
      </c>
      <c r="B3135" s="14">
        <v>2873362.0</v>
      </c>
      <c r="C3135" s="14">
        <v>1.2194486E7</v>
      </c>
      <c r="D3135" s="2" t="s">
        <v>4982</v>
      </c>
      <c r="E3135" s="1" t="s">
        <v>699</v>
      </c>
      <c r="F3135" s="14">
        <v>0.0</v>
      </c>
      <c r="G3135" s="15"/>
      <c r="H3135" s="16"/>
      <c r="I3135" s="14"/>
    </row>
    <row r="3136">
      <c r="A3136" s="14">
        <v>120.0</v>
      </c>
      <c r="B3136" s="14">
        <v>2898525.0</v>
      </c>
      <c r="C3136" s="14">
        <v>1.2279707E7</v>
      </c>
      <c r="D3136" s="2" t="s">
        <v>4980</v>
      </c>
      <c r="E3136" s="1" t="s">
        <v>699</v>
      </c>
      <c r="F3136" s="14">
        <v>0.0</v>
      </c>
      <c r="G3136" s="15"/>
      <c r="H3136" s="16"/>
      <c r="I3136" s="14"/>
    </row>
    <row r="3137">
      <c r="A3137" s="14">
        <v>470.0</v>
      </c>
      <c r="B3137" s="14">
        <v>2906114.0</v>
      </c>
      <c r="C3137" s="14">
        <v>1.264567E7</v>
      </c>
      <c r="D3137" s="2" t="s">
        <v>4979</v>
      </c>
      <c r="E3137" s="1" t="s">
        <v>699</v>
      </c>
      <c r="F3137" s="14">
        <v>0.0</v>
      </c>
      <c r="G3137" s="15"/>
      <c r="H3137" s="16"/>
      <c r="I3137" s="14"/>
    </row>
    <row r="3138">
      <c r="A3138" s="14">
        <v>573.0</v>
      </c>
      <c r="B3138" s="14">
        <v>2928383.0</v>
      </c>
      <c r="C3138" s="14">
        <v>1.2396151E7</v>
      </c>
      <c r="D3138" s="2" t="s">
        <v>4976</v>
      </c>
      <c r="E3138" s="1" t="s">
        <v>699</v>
      </c>
      <c r="F3138" s="14">
        <v>0.0</v>
      </c>
      <c r="G3138" s="15"/>
      <c r="H3138" s="16"/>
      <c r="I3138" s="14"/>
    </row>
    <row r="3139">
      <c r="A3139" s="14">
        <v>402.0</v>
      </c>
      <c r="B3139" s="14">
        <v>2980231.0</v>
      </c>
      <c r="C3139" s="14">
        <v>1.2659795E7</v>
      </c>
      <c r="D3139" s="2" t="s">
        <v>4973</v>
      </c>
      <c r="E3139" s="1" t="s">
        <v>699</v>
      </c>
      <c r="F3139" s="14">
        <v>0.0</v>
      </c>
      <c r="G3139" s="15"/>
      <c r="H3139" s="16"/>
      <c r="I3139" s="14"/>
    </row>
    <row r="3140">
      <c r="A3140" s="14">
        <v>395.0</v>
      </c>
      <c r="B3140" s="14">
        <v>2991725.0</v>
      </c>
      <c r="C3140" s="14">
        <v>1.2700649E7</v>
      </c>
      <c r="D3140" s="2" t="s">
        <v>4972</v>
      </c>
      <c r="E3140" s="1" t="s">
        <v>699</v>
      </c>
      <c r="F3140" s="14">
        <v>0.0</v>
      </c>
      <c r="G3140" s="15"/>
      <c r="H3140" s="16"/>
      <c r="I3140" s="14"/>
    </row>
    <row r="3141">
      <c r="A3141" s="14">
        <v>671.0</v>
      </c>
      <c r="B3141" s="14">
        <v>3073942.0</v>
      </c>
      <c r="C3141" s="14">
        <v>4.70730585E8</v>
      </c>
      <c r="D3141" s="2" t="s">
        <v>4964</v>
      </c>
      <c r="E3141" s="1" t="s">
        <v>699</v>
      </c>
      <c r="F3141" s="14">
        <v>0.0</v>
      </c>
      <c r="G3141" s="15"/>
      <c r="H3141" s="16"/>
      <c r="I3141" s="14"/>
    </row>
    <row r="3142">
      <c r="A3142" s="14">
        <v>225.0</v>
      </c>
      <c r="B3142" s="14">
        <v>3102103.0</v>
      </c>
      <c r="C3142" s="14">
        <v>1.3149605E7</v>
      </c>
      <c r="D3142" s="2" t="s">
        <v>4956</v>
      </c>
      <c r="E3142" s="1" t="s">
        <v>699</v>
      </c>
      <c r="F3142" s="14">
        <v>0.0</v>
      </c>
      <c r="G3142" s="15"/>
      <c r="H3142" s="16"/>
      <c r="I3142" s="14"/>
    </row>
    <row r="3143">
      <c r="A3143" s="14">
        <v>228.0</v>
      </c>
      <c r="B3143" s="14">
        <v>3120115.0</v>
      </c>
      <c r="C3143" s="14">
        <v>1.3319614E7</v>
      </c>
      <c r="D3143" s="2" t="s">
        <v>4954</v>
      </c>
      <c r="E3143" s="1" t="s">
        <v>699</v>
      </c>
      <c r="F3143" s="14">
        <v>0.0</v>
      </c>
      <c r="G3143" s="15"/>
      <c r="H3143" s="16"/>
      <c r="I3143" s="14"/>
    </row>
    <row r="3144">
      <c r="A3144" s="14">
        <v>665.0</v>
      </c>
      <c r="B3144" s="14">
        <v>3314691.0</v>
      </c>
      <c r="C3144" s="14">
        <v>1.5664928E7</v>
      </c>
      <c r="D3144" s="2" t="s">
        <v>4938</v>
      </c>
      <c r="E3144" s="1" t="s">
        <v>699</v>
      </c>
      <c r="F3144" s="14">
        <v>0.0</v>
      </c>
      <c r="G3144" s="15"/>
      <c r="H3144" s="16"/>
      <c r="I3144" s="14"/>
    </row>
    <row r="3145">
      <c r="A3145" s="14">
        <v>142.0</v>
      </c>
      <c r="B3145" s="14">
        <v>3380460.0</v>
      </c>
      <c r="C3145" s="14">
        <v>1.4377149E7</v>
      </c>
      <c r="D3145" s="2" t="s">
        <v>4933</v>
      </c>
      <c r="E3145" s="1" t="s">
        <v>699</v>
      </c>
      <c r="F3145" s="14">
        <v>0.0</v>
      </c>
      <c r="G3145" s="15"/>
      <c r="H3145" s="16"/>
      <c r="I3145" s="14"/>
    </row>
    <row r="3146">
      <c r="A3146" s="14">
        <v>475.0</v>
      </c>
      <c r="B3146" s="14">
        <v>3546919.0</v>
      </c>
      <c r="C3146" s="14">
        <v>1.5126002E7</v>
      </c>
      <c r="D3146" s="2" t="s">
        <v>4919</v>
      </c>
      <c r="E3146" s="1" t="s">
        <v>699</v>
      </c>
      <c r="F3146" s="14">
        <v>0.0</v>
      </c>
      <c r="G3146" s="15"/>
      <c r="H3146" s="16"/>
      <c r="I3146" s="14"/>
    </row>
    <row r="3147">
      <c r="A3147" s="14">
        <v>484.0</v>
      </c>
      <c r="B3147" s="14">
        <v>3560139.0</v>
      </c>
      <c r="C3147" s="14">
        <v>5.6167566E7</v>
      </c>
      <c r="D3147" s="2" t="s">
        <v>4914</v>
      </c>
      <c r="E3147" s="1" t="s">
        <v>699</v>
      </c>
      <c r="F3147" s="14">
        <v>0.0</v>
      </c>
      <c r="G3147" s="15"/>
      <c r="H3147" s="16"/>
      <c r="I3147" s="14"/>
    </row>
    <row r="3148">
      <c r="A3148" s="14">
        <v>414.0</v>
      </c>
      <c r="B3148" s="14">
        <v>3623293.0</v>
      </c>
      <c r="C3148" s="14">
        <v>1.5366245E7</v>
      </c>
      <c r="D3148" s="2" t="s">
        <v>4910</v>
      </c>
      <c r="E3148" s="1" t="s">
        <v>699</v>
      </c>
      <c r="F3148" s="14">
        <v>0.0</v>
      </c>
      <c r="G3148" s="15"/>
      <c r="H3148" s="16"/>
      <c r="I3148" s="14"/>
    </row>
    <row r="3149">
      <c r="A3149" s="14">
        <v>285.0</v>
      </c>
      <c r="B3149" s="14">
        <v>3725705.0</v>
      </c>
      <c r="C3149" s="14">
        <v>1.5755608E7</v>
      </c>
      <c r="D3149" s="2" t="s">
        <v>4900</v>
      </c>
      <c r="E3149" s="1" t="s">
        <v>699</v>
      </c>
      <c r="F3149" s="14">
        <v>0.0</v>
      </c>
      <c r="G3149" s="15"/>
      <c r="H3149" s="16"/>
      <c r="I3149" s="14"/>
    </row>
    <row r="3150">
      <c r="A3150" s="14">
        <v>403.0</v>
      </c>
      <c r="B3150" s="14">
        <v>3763716.0</v>
      </c>
      <c r="C3150" s="14">
        <v>1.5924425E7</v>
      </c>
      <c r="D3150" s="2" t="s">
        <v>4899</v>
      </c>
      <c r="E3150" s="1" t="s">
        <v>699</v>
      </c>
      <c r="F3150" s="14">
        <v>0.0</v>
      </c>
      <c r="G3150" s="15"/>
      <c r="H3150" s="16"/>
      <c r="I3150" s="14"/>
    </row>
    <row r="3151">
      <c r="A3151" s="14">
        <v>715.0</v>
      </c>
      <c r="B3151" s="14">
        <v>3889291.0</v>
      </c>
      <c r="C3151" s="14">
        <v>1.6479615E7</v>
      </c>
      <c r="D3151" s="2" t="s">
        <v>4887</v>
      </c>
      <c r="E3151" s="1" t="s">
        <v>699</v>
      </c>
      <c r="F3151" s="14">
        <v>0.0</v>
      </c>
      <c r="G3151" s="15"/>
      <c r="H3151" s="16"/>
      <c r="I3151" s="14"/>
    </row>
    <row r="3152">
      <c r="A3152" s="14">
        <v>403.0</v>
      </c>
      <c r="B3152" s="14">
        <v>3892832.0</v>
      </c>
      <c r="C3152" s="14">
        <v>1.81416542E8</v>
      </c>
      <c r="D3152" s="2" t="s">
        <v>4886</v>
      </c>
      <c r="E3152" s="1" t="s">
        <v>699</v>
      </c>
      <c r="F3152" s="14">
        <v>0.0</v>
      </c>
      <c r="G3152" s="15"/>
      <c r="H3152" s="16"/>
      <c r="I3152" s="14"/>
    </row>
    <row r="3153">
      <c r="A3153" s="14">
        <v>120.0</v>
      </c>
      <c r="B3153" s="14">
        <v>3897403.0</v>
      </c>
      <c r="C3153" s="14">
        <v>1.648214E7</v>
      </c>
      <c r="D3153" s="2" t="s">
        <v>4885</v>
      </c>
      <c r="E3153" s="1" t="s">
        <v>699</v>
      </c>
      <c r="F3153" s="14">
        <v>0.0</v>
      </c>
      <c r="G3153" s="15"/>
      <c r="H3153" s="16"/>
      <c r="I3153" s="14"/>
    </row>
    <row r="3154">
      <c r="A3154" s="14">
        <v>247.0</v>
      </c>
      <c r="B3154" s="14">
        <v>3948075.0</v>
      </c>
      <c r="C3154" s="14">
        <v>1.6690642E7</v>
      </c>
      <c r="D3154" s="2" t="s">
        <v>4881</v>
      </c>
      <c r="E3154" s="1" t="s">
        <v>699</v>
      </c>
      <c r="F3154" s="14">
        <v>0.0</v>
      </c>
      <c r="G3154" s="15"/>
      <c r="H3154" s="16"/>
      <c r="I3154" s="14"/>
    </row>
    <row r="3155">
      <c r="A3155" s="14">
        <v>207.0</v>
      </c>
      <c r="B3155" s="14">
        <v>4053308.0</v>
      </c>
      <c r="C3155" s="14">
        <v>1.7185815E7</v>
      </c>
      <c r="D3155" s="2" t="s">
        <v>4867</v>
      </c>
      <c r="E3155" s="1" t="s">
        <v>699</v>
      </c>
      <c r="F3155" s="14">
        <v>0.0</v>
      </c>
      <c r="G3155" s="15"/>
      <c r="H3155" s="16"/>
      <c r="I3155" s="14"/>
    </row>
    <row r="3156">
      <c r="A3156" s="14">
        <v>120.0</v>
      </c>
      <c r="B3156" s="14">
        <v>4135471.0</v>
      </c>
      <c r="C3156" s="14">
        <v>1.7518598E7</v>
      </c>
      <c r="D3156" s="2" t="s">
        <v>4862</v>
      </c>
      <c r="E3156" s="1" t="s">
        <v>699</v>
      </c>
      <c r="F3156" s="14">
        <v>0.0</v>
      </c>
      <c r="G3156" s="15"/>
      <c r="H3156" s="16"/>
      <c r="I3156" s="14"/>
    </row>
    <row r="3157">
      <c r="A3157" s="14">
        <v>649.0</v>
      </c>
      <c r="B3157" s="14">
        <v>4304334.0</v>
      </c>
      <c r="C3157" s="14">
        <v>1.23891625E8</v>
      </c>
      <c r="D3157" s="2" t="s">
        <v>4849</v>
      </c>
      <c r="E3157" s="1" t="s">
        <v>699</v>
      </c>
      <c r="F3157" s="14">
        <v>0.0</v>
      </c>
      <c r="G3157" s="15"/>
      <c r="H3157" s="16"/>
      <c r="I3157" s="14"/>
    </row>
    <row r="3158">
      <c r="A3158" s="14">
        <v>609.0</v>
      </c>
      <c r="B3158" s="14">
        <v>4337385.0</v>
      </c>
      <c r="C3158" s="14">
        <v>1.8395435E7</v>
      </c>
      <c r="D3158" s="2" t="s">
        <v>4840</v>
      </c>
      <c r="E3158" s="1" t="s">
        <v>699</v>
      </c>
      <c r="F3158" s="14">
        <v>0.0</v>
      </c>
      <c r="G3158" s="15"/>
      <c r="H3158" s="16"/>
      <c r="I3158" s="14"/>
    </row>
    <row r="3159">
      <c r="A3159" s="14">
        <v>666.0</v>
      </c>
      <c r="B3159" s="14">
        <v>4350217.0</v>
      </c>
      <c r="C3159" s="14">
        <v>1.845059E7</v>
      </c>
      <c r="D3159" s="2" t="s">
        <v>4837</v>
      </c>
      <c r="E3159" s="1" t="s">
        <v>699</v>
      </c>
      <c r="F3159" s="14">
        <v>0.0</v>
      </c>
      <c r="G3159" s="15"/>
      <c r="H3159" s="16"/>
      <c r="I3159" s="14"/>
    </row>
    <row r="3160">
      <c r="A3160" s="14">
        <v>666.0</v>
      </c>
      <c r="B3160" s="14">
        <v>4521472.0</v>
      </c>
      <c r="C3160" s="14">
        <v>1.920677E7</v>
      </c>
      <c r="D3160" s="2" t="s">
        <v>4823</v>
      </c>
      <c r="E3160" s="1" t="s">
        <v>699</v>
      </c>
      <c r="F3160" s="14">
        <v>0.0</v>
      </c>
      <c r="G3160" s="15"/>
      <c r="H3160" s="16"/>
      <c r="I3160" s="14"/>
    </row>
    <row r="3161">
      <c r="A3161" s="14">
        <v>210.0</v>
      </c>
      <c r="B3161" s="14">
        <v>4641741.0</v>
      </c>
      <c r="C3161" s="14">
        <v>1.9695148E7</v>
      </c>
      <c r="D3161" s="2" t="s">
        <v>4812</v>
      </c>
      <c r="E3161" s="1" t="s">
        <v>699</v>
      </c>
      <c r="F3161" s="14">
        <v>0.0</v>
      </c>
      <c r="G3161" s="15"/>
      <c r="H3161" s="16"/>
      <c r="I3161" s="14"/>
    </row>
    <row r="3162">
      <c r="A3162" s="14">
        <v>458.0</v>
      </c>
      <c r="B3162" s="14">
        <v>4925389.0</v>
      </c>
      <c r="C3162" s="14">
        <v>2.094694E7</v>
      </c>
      <c r="D3162" s="2" t="s">
        <v>4799</v>
      </c>
      <c r="E3162" s="1" t="s">
        <v>699</v>
      </c>
      <c r="F3162" s="14">
        <v>0.0</v>
      </c>
      <c r="G3162" s="15"/>
      <c r="H3162" s="16"/>
      <c r="I3162" s="14"/>
    </row>
    <row r="3163">
      <c r="A3163" s="14">
        <v>492.0</v>
      </c>
      <c r="B3163" s="14">
        <v>5056278.0</v>
      </c>
      <c r="C3163" s="14">
        <v>2.1502112E7</v>
      </c>
      <c r="D3163" s="2" t="s">
        <v>4793</v>
      </c>
      <c r="E3163" s="1" t="s">
        <v>699</v>
      </c>
      <c r="F3163" s="14">
        <v>0.0</v>
      </c>
      <c r="G3163" s="15"/>
      <c r="H3163" s="16"/>
      <c r="I3163" s="14"/>
    </row>
    <row r="3164">
      <c r="A3164" s="14">
        <v>120.0</v>
      </c>
      <c r="B3164" s="14">
        <v>5114748.0</v>
      </c>
      <c r="C3164" s="14">
        <v>2.1800677E7</v>
      </c>
      <c r="D3164" s="2" t="s">
        <v>4787</v>
      </c>
      <c r="E3164" s="1" t="s">
        <v>699</v>
      </c>
      <c r="F3164" s="14">
        <v>0.0</v>
      </c>
      <c r="G3164" s="15"/>
      <c r="H3164" s="16"/>
      <c r="I3164" s="14"/>
    </row>
    <row r="3165">
      <c r="A3165" s="14">
        <v>120.0</v>
      </c>
      <c r="B3165" s="14">
        <v>5174991.0</v>
      </c>
      <c r="C3165" s="14">
        <v>2.2036113E7</v>
      </c>
      <c r="D3165" s="2" t="s">
        <v>4784</v>
      </c>
      <c r="E3165" s="1" t="s">
        <v>699</v>
      </c>
      <c r="F3165" s="14">
        <v>0.0</v>
      </c>
      <c r="G3165" s="15"/>
      <c r="H3165" s="16"/>
      <c r="I3165" s="14"/>
    </row>
    <row r="3166">
      <c r="A3166" s="14">
        <v>716.0</v>
      </c>
      <c r="B3166" s="14">
        <v>5180036.0</v>
      </c>
      <c r="C3166" s="14">
        <v>5.2686598E7</v>
      </c>
      <c r="D3166" s="2" t="s">
        <v>4783</v>
      </c>
      <c r="E3166" s="1" t="s">
        <v>699</v>
      </c>
      <c r="F3166" s="14">
        <v>0.0</v>
      </c>
      <c r="G3166" s="15"/>
      <c r="H3166" s="16"/>
      <c r="I3166" s="14"/>
    </row>
    <row r="3167">
      <c r="A3167" s="14">
        <v>320.0</v>
      </c>
      <c r="B3167" s="14">
        <v>5208206.0</v>
      </c>
      <c r="C3167" s="14">
        <v>2.2220808E7</v>
      </c>
      <c r="D3167" s="2" t="s">
        <v>4777</v>
      </c>
      <c r="E3167" s="1" t="s">
        <v>699</v>
      </c>
      <c r="F3167" s="14">
        <v>0.0</v>
      </c>
      <c r="G3167" s="15"/>
      <c r="H3167" s="16"/>
      <c r="I3167" s="14"/>
    </row>
    <row r="3168">
      <c r="A3168" s="14">
        <v>602.0</v>
      </c>
      <c r="B3168" s="14">
        <v>5233017.0</v>
      </c>
      <c r="C3168" s="14">
        <v>2.2353342E7</v>
      </c>
      <c r="D3168" s="2" t="s">
        <v>4770</v>
      </c>
      <c r="E3168" s="1" t="s">
        <v>699</v>
      </c>
      <c r="F3168" s="14">
        <v>0.0</v>
      </c>
      <c r="G3168" s="15"/>
      <c r="H3168" s="16"/>
      <c r="I3168" s="14"/>
    </row>
    <row r="3169">
      <c r="A3169" s="14">
        <v>353.0</v>
      </c>
      <c r="B3169" s="14">
        <v>5455811.0</v>
      </c>
      <c r="C3169" s="14">
        <v>5.374151E7</v>
      </c>
      <c r="D3169" s="2" t="s">
        <v>4743</v>
      </c>
      <c r="E3169" s="1" t="s">
        <v>699</v>
      </c>
      <c r="F3169" s="14">
        <v>0.0</v>
      </c>
      <c r="G3169" s="15"/>
      <c r="H3169" s="16"/>
      <c r="I3169" s="14"/>
    </row>
    <row r="3170">
      <c r="A3170" s="14">
        <v>475.0</v>
      </c>
      <c r="B3170" s="14">
        <v>5493574.0</v>
      </c>
      <c r="C3170" s="14">
        <v>2.3531535E7</v>
      </c>
      <c r="D3170" s="2" t="s">
        <v>4739</v>
      </c>
      <c r="E3170" s="1" t="s">
        <v>699</v>
      </c>
      <c r="F3170" s="14">
        <v>0.0</v>
      </c>
      <c r="G3170" s="15"/>
      <c r="H3170" s="16"/>
      <c r="I3170" s="14"/>
    </row>
    <row r="3171">
      <c r="A3171" s="14">
        <v>392.0</v>
      </c>
      <c r="B3171" s="14">
        <v>5640549.0</v>
      </c>
      <c r="C3171" s="14">
        <v>1.17019019E8</v>
      </c>
      <c r="D3171" s="2" t="s">
        <v>4729</v>
      </c>
      <c r="E3171" s="1" t="s">
        <v>699</v>
      </c>
      <c r="F3171" s="14">
        <v>0.0</v>
      </c>
      <c r="G3171" s="15"/>
      <c r="H3171" s="16"/>
      <c r="I3171" s="14"/>
    </row>
    <row r="3172">
      <c r="A3172" s="14">
        <v>154.0</v>
      </c>
      <c r="B3172" s="14">
        <v>5735023.0</v>
      </c>
      <c r="C3172" s="14">
        <v>2.4571691E7</v>
      </c>
      <c r="D3172" s="2" t="s">
        <v>4722</v>
      </c>
      <c r="E3172" s="1" t="s">
        <v>699</v>
      </c>
      <c r="F3172" s="14">
        <v>0.0</v>
      </c>
      <c r="G3172" s="15"/>
      <c r="H3172" s="16"/>
      <c r="I3172" s="14"/>
    </row>
    <row r="3173">
      <c r="A3173" s="14">
        <v>406.0</v>
      </c>
      <c r="B3173" s="14">
        <v>6004412.0</v>
      </c>
      <c r="C3173" s="14">
        <v>2.5700742E7</v>
      </c>
      <c r="D3173" s="2" t="s">
        <v>4710</v>
      </c>
      <c r="E3173" s="1" t="s">
        <v>699</v>
      </c>
      <c r="F3173" s="14">
        <v>0.0</v>
      </c>
      <c r="G3173" s="15"/>
      <c r="H3173" s="16"/>
      <c r="I3173" s="14"/>
    </row>
    <row r="3174">
      <c r="A3174" s="14">
        <v>672.0</v>
      </c>
      <c r="B3174" s="14">
        <v>6378472.0</v>
      </c>
      <c r="C3174" s="14">
        <v>6.68449E7</v>
      </c>
      <c r="D3174" s="2" t="s">
        <v>4674</v>
      </c>
      <c r="E3174" s="1" t="s">
        <v>699</v>
      </c>
      <c r="F3174" s="14">
        <v>0.0</v>
      </c>
      <c r="G3174" s="15"/>
      <c r="H3174" s="16"/>
      <c r="I3174" s="14"/>
    </row>
    <row r="3175">
      <c r="A3175" s="14">
        <v>713.0</v>
      </c>
      <c r="B3175" s="14">
        <v>6670744.0</v>
      </c>
      <c r="C3175" s="14">
        <v>1.57255475E8</v>
      </c>
      <c r="D3175" s="2" t="s">
        <v>4648</v>
      </c>
      <c r="E3175" s="1" t="s">
        <v>699</v>
      </c>
      <c r="F3175" s="14">
        <v>0.0</v>
      </c>
      <c r="G3175" s="15"/>
      <c r="H3175" s="16"/>
      <c r="I3175" s="14"/>
    </row>
    <row r="3176">
      <c r="A3176" s="14">
        <v>378.0</v>
      </c>
      <c r="B3176" s="14">
        <v>6825195.0</v>
      </c>
      <c r="C3176" s="14">
        <v>2.910767E7</v>
      </c>
      <c r="D3176" s="2" t="s">
        <v>4630</v>
      </c>
      <c r="E3176" s="1" t="s">
        <v>699</v>
      </c>
      <c r="F3176" s="14">
        <v>0.0</v>
      </c>
      <c r="G3176" s="15"/>
      <c r="H3176" s="16"/>
      <c r="I3176" s="14"/>
    </row>
    <row r="3177">
      <c r="A3177" s="14">
        <v>403.0</v>
      </c>
      <c r="B3177" s="14">
        <v>6965965.0</v>
      </c>
      <c r="C3177" s="14">
        <v>2.9619324E7</v>
      </c>
      <c r="D3177" s="2" t="s">
        <v>4614</v>
      </c>
      <c r="E3177" s="1" t="s">
        <v>699</v>
      </c>
      <c r="F3177" s="14">
        <v>0.0</v>
      </c>
      <c r="G3177" s="15"/>
      <c r="H3177" s="16"/>
      <c r="I3177" s="14"/>
    </row>
    <row r="3178">
      <c r="A3178" s="14">
        <v>484.0</v>
      </c>
      <c r="B3178" s="14">
        <v>7035359.0</v>
      </c>
      <c r="C3178" s="14">
        <v>2.9877038E7</v>
      </c>
      <c r="D3178" s="2" t="s">
        <v>4608</v>
      </c>
      <c r="E3178" s="1" t="s">
        <v>699</v>
      </c>
      <c r="F3178" s="14">
        <v>0.0</v>
      </c>
      <c r="G3178" s="15"/>
      <c r="H3178" s="16"/>
      <c r="I3178" s="14"/>
    </row>
    <row r="3179">
      <c r="A3179" s="14">
        <v>609.0</v>
      </c>
      <c r="B3179" s="14">
        <v>7216914.0</v>
      </c>
      <c r="C3179" s="14">
        <v>3.072952E7</v>
      </c>
      <c r="D3179" s="2" t="s">
        <v>4589</v>
      </c>
      <c r="E3179" s="1" t="s">
        <v>699</v>
      </c>
      <c r="F3179" s="14">
        <v>0.0</v>
      </c>
      <c r="G3179" s="15"/>
      <c r="H3179" s="16"/>
      <c r="I3179" s="14"/>
    </row>
    <row r="3180">
      <c r="A3180" s="14">
        <v>142.0</v>
      </c>
      <c r="B3180" s="14">
        <v>7344152.0</v>
      </c>
      <c r="C3180" s="14">
        <v>7.469495E7</v>
      </c>
      <c r="D3180" s="2" t="s">
        <v>4588</v>
      </c>
      <c r="E3180" s="1" t="s">
        <v>699</v>
      </c>
      <c r="F3180" s="14">
        <v>0.0</v>
      </c>
      <c r="G3180" s="15"/>
      <c r="H3180" s="16"/>
      <c r="I3180" s="14"/>
    </row>
    <row r="3181">
      <c r="A3181" s="14">
        <v>504.0</v>
      </c>
      <c r="B3181" s="14">
        <v>7576557.0</v>
      </c>
      <c r="C3181" s="14">
        <v>3.2213749E7</v>
      </c>
      <c r="D3181" s="2" t="s">
        <v>4568</v>
      </c>
      <c r="E3181" s="1" t="s">
        <v>699</v>
      </c>
      <c r="F3181" s="14">
        <v>0.0</v>
      </c>
      <c r="G3181" s="15"/>
      <c r="H3181" s="16"/>
      <c r="I3181" s="14"/>
    </row>
    <row r="3182">
      <c r="A3182" s="14">
        <v>587.0</v>
      </c>
      <c r="B3182" s="14">
        <v>7877431.0</v>
      </c>
      <c r="C3182" s="14">
        <v>1.70882799E8</v>
      </c>
      <c r="D3182" s="2" t="s">
        <v>4555</v>
      </c>
      <c r="E3182" s="1" t="s">
        <v>699</v>
      </c>
      <c r="F3182" s="14">
        <v>0.0</v>
      </c>
      <c r="G3182" s="15"/>
      <c r="H3182" s="16"/>
      <c r="I3182" s="14"/>
    </row>
    <row r="3183">
      <c r="A3183" s="14">
        <v>489.0</v>
      </c>
      <c r="B3183" s="14">
        <v>7973493.0</v>
      </c>
      <c r="C3183" s="14">
        <v>3.3780695E7</v>
      </c>
      <c r="D3183" s="2" t="s">
        <v>4548</v>
      </c>
      <c r="E3183" s="1" t="s">
        <v>699</v>
      </c>
      <c r="F3183" s="14">
        <v>0.0</v>
      </c>
      <c r="G3183" s="15"/>
      <c r="H3183" s="16"/>
      <c r="I3183" s="14"/>
    </row>
    <row r="3184">
      <c r="A3184" s="14">
        <v>6.0</v>
      </c>
      <c r="B3184" s="14">
        <v>8228147.0</v>
      </c>
      <c r="C3184" s="14">
        <v>3.4885828E7</v>
      </c>
      <c r="D3184" s="2" t="s">
        <v>4524</v>
      </c>
      <c r="E3184" s="1" t="s">
        <v>699</v>
      </c>
      <c r="F3184" s="14">
        <v>0.0</v>
      </c>
      <c r="G3184" s="15"/>
      <c r="H3184" s="16"/>
      <c r="I3184" s="14"/>
    </row>
    <row r="3185">
      <c r="A3185" s="14">
        <v>6.0</v>
      </c>
      <c r="B3185" s="14">
        <v>8228147.0</v>
      </c>
      <c r="C3185" s="14">
        <v>3.8636868E7</v>
      </c>
      <c r="D3185" s="2" t="s">
        <v>4524</v>
      </c>
      <c r="E3185" s="1" t="s">
        <v>699</v>
      </c>
      <c r="F3185" s="14">
        <v>0.0</v>
      </c>
      <c r="G3185" s="15"/>
      <c r="H3185" s="16"/>
      <c r="I3185" s="14"/>
    </row>
    <row r="3186">
      <c r="A3186" s="14">
        <v>524.0</v>
      </c>
      <c r="B3186" s="14">
        <v>8418647.0</v>
      </c>
      <c r="C3186" s="14">
        <v>4.3203471E7</v>
      </c>
      <c r="D3186" s="27">
        <v>-9.99999999999999E31</v>
      </c>
      <c r="E3186" s="1" t="s">
        <v>699</v>
      </c>
      <c r="F3186" s="14">
        <v>0.0</v>
      </c>
      <c r="G3186" s="15"/>
      <c r="H3186" s="16"/>
      <c r="I3186" s="14"/>
    </row>
    <row r="3187">
      <c r="A3187" s="14">
        <v>671.0</v>
      </c>
      <c r="B3187" s="14">
        <v>8901067.0</v>
      </c>
      <c r="C3187" s="14">
        <v>3.7760869E7</v>
      </c>
      <c r="D3187" s="2" t="s">
        <v>4479</v>
      </c>
      <c r="E3187" s="1" t="s">
        <v>699</v>
      </c>
      <c r="F3187" s="14">
        <v>0.0</v>
      </c>
      <c r="G3187" s="15"/>
      <c r="H3187" s="16"/>
      <c r="I3187" s="14"/>
    </row>
    <row r="3188">
      <c r="A3188" s="14">
        <v>194.0</v>
      </c>
      <c r="B3188" s="14">
        <v>9150571.0</v>
      </c>
      <c r="C3188" s="14">
        <v>3.8806552E7</v>
      </c>
      <c r="D3188" s="2" t="s">
        <v>4461</v>
      </c>
      <c r="E3188" s="1" t="s">
        <v>699</v>
      </c>
      <c r="F3188" s="14">
        <v>0.0</v>
      </c>
      <c r="G3188" s="15"/>
      <c r="H3188" s="16"/>
      <c r="I3188" s="14"/>
    </row>
    <row r="3189">
      <c r="A3189" s="14">
        <v>215.0</v>
      </c>
      <c r="B3189" s="14">
        <v>9257378.0</v>
      </c>
      <c r="C3189" s="14">
        <v>1.34320826E8</v>
      </c>
      <c r="D3189" s="2" t="s">
        <v>4450</v>
      </c>
      <c r="E3189" s="1" t="s">
        <v>699</v>
      </c>
      <c r="F3189" s="14">
        <v>0.0</v>
      </c>
      <c r="G3189" s="15"/>
      <c r="H3189" s="16"/>
      <c r="I3189" s="14"/>
    </row>
    <row r="3190">
      <c r="A3190" s="14">
        <v>602.0</v>
      </c>
      <c r="B3190" s="14">
        <v>9452717.0</v>
      </c>
      <c r="C3190" s="14">
        <v>2.4265878E8</v>
      </c>
      <c r="D3190" s="2" t="s">
        <v>4435</v>
      </c>
      <c r="E3190" s="1" t="s">
        <v>699</v>
      </c>
      <c r="F3190" s="14">
        <v>0.0</v>
      </c>
      <c r="G3190" s="15"/>
      <c r="H3190" s="16"/>
      <c r="I3190" s="14"/>
    </row>
    <row r="3191">
      <c r="A3191" s="14">
        <v>120.0</v>
      </c>
      <c r="B3191" s="14">
        <v>9504675.0</v>
      </c>
      <c r="C3191" s="14">
        <v>4.0320226E7</v>
      </c>
      <c r="D3191" s="2" t="s">
        <v>4431</v>
      </c>
      <c r="E3191" s="1" t="s">
        <v>699</v>
      </c>
      <c r="F3191" s="14">
        <v>0.0</v>
      </c>
      <c r="G3191" s="15"/>
      <c r="H3191" s="16"/>
      <c r="I3191" s="14"/>
    </row>
    <row r="3192">
      <c r="A3192" s="14">
        <v>321.0</v>
      </c>
      <c r="B3192" s="14">
        <v>9952640.0</v>
      </c>
      <c r="C3192" s="14">
        <v>4.2214272E7</v>
      </c>
      <c r="D3192" s="2" t="s">
        <v>4399</v>
      </c>
      <c r="E3192" s="1" t="s">
        <v>699</v>
      </c>
      <c r="F3192" s="14">
        <v>0.0</v>
      </c>
      <c r="G3192" s="15"/>
      <c r="H3192" s="16"/>
      <c r="I3192" s="14"/>
    </row>
    <row r="3193">
      <c r="A3193" s="14">
        <v>564.0</v>
      </c>
      <c r="B3193" s="14">
        <v>9972579.0</v>
      </c>
      <c r="C3193" s="14">
        <v>4.2326889E7</v>
      </c>
      <c r="D3193" s="2" t="s">
        <v>4397</v>
      </c>
      <c r="E3193" s="1" t="s">
        <v>699</v>
      </c>
      <c r="F3193" s="14">
        <v>0.0</v>
      </c>
      <c r="G3193" s="15"/>
      <c r="H3193" s="16"/>
      <c r="I3193" s="14"/>
    </row>
    <row r="3194">
      <c r="A3194" s="14">
        <v>525.0</v>
      </c>
      <c r="B3194" s="14">
        <v>1.0378508E7</v>
      </c>
      <c r="C3194" s="14">
        <v>4.4066255E7</v>
      </c>
      <c r="D3194" s="2" t="s">
        <v>4371</v>
      </c>
      <c r="E3194" s="1" t="s">
        <v>699</v>
      </c>
      <c r="F3194" s="14">
        <v>0.0</v>
      </c>
      <c r="G3194" s="15"/>
      <c r="H3194" s="16"/>
      <c r="I3194" s="14"/>
    </row>
    <row r="3195">
      <c r="A3195" s="14">
        <v>207.0</v>
      </c>
      <c r="B3195" s="14">
        <v>1.0621422E7</v>
      </c>
      <c r="C3195" s="14">
        <v>4.5121427E7</v>
      </c>
      <c r="D3195" s="2" t="s">
        <v>4348</v>
      </c>
      <c r="E3195" s="1" t="s">
        <v>699</v>
      </c>
      <c r="F3195" s="14">
        <v>0.0</v>
      </c>
      <c r="G3195" s="15"/>
      <c r="H3195" s="16"/>
      <c r="I3195" s="14"/>
    </row>
    <row r="3196">
      <c r="A3196" s="14">
        <v>671.0</v>
      </c>
      <c r="B3196" s="14">
        <v>1.1034293E7</v>
      </c>
      <c r="C3196" s="14">
        <v>4.6887577E7</v>
      </c>
      <c r="D3196" s="2" t="s">
        <v>4317</v>
      </c>
      <c r="E3196" s="1" t="s">
        <v>699</v>
      </c>
      <c r="F3196" s="14">
        <v>0.0</v>
      </c>
      <c r="G3196" s="15"/>
      <c r="H3196" s="16"/>
      <c r="I3196" s="14"/>
    </row>
    <row r="3197">
      <c r="A3197" s="14">
        <v>407.0</v>
      </c>
      <c r="B3197" s="14">
        <v>1.1127205E7</v>
      </c>
      <c r="C3197" s="14">
        <v>7.5931068E7</v>
      </c>
      <c r="D3197" s="2" t="s">
        <v>4308</v>
      </c>
      <c r="E3197" s="1" t="s">
        <v>699</v>
      </c>
      <c r="F3197" s="14">
        <v>0.0</v>
      </c>
      <c r="G3197" s="15"/>
      <c r="H3197" s="16"/>
      <c r="I3197" s="14"/>
    </row>
    <row r="3198">
      <c r="A3198" s="14">
        <v>522.0</v>
      </c>
      <c r="B3198" s="14">
        <v>1.1153433E7</v>
      </c>
      <c r="C3198" s="14">
        <v>4.7431607E7</v>
      </c>
      <c r="D3198" s="2" t="s">
        <v>4306</v>
      </c>
      <c r="E3198" s="1" t="s">
        <v>699</v>
      </c>
      <c r="F3198" s="14">
        <v>0.0</v>
      </c>
      <c r="G3198" s="15"/>
      <c r="H3198" s="16"/>
      <c r="I3198" s="14"/>
    </row>
    <row r="3199">
      <c r="A3199" s="14">
        <v>571.0</v>
      </c>
      <c r="B3199" s="14">
        <v>1.1429036E7</v>
      </c>
      <c r="C3199" s="14">
        <v>4.8564606E7</v>
      </c>
      <c r="D3199" s="2" t="s">
        <v>4291</v>
      </c>
      <c r="E3199" s="1" t="s">
        <v>699</v>
      </c>
      <c r="F3199" s="14">
        <v>0.0</v>
      </c>
      <c r="G3199" s="15"/>
      <c r="H3199" s="16"/>
      <c r="I3199" s="14"/>
    </row>
    <row r="3200">
      <c r="A3200" s="14">
        <v>414.0</v>
      </c>
      <c r="B3200" s="14">
        <v>1.1505512E7</v>
      </c>
      <c r="C3200" s="14">
        <v>4.8904365E7</v>
      </c>
      <c r="D3200" s="2" t="s">
        <v>4284</v>
      </c>
      <c r="E3200" s="1" t="s">
        <v>699</v>
      </c>
      <c r="F3200" s="14">
        <v>0.0</v>
      </c>
      <c r="G3200" s="15"/>
      <c r="H3200" s="16"/>
      <c r="I3200" s="14"/>
    </row>
    <row r="3201">
      <c r="A3201" s="14">
        <v>550.0</v>
      </c>
      <c r="B3201" s="14">
        <v>1.1514737E7</v>
      </c>
      <c r="C3201" s="14">
        <v>4.8915794E7</v>
      </c>
      <c r="D3201" s="2" t="s">
        <v>4283</v>
      </c>
      <c r="E3201" s="1" t="s">
        <v>699</v>
      </c>
      <c r="F3201" s="14">
        <v>0.0</v>
      </c>
      <c r="G3201" s="15"/>
      <c r="H3201" s="16"/>
      <c r="I3201" s="14"/>
    </row>
    <row r="3202">
      <c r="A3202" s="14">
        <v>671.0</v>
      </c>
      <c r="B3202" s="14">
        <v>1.1528231E7</v>
      </c>
      <c r="C3202" s="14">
        <v>4.893122E7</v>
      </c>
      <c r="D3202" s="2" t="s">
        <v>4281</v>
      </c>
      <c r="E3202" s="1" t="s">
        <v>699</v>
      </c>
      <c r="F3202" s="14">
        <v>0.0</v>
      </c>
      <c r="G3202" s="15"/>
      <c r="H3202" s="16"/>
      <c r="I3202" s="14"/>
    </row>
    <row r="3203">
      <c r="A3203" s="14">
        <v>671.0</v>
      </c>
      <c r="B3203" s="14">
        <v>1.1723547E7</v>
      </c>
      <c r="C3203" s="14">
        <v>2.56691177E8</v>
      </c>
      <c r="D3203" s="2" t="s">
        <v>4269</v>
      </c>
      <c r="E3203" s="1" t="s">
        <v>699</v>
      </c>
      <c r="F3203" s="14">
        <v>0.0</v>
      </c>
      <c r="G3203" s="15"/>
      <c r="H3203" s="16"/>
      <c r="I3203" s="14"/>
    </row>
    <row r="3204">
      <c r="A3204" s="14">
        <v>522.0</v>
      </c>
      <c r="B3204" s="14">
        <v>1.1743623E7</v>
      </c>
      <c r="C3204" s="14">
        <v>4.9879926E7</v>
      </c>
      <c r="D3204" s="2" t="s">
        <v>4268</v>
      </c>
      <c r="E3204" s="1" t="s">
        <v>699</v>
      </c>
      <c r="F3204" s="14">
        <v>0.0</v>
      </c>
      <c r="G3204" s="15"/>
      <c r="H3204" s="16"/>
      <c r="I3204" s="14"/>
    </row>
    <row r="3205">
      <c r="A3205" s="14">
        <v>677.0</v>
      </c>
      <c r="B3205" s="14">
        <v>1.254966E7</v>
      </c>
      <c r="C3205" s="14">
        <v>5.3269477E7</v>
      </c>
      <c r="D3205" s="2" t="s">
        <v>4237</v>
      </c>
      <c r="E3205" s="1" t="s">
        <v>699</v>
      </c>
      <c r="F3205" s="14">
        <v>0.0</v>
      </c>
      <c r="G3205" s="15"/>
      <c r="H3205" s="16"/>
      <c r="I3205" s="14"/>
    </row>
    <row r="3206">
      <c r="A3206" s="14">
        <v>530.0</v>
      </c>
      <c r="B3206" s="14">
        <v>1.3064119E7</v>
      </c>
      <c r="C3206" s="14">
        <v>5.541824E7</v>
      </c>
      <c r="D3206" s="2" t="s">
        <v>4208</v>
      </c>
      <c r="E3206" s="1" t="s">
        <v>699</v>
      </c>
      <c r="F3206" s="14">
        <v>0.0</v>
      </c>
      <c r="G3206" s="15"/>
      <c r="H3206" s="16"/>
      <c r="I3206" s="14"/>
    </row>
    <row r="3207">
      <c r="A3207" s="14">
        <v>244.0</v>
      </c>
      <c r="B3207" s="14">
        <v>1.3084162E7</v>
      </c>
      <c r="C3207" s="14">
        <v>5.5561597E7</v>
      </c>
      <c r="D3207" s="2" t="s">
        <v>4206</v>
      </c>
      <c r="E3207" s="1" t="s">
        <v>699</v>
      </c>
      <c r="F3207" s="14">
        <v>0.0</v>
      </c>
      <c r="G3207" s="15"/>
      <c r="H3207" s="16"/>
      <c r="I3207" s="14"/>
    </row>
    <row r="3208">
      <c r="A3208" s="14">
        <v>628.0</v>
      </c>
      <c r="B3208" s="14">
        <v>1.3161574E7</v>
      </c>
      <c r="C3208" s="14">
        <v>5.5813456E7</v>
      </c>
      <c r="D3208" s="2" t="s">
        <v>4198</v>
      </c>
      <c r="E3208" s="1" t="s">
        <v>699</v>
      </c>
      <c r="F3208" s="14">
        <v>0.0</v>
      </c>
      <c r="G3208" s="15"/>
      <c r="H3208" s="16"/>
      <c r="I3208" s="14"/>
    </row>
    <row r="3209">
      <c r="A3209" s="14">
        <v>676.0</v>
      </c>
      <c r="B3209" s="14">
        <v>1.3738424E7</v>
      </c>
      <c r="C3209" s="14">
        <v>5.8497771E7</v>
      </c>
      <c r="D3209" s="2" t="s">
        <v>4177</v>
      </c>
      <c r="E3209" s="1" t="s">
        <v>699</v>
      </c>
      <c r="F3209" s="14">
        <v>0.0</v>
      </c>
      <c r="G3209" s="15"/>
      <c r="H3209" s="16"/>
      <c r="I3209" s="14"/>
    </row>
    <row r="3210">
      <c r="A3210" s="14">
        <v>665.0</v>
      </c>
      <c r="B3210" s="14">
        <v>1.3781368E7</v>
      </c>
      <c r="C3210" s="14">
        <v>3.79335901E8</v>
      </c>
      <c r="D3210" s="2" t="s">
        <v>4172</v>
      </c>
      <c r="E3210" s="1" t="s">
        <v>699</v>
      </c>
      <c r="F3210" s="14">
        <v>0.0</v>
      </c>
      <c r="G3210" s="15"/>
      <c r="H3210" s="16"/>
      <c r="I3210" s="14"/>
    </row>
    <row r="3211">
      <c r="A3211" s="14">
        <v>578.0</v>
      </c>
      <c r="B3211" s="14">
        <v>1.403816E7</v>
      </c>
      <c r="C3211" s="14">
        <v>5.9657445E7</v>
      </c>
      <c r="D3211" s="2" t="s">
        <v>4150</v>
      </c>
      <c r="E3211" s="1" t="s">
        <v>699</v>
      </c>
      <c r="F3211" s="14">
        <v>0.0</v>
      </c>
      <c r="G3211" s="15"/>
      <c r="H3211" s="16"/>
      <c r="I3211" s="14"/>
    </row>
    <row r="3212">
      <c r="A3212" s="14">
        <v>355.0</v>
      </c>
      <c r="B3212" s="14">
        <v>1.474503E7</v>
      </c>
      <c r="C3212" s="14">
        <v>6.2670897E7</v>
      </c>
      <c r="D3212" s="2" t="s">
        <v>4119</v>
      </c>
      <c r="E3212" s="1" t="s">
        <v>699</v>
      </c>
      <c r="F3212" s="14">
        <v>0.0</v>
      </c>
      <c r="G3212" s="15"/>
      <c r="H3212" s="16"/>
      <c r="I3212" s="14"/>
    </row>
    <row r="3213">
      <c r="A3213" s="14">
        <v>573.0</v>
      </c>
      <c r="B3213" s="14">
        <v>1.4876508E7</v>
      </c>
      <c r="C3213" s="14">
        <v>6.3261386E7</v>
      </c>
      <c r="D3213" s="2" t="s">
        <v>4113</v>
      </c>
      <c r="E3213" s="1" t="s">
        <v>699</v>
      </c>
      <c r="F3213" s="14">
        <v>0.0</v>
      </c>
      <c r="G3213" s="15"/>
      <c r="H3213" s="16"/>
      <c r="I3213" s="14"/>
    </row>
    <row r="3214">
      <c r="A3214" s="14">
        <v>210.0</v>
      </c>
      <c r="B3214" s="14">
        <v>1.4969618E7</v>
      </c>
      <c r="C3214" s="14">
        <v>8.0231342E7</v>
      </c>
      <c r="D3214" s="2" t="s">
        <v>4107</v>
      </c>
      <c r="E3214" s="1" t="s">
        <v>699</v>
      </c>
      <c r="F3214" s="14">
        <v>0.0</v>
      </c>
      <c r="G3214" s="15"/>
      <c r="H3214" s="16"/>
      <c r="I3214" s="14"/>
    </row>
    <row r="3215">
      <c r="A3215" s="14">
        <v>210.0</v>
      </c>
      <c r="B3215" s="14">
        <v>1.5164052E7</v>
      </c>
      <c r="C3215" s="14">
        <v>3.95628748E8</v>
      </c>
      <c r="D3215" s="2" t="s">
        <v>4094</v>
      </c>
      <c r="E3215" s="1" t="s">
        <v>699</v>
      </c>
      <c r="F3215" s="14">
        <v>0.0</v>
      </c>
      <c r="G3215" s="15"/>
      <c r="H3215" s="16"/>
      <c r="I3215" s="14"/>
    </row>
    <row r="3216">
      <c r="A3216" s="14">
        <v>228.0</v>
      </c>
      <c r="B3216" s="14">
        <v>1.5214828E7</v>
      </c>
      <c r="C3216" s="14">
        <v>6.4641186E7</v>
      </c>
      <c r="D3216" s="2" t="s">
        <v>4082</v>
      </c>
      <c r="E3216" s="1" t="s">
        <v>699</v>
      </c>
      <c r="F3216" s="14">
        <v>0.0</v>
      </c>
      <c r="G3216" s="15"/>
      <c r="H3216" s="16"/>
      <c r="I3216" s="14"/>
    </row>
    <row r="3217">
      <c r="A3217" s="14">
        <v>504.0</v>
      </c>
      <c r="B3217" s="14">
        <v>1.5660004E7</v>
      </c>
      <c r="C3217" s="14">
        <v>1.06338732E8</v>
      </c>
      <c r="D3217" s="2" t="s">
        <v>4057</v>
      </c>
      <c r="E3217" s="1" t="s">
        <v>699</v>
      </c>
      <c r="F3217" s="14">
        <v>0.0</v>
      </c>
      <c r="G3217" s="15"/>
      <c r="H3217" s="16"/>
      <c r="I3217" s="14"/>
    </row>
    <row r="3218">
      <c r="A3218" s="14">
        <v>410.0</v>
      </c>
      <c r="B3218" s="14">
        <v>1.5895592E7</v>
      </c>
      <c r="C3218" s="14">
        <v>6.7483477E7</v>
      </c>
      <c r="D3218" s="2" t="s">
        <v>4043</v>
      </c>
      <c r="E3218" s="1" t="s">
        <v>699</v>
      </c>
      <c r="F3218" s="14">
        <v>0.0</v>
      </c>
      <c r="G3218" s="15"/>
      <c r="H3218" s="16"/>
      <c r="I3218" s="14"/>
    </row>
    <row r="3219">
      <c r="A3219" s="14">
        <v>644.0</v>
      </c>
      <c r="B3219" s="14">
        <v>1.5911057E7</v>
      </c>
      <c r="C3219" s="14">
        <v>6.7611067E7</v>
      </c>
      <c r="D3219" s="2" t="s">
        <v>4041</v>
      </c>
      <c r="E3219" s="1" t="s">
        <v>699</v>
      </c>
      <c r="F3219" s="14">
        <v>0.0</v>
      </c>
      <c r="G3219" s="15"/>
      <c r="H3219" s="16"/>
      <c r="I3219" s="14"/>
    </row>
    <row r="3220">
      <c r="A3220" s="14">
        <v>677.0</v>
      </c>
      <c r="B3220" s="14">
        <v>1.5984034E7</v>
      </c>
      <c r="C3220" s="14">
        <v>6.8204098E7</v>
      </c>
      <c r="D3220" s="2" t="s">
        <v>4035</v>
      </c>
      <c r="E3220" s="1" t="s">
        <v>699</v>
      </c>
      <c r="F3220" s="14">
        <v>0.0</v>
      </c>
      <c r="G3220" s="15"/>
      <c r="H3220" s="16"/>
      <c r="I3220" s="14"/>
    </row>
    <row r="3221">
      <c r="A3221" s="14">
        <v>380.0</v>
      </c>
      <c r="B3221" s="14">
        <v>1.6008484E7</v>
      </c>
      <c r="C3221" s="14">
        <v>6.8036832E7</v>
      </c>
      <c r="D3221" s="2" t="s">
        <v>4033</v>
      </c>
      <c r="E3221" s="1" t="s">
        <v>699</v>
      </c>
      <c r="F3221" s="14">
        <v>0.0</v>
      </c>
      <c r="G3221" s="15"/>
      <c r="H3221" s="16"/>
      <c r="I3221" s="14"/>
    </row>
    <row r="3222">
      <c r="A3222" s="14">
        <v>225.0</v>
      </c>
      <c r="B3222" s="14">
        <v>1.600861E7</v>
      </c>
      <c r="C3222" s="14">
        <v>6.8072351E7</v>
      </c>
      <c r="D3222" s="2" t="s">
        <v>4031</v>
      </c>
      <c r="E3222" s="1" t="s">
        <v>699</v>
      </c>
      <c r="F3222" s="14">
        <v>0.0</v>
      </c>
      <c r="G3222" s="15"/>
      <c r="H3222" s="16"/>
      <c r="I3222" s="14"/>
    </row>
    <row r="3223">
      <c r="A3223" s="14">
        <v>398.0</v>
      </c>
      <c r="B3223" s="14">
        <v>1.6202202E7</v>
      </c>
      <c r="C3223" s="14">
        <v>2.89097779E8</v>
      </c>
      <c r="D3223" s="2" t="s">
        <v>4018</v>
      </c>
      <c r="E3223" s="1" t="s">
        <v>699</v>
      </c>
      <c r="F3223" s="14">
        <v>0.0</v>
      </c>
      <c r="G3223" s="15"/>
      <c r="H3223" s="16"/>
      <c r="I3223" s="14"/>
    </row>
    <row r="3224">
      <c r="A3224" s="14">
        <v>504.0</v>
      </c>
      <c r="B3224" s="14">
        <v>1.6968252E7</v>
      </c>
      <c r="C3224" s="14">
        <v>9.0546953E7</v>
      </c>
      <c r="D3224" s="2" t="s">
        <v>3976</v>
      </c>
      <c r="E3224" s="1" t="s">
        <v>699</v>
      </c>
      <c r="F3224" s="14">
        <v>0.0</v>
      </c>
      <c r="G3224" s="15"/>
      <c r="H3224" s="16"/>
      <c r="I3224" s="14"/>
    </row>
    <row r="3225">
      <c r="A3225" s="14">
        <v>532.0</v>
      </c>
      <c r="B3225" s="14">
        <v>1.7011134E7</v>
      </c>
      <c r="C3225" s="14">
        <v>7.2089192E7</v>
      </c>
      <c r="D3225" s="2" t="s">
        <v>3975</v>
      </c>
      <c r="E3225" s="1" t="s">
        <v>699</v>
      </c>
      <c r="F3225" s="14">
        <v>0.0</v>
      </c>
      <c r="G3225" s="15"/>
      <c r="H3225" s="16"/>
      <c r="I3225" s="14"/>
    </row>
    <row r="3226">
      <c r="A3226" s="14">
        <v>571.0</v>
      </c>
      <c r="B3226" s="14">
        <v>1.7758717E7</v>
      </c>
      <c r="C3226" s="14">
        <v>4.43812414E8</v>
      </c>
      <c r="D3226" s="2" t="s">
        <v>3945</v>
      </c>
      <c r="E3226" s="1" t="s">
        <v>699</v>
      </c>
      <c r="F3226" s="14">
        <v>0.0</v>
      </c>
      <c r="G3226" s="15"/>
      <c r="H3226" s="16"/>
      <c r="I3226" s="14"/>
    </row>
    <row r="3227">
      <c r="A3227" s="14">
        <v>129.0</v>
      </c>
      <c r="B3227" s="14">
        <v>1.7922422E7</v>
      </c>
      <c r="C3227" s="14">
        <v>2.14492831E8</v>
      </c>
      <c r="D3227" s="2" t="s">
        <v>3940</v>
      </c>
      <c r="E3227" s="1" t="s">
        <v>699</v>
      </c>
      <c r="F3227" s="14">
        <v>0.0</v>
      </c>
      <c r="G3227" s="15"/>
      <c r="H3227" s="16"/>
      <c r="I3227" s="14"/>
    </row>
    <row r="3228">
      <c r="A3228" s="14">
        <v>210.0</v>
      </c>
      <c r="B3228" s="14">
        <v>1.7987612E7</v>
      </c>
      <c r="C3228" s="14">
        <v>2.60716583E8</v>
      </c>
      <c r="D3228" s="2" t="s">
        <v>3939</v>
      </c>
      <c r="E3228" s="1" t="s">
        <v>699</v>
      </c>
      <c r="F3228" s="14">
        <v>0.0</v>
      </c>
      <c r="G3228" s="15"/>
      <c r="H3228" s="16"/>
      <c r="I3228" s="14"/>
    </row>
    <row r="3229">
      <c r="A3229" s="14">
        <v>649.0</v>
      </c>
      <c r="B3229" s="14">
        <v>1.8063378E7</v>
      </c>
      <c r="C3229" s="14">
        <v>3.14884337E8</v>
      </c>
      <c r="D3229" s="2" t="s">
        <v>3933</v>
      </c>
      <c r="E3229" s="1" t="s">
        <v>699</v>
      </c>
      <c r="F3229" s="14">
        <v>0.0</v>
      </c>
      <c r="G3229" s="15"/>
      <c r="H3229" s="16"/>
      <c r="I3229" s="14"/>
    </row>
    <row r="3230">
      <c r="A3230" s="14">
        <v>645.0</v>
      </c>
      <c r="B3230" s="14">
        <v>1.927227E7</v>
      </c>
      <c r="C3230" s="14">
        <v>8.0570296E7</v>
      </c>
      <c r="D3230" s="2" t="s">
        <v>3898</v>
      </c>
      <c r="E3230" s="1" t="s">
        <v>699</v>
      </c>
      <c r="F3230" s="14">
        <v>0.0</v>
      </c>
      <c r="G3230" s="15"/>
      <c r="H3230" s="16"/>
      <c r="I3230" s="14"/>
    </row>
    <row r="3231">
      <c r="A3231" s="14">
        <v>565.0</v>
      </c>
      <c r="B3231" s="14">
        <v>1.9281672E7</v>
      </c>
      <c r="C3231" s="14">
        <v>8.0584571E7</v>
      </c>
      <c r="D3231" s="2" t="s">
        <v>3897</v>
      </c>
      <c r="E3231" s="1" t="s">
        <v>699</v>
      </c>
      <c r="F3231" s="14">
        <v>0.0</v>
      </c>
      <c r="G3231" s="15"/>
      <c r="H3231" s="16"/>
      <c r="I3231" s="14"/>
    </row>
    <row r="3232">
      <c r="A3232" s="14">
        <v>215.0</v>
      </c>
      <c r="B3232" s="14">
        <v>1.9478962E7</v>
      </c>
      <c r="C3232" s="14">
        <v>8.1571026E7</v>
      </c>
      <c r="D3232" s="2" t="s">
        <v>3890</v>
      </c>
      <c r="E3232" s="1" t="s">
        <v>699</v>
      </c>
      <c r="F3232" s="14">
        <v>0.0</v>
      </c>
      <c r="G3232" s="15"/>
      <c r="H3232" s="16"/>
      <c r="I3232" s="14"/>
    </row>
    <row r="3233">
      <c r="A3233" s="14">
        <v>700.0</v>
      </c>
      <c r="B3233" s="14">
        <v>2.0137651E7</v>
      </c>
      <c r="C3233" s="14">
        <v>8.3963943E7</v>
      </c>
      <c r="D3233" s="2" t="s">
        <v>3877</v>
      </c>
      <c r="E3233" s="1" t="s">
        <v>699</v>
      </c>
      <c r="F3233" s="14">
        <v>0.0</v>
      </c>
      <c r="G3233" s="15"/>
      <c r="H3233" s="16"/>
      <c r="I3233" s="14"/>
    </row>
    <row r="3234">
      <c r="A3234" s="14">
        <v>665.0</v>
      </c>
      <c r="B3234" s="14">
        <v>2.0486572E7</v>
      </c>
      <c r="C3234" s="14">
        <v>2.15824843E8</v>
      </c>
      <c r="D3234" s="2" t="s">
        <v>3859</v>
      </c>
      <c r="E3234" s="1" t="s">
        <v>699</v>
      </c>
      <c r="F3234" s="14">
        <v>0.0</v>
      </c>
      <c r="G3234" s="15"/>
      <c r="H3234" s="16"/>
      <c r="I3234" s="14"/>
    </row>
    <row r="3235">
      <c r="A3235" s="14">
        <v>578.0</v>
      </c>
      <c r="B3235" s="14">
        <v>2.0867614E7</v>
      </c>
      <c r="C3235" s="14">
        <v>8.6633184E7</v>
      </c>
      <c r="D3235" s="2" t="s">
        <v>3846</v>
      </c>
      <c r="E3235" s="1" t="s">
        <v>699</v>
      </c>
      <c r="F3235" s="14">
        <v>0.0</v>
      </c>
      <c r="G3235" s="15"/>
      <c r="H3235" s="16"/>
      <c r="I3235" s="14"/>
    </row>
    <row r="3236">
      <c r="A3236" s="14">
        <v>427.0</v>
      </c>
      <c r="B3236" s="14">
        <v>2.0869889E7</v>
      </c>
      <c r="C3236" s="14">
        <v>8.6599729E7</v>
      </c>
      <c r="D3236" s="2" t="s">
        <v>3844</v>
      </c>
      <c r="E3236" s="1" t="s">
        <v>699</v>
      </c>
      <c r="F3236" s="14">
        <v>0.0</v>
      </c>
      <c r="G3236" s="15"/>
      <c r="H3236" s="16"/>
      <c r="I3236" s="14"/>
    </row>
    <row r="3237">
      <c r="A3237" s="14">
        <v>120.0</v>
      </c>
      <c r="B3237" s="14">
        <v>2.1005703E7</v>
      </c>
      <c r="C3237" s="14">
        <v>8.7077971E7</v>
      </c>
      <c r="D3237" s="2" t="s">
        <v>3832</v>
      </c>
      <c r="E3237" s="1" t="s">
        <v>699</v>
      </c>
      <c r="F3237" s="14">
        <v>0.0</v>
      </c>
      <c r="G3237" s="15"/>
      <c r="H3237" s="16"/>
      <c r="I3237" s="14"/>
    </row>
    <row r="3238">
      <c r="A3238" s="14">
        <v>365.0</v>
      </c>
      <c r="B3238" s="14">
        <v>2.1040485E7</v>
      </c>
      <c r="C3238" s="14">
        <v>8.7490626E7</v>
      </c>
      <c r="D3238" s="2" t="s">
        <v>3831</v>
      </c>
      <c r="E3238" s="1" t="s">
        <v>699</v>
      </c>
      <c r="F3238" s="14">
        <v>0.0</v>
      </c>
      <c r="G3238" s="15"/>
      <c r="H3238" s="16"/>
      <c r="I3238" s="14"/>
    </row>
    <row r="3239">
      <c r="A3239" s="14">
        <v>665.0</v>
      </c>
      <c r="B3239" s="14">
        <v>2.1115169E7</v>
      </c>
      <c r="C3239" s="14">
        <v>8.750653E7</v>
      </c>
      <c r="D3239" s="2" t="s">
        <v>3826</v>
      </c>
      <c r="E3239" s="1" t="s">
        <v>699</v>
      </c>
      <c r="F3239" s="14">
        <v>0.0</v>
      </c>
      <c r="G3239" s="15"/>
      <c r="H3239" s="16"/>
      <c r="I3239" s="14"/>
    </row>
    <row r="3240">
      <c r="A3240" s="14">
        <v>120.0</v>
      </c>
      <c r="B3240" s="14">
        <v>2.1297411E7</v>
      </c>
      <c r="C3240" s="14">
        <v>8.816769E7</v>
      </c>
      <c r="D3240" s="2" t="s">
        <v>3822</v>
      </c>
      <c r="E3240" s="1" t="s">
        <v>699</v>
      </c>
      <c r="F3240" s="14">
        <v>0.0</v>
      </c>
      <c r="G3240" s="15"/>
      <c r="H3240" s="16"/>
      <c r="I3240" s="14"/>
    </row>
    <row r="3241">
      <c r="A3241" s="14">
        <v>716.0</v>
      </c>
      <c r="B3241" s="14">
        <v>2.1721765E7</v>
      </c>
      <c r="C3241" s="14">
        <v>8.9798454E7</v>
      </c>
      <c r="D3241" s="2" t="s">
        <v>3816</v>
      </c>
      <c r="E3241" s="1" t="s">
        <v>699</v>
      </c>
      <c r="F3241" s="14">
        <v>0.0</v>
      </c>
      <c r="G3241" s="15"/>
      <c r="H3241" s="16"/>
      <c r="I3241" s="14"/>
    </row>
    <row r="3242">
      <c r="A3242" s="14">
        <v>716.0</v>
      </c>
      <c r="B3242" s="14">
        <v>2.1858179E7</v>
      </c>
      <c r="C3242" s="14">
        <v>9.0363188E7</v>
      </c>
      <c r="D3242" s="2" t="s">
        <v>3810</v>
      </c>
      <c r="E3242" s="1" t="s">
        <v>699</v>
      </c>
      <c r="F3242" s="14">
        <v>0.0</v>
      </c>
      <c r="G3242" s="15"/>
      <c r="H3242" s="16"/>
      <c r="I3242" s="14"/>
    </row>
    <row r="3243">
      <c r="A3243" s="14">
        <v>410.0</v>
      </c>
      <c r="B3243" s="14">
        <v>2.2535483E7</v>
      </c>
      <c r="C3243" s="14">
        <v>1.66847392E8</v>
      </c>
      <c r="D3243" s="2" t="s">
        <v>3788</v>
      </c>
      <c r="E3243" s="1" t="s">
        <v>699</v>
      </c>
      <c r="F3243" s="14">
        <v>0.0</v>
      </c>
      <c r="G3243" s="15"/>
      <c r="H3243" s="16"/>
      <c r="I3243" s="14"/>
    </row>
    <row r="3244">
      <c r="A3244" s="14">
        <v>120.0</v>
      </c>
      <c r="B3244" s="14">
        <v>2.3125684E7</v>
      </c>
      <c r="C3244" s="14">
        <v>9.5260081E7</v>
      </c>
      <c r="D3244" s="2" t="s">
        <v>3772</v>
      </c>
      <c r="E3244" s="1" t="s">
        <v>699</v>
      </c>
      <c r="F3244" s="14">
        <v>0.0</v>
      </c>
      <c r="G3244" s="15"/>
      <c r="H3244" s="16"/>
      <c r="I3244" s="14"/>
    </row>
    <row r="3245">
      <c r="A3245" s="14">
        <v>120.0</v>
      </c>
      <c r="B3245" s="14">
        <v>2.3151618E7</v>
      </c>
      <c r="C3245" s="14">
        <v>9.5283308E7</v>
      </c>
      <c r="D3245" s="2" t="s">
        <v>3770</v>
      </c>
      <c r="E3245" s="1" t="s">
        <v>699</v>
      </c>
      <c r="F3245" s="14">
        <v>0.0</v>
      </c>
      <c r="G3245" s="15"/>
      <c r="H3245" s="16"/>
      <c r="I3245" s="14"/>
    </row>
    <row r="3246">
      <c r="A3246" s="14">
        <v>694.0</v>
      </c>
      <c r="B3246" s="14">
        <v>2.3403376E7</v>
      </c>
      <c r="C3246" s="14">
        <v>9.6366756E7</v>
      </c>
      <c r="D3246" s="2" t="s">
        <v>3767</v>
      </c>
      <c r="E3246" s="1" t="s">
        <v>699</v>
      </c>
      <c r="F3246" s="14">
        <v>0.0</v>
      </c>
      <c r="G3246" s="15"/>
      <c r="H3246" s="16"/>
      <c r="I3246" s="14"/>
    </row>
    <row r="3247">
      <c r="A3247" s="14">
        <v>609.0</v>
      </c>
      <c r="B3247" s="14">
        <v>2.3427658E7</v>
      </c>
      <c r="C3247" s="14">
        <v>9.6428263E7</v>
      </c>
      <c r="D3247" s="2" t="s">
        <v>3766</v>
      </c>
      <c r="E3247" s="1" t="s">
        <v>699</v>
      </c>
      <c r="F3247" s="14">
        <v>0.0</v>
      </c>
      <c r="G3247" s="15"/>
      <c r="H3247" s="16"/>
      <c r="I3247" s="14"/>
    </row>
    <row r="3248">
      <c r="A3248" s="14">
        <v>651.0</v>
      </c>
      <c r="B3248" s="14">
        <v>2.4011184E7</v>
      </c>
      <c r="C3248" s="14">
        <v>1.77225648E8</v>
      </c>
      <c r="D3248" s="2" t="s">
        <v>3752</v>
      </c>
      <c r="E3248" s="1" t="s">
        <v>699</v>
      </c>
      <c r="F3248" s="14">
        <v>0.0</v>
      </c>
      <c r="G3248" s="15"/>
      <c r="H3248" s="16"/>
      <c r="I3248" s="14"/>
    </row>
    <row r="3249">
      <c r="A3249" s="14">
        <v>716.0</v>
      </c>
      <c r="B3249" s="14">
        <v>2.4104089E7</v>
      </c>
      <c r="C3249" s="14">
        <v>9.9105019E7</v>
      </c>
      <c r="D3249" s="2" t="s">
        <v>3747</v>
      </c>
      <c r="E3249" s="1" t="s">
        <v>699</v>
      </c>
      <c r="F3249" s="14">
        <v>0.0</v>
      </c>
      <c r="G3249" s="15"/>
      <c r="H3249" s="16"/>
      <c r="I3249" s="14"/>
    </row>
    <row r="3250">
      <c r="A3250" s="14">
        <v>570.0</v>
      </c>
      <c r="B3250" s="14">
        <v>2.4166276E7</v>
      </c>
      <c r="C3250" s="14">
        <v>9.9274566E7</v>
      </c>
      <c r="D3250" s="2" t="s">
        <v>3743</v>
      </c>
      <c r="E3250" s="1" t="s">
        <v>699</v>
      </c>
      <c r="F3250" s="14">
        <v>0.0</v>
      </c>
      <c r="G3250" s="15"/>
      <c r="H3250" s="16"/>
      <c r="I3250" s="14"/>
    </row>
    <row r="3251">
      <c r="A3251" s="14">
        <v>671.0</v>
      </c>
      <c r="B3251" s="14">
        <v>2.4250261E7</v>
      </c>
      <c r="C3251" s="14">
        <v>9.955112E7</v>
      </c>
      <c r="D3251" s="2" t="s">
        <v>3741</v>
      </c>
      <c r="E3251" s="1" t="s">
        <v>699</v>
      </c>
      <c r="F3251" s="14">
        <v>0.0</v>
      </c>
      <c r="G3251" s="15"/>
      <c r="H3251" s="16"/>
      <c r="I3251" s="14"/>
    </row>
    <row r="3252">
      <c r="A3252" s="14">
        <v>475.0</v>
      </c>
      <c r="B3252" s="14">
        <v>2.4304822E7</v>
      </c>
      <c r="C3252" s="14">
        <v>1.0017072E8</v>
      </c>
      <c r="D3252" s="2" t="s">
        <v>3738</v>
      </c>
      <c r="E3252" s="1" t="s">
        <v>699</v>
      </c>
      <c r="F3252" s="14">
        <v>0.0</v>
      </c>
      <c r="G3252" s="15"/>
      <c r="H3252" s="16"/>
      <c r="I3252" s="14"/>
    </row>
    <row r="3253">
      <c r="A3253" s="14">
        <v>609.0</v>
      </c>
      <c r="B3253" s="14">
        <v>2.4376459E7</v>
      </c>
      <c r="C3253" s="14">
        <v>1.00206254E8</v>
      </c>
      <c r="D3253" s="2" t="s">
        <v>3736</v>
      </c>
      <c r="E3253" s="1" t="s">
        <v>699</v>
      </c>
      <c r="F3253" s="14">
        <v>0.0</v>
      </c>
      <c r="G3253" s="15"/>
      <c r="H3253" s="16"/>
      <c r="I3253" s="14"/>
    </row>
    <row r="3254">
      <c r="A3254" s="14">
        <v>694.0</v>
      </c>
      <c r="B3254" s="14">
        <v>2.4903398E7</v>
      </c>
      <c r="C3254" s="14">
        <v>1.01316106E8</v>
      </c>
      <c r="D3254" s="2" t="s">
        <v>3731</v>
      </c>
      <c r="E3254" s="1" t="s">
        <v>699</v>
      </c>
      <c r="F3254" s="14">
        <v>0.0</v>
      </c>
      <c r="G3254" s="15"/>
      <c r="H3254" s="16"/>
      <c r="I3254" s="14"/>
    </row>
    <row r="3255">
      <c r="A3255" s="14">
        <v>129.0</v>
      </c>
      <c r="B3255" s="14">
        <v>2.555388E7</v>
      </c>
      <c r="C3255" s="14">
        <v>2.93826652E8</v>
      </c>
      <c r="D3255" s="2" t="s">
        <v>3712</v>
      </c>
      <c r="E3255" s="1" t="s">
        <v>699</v>
      </c>
      <c r="F3255" s="14">
        <v>0.0</v>
      </c>
      <c r="G3255" s="15"/>
      <c r="H3255" s="16"/>
      <c r="I3255" s="14"/>
    </row>
    <row r="3256">
      <c r="A3256" s="14">
        <v>194.0</v>
      </c>
      <c r="B3256" s="14">
        <v>2.5588886E7</v>
      </c>
      <c r="C3256" s="14">
        <v>3.75296548E8</v>
      </c>
      <c r="D3256" s="2" t="s">
        <v>3710</v>
      </c>
      <c r="E3256" s="1" t="s">
        <v>699</v>
      </c>
      <c r="F3256" s="14">
        <v>0.0</v>
      </c>
      <c r="G3256" s="15"/>
      <c r="H3256" s="16"/>
      <c r="I3256" s="14"/>
    </row>
    <row r="3257">
      <c r="A3257" s="14">
        <v>664.0</v>
      </c>
      <c r="B3257" s="14">
        <v>2.6134893E7</v>
      </c>
      <c r="C3257" s="14">
        <v>1.0607472E8</v>
      </c>
      <c r="D3257" s="2" t="s">
        <v>3702</v>
      </c>
      <c r="E3257" s="1" t="s">
        <v>699</v>
      </c>
      <c r="F3257" s="14">
        <v>0.0</v>
      </c>
      <c r="G3257" s="15"/>
      <c r="H3257" s="16"/>
      <c r="I3257" s="14"/>
    </row>
    <row r="3258">
      <c r="A3258" s="14">
        <v>407.0</v>
      </c>
      <c r="B3258" s="14">
        <v>2.634795E7</v>
      </c>
      <c r="C3258" s="14">
        <v>1.067902E8</v>
      </c>
      <c r="D3258" s="2" t="s">
        <v>3695</v>
      </c>
      <c r="E3258" s="1" t="s">
        <v>699</v>
      </c>
      <c r="F3258" s="14">
        <v>0.0</v>
      </c>
      <c r="G3258" s="15"/>
      <c r="H3258" s="16"/>
      <c r="I3258" s="14"/>
    </row>
    <row r="3259">
      <c r="A3259" s="14">
        <v>715.0</v>
      </c>
      <c r="B3259" s="14">
        <v>2.6806889E7</v>
      </c>
      <c r="C3259" s="14">
        <v>1.08445421E8</v>
      </c>
      <c r="D3259" s="2" t="s">
        <v>3679</v>
      </c>
      <c r="E3259" s="1" t="s">
        <v>699</v>
      </c>
      <c r="F3259" s="14">
        <v>0.0</v>
      </c>
      <c r="G3259" s="15"/>
      <c r="H3259" s="16"/>
      <c r="I3259" s="14"/>
    </row>
    <row r="3260">
      <c r="A3260" s="14">
        <v>609.0</v>
      </c>
      <c r="B3260" s="14">
        <v>2.7111802E7</v>
      </c>
      <c r="C3260" s="14">
        <v>1.09888351E8</v>
      </c>
      <c r="D3260" s="2" t="s">
        <v>3675</v>
      </c>
      <c r="E3260" s="1" t="s">
        <v>699</v>
      </c>
      <c r="F3260" s="14">
        <v>0.0</v>
      </c>
      <c r="G3260" s="15"/>
      <c r="H3260" s="16"/>
      <c r="I3260" s="14"/>
    </row>
    <row r="3261">
      <c r="A3261" s="14">
        <v>522.0</v>
      </c>
      <c r="B3261" s="14">
        <v>2.8001932E7</v>
      </c>
      <c r="C3261" s="14">
        <v>1.12813355E8</v>
      </c>
      <c r="D3261" s="2" t="s">
        <v>3646</v>
      </c>
      <c r="E3261" s="1" t="s">
        <v>699</v>
      </c>
      <c r="F3261" s="14">
        <v>0.0</v>
      </c>
      <c r="G3261" s="15"/>
      <c r="H3261" s="16"/>
      <c r="I3261" s="14"/>
    </row>
    <row r="3262">
      <c r="A3262" s="14">
        <v>355.0</v>
      </c>
      <c r="B3262" s="14">
        <v>2.8770976E7</v>
      </c>
      <c r="C3262" s="14">
        <v>1.15736365E8</v>
      </c>
      <c r="D3262" s="2" t="s">
        <v>3616</v>
      </c>
      <c r="E3262" s="1" t="s">
        <v>699</v>
      </c>
      <c r="F3262" s="14">
        <v>0.0</v>
      </c>
      <c r="G3262" s="15"/>
      <c r="H3262" s="16"/>
      <c r="I3262" s="14"/>
    </row>
    <row r="3263">
      <c r="A3263" s="14">
        <v>504.0</v>
      </c>
      <c r="B3263" s="14">
        <v>2.9099984E7</v>
      </c>
      <c r="C3263" s="14">
        <v>1.16983137E8</v>
      </c>
      <c r="D3263" s="2" t="s">
        <v>3610</v>
      </c>
      <c r="E3263" s="1" t="s">
        <v>699</v>
      </c>
      <c r="F3263" s="14">
        <v>0.0</v>
      </c>
      <c r="G3263" s="15"/>
      <c r="H3263" s="16"/>
      <c r="I3263" s="14"/>
    </row>
    <row r="3264">
      <c r="A3264" s="14">
        <v>578.0</v>
      </c>
      <c r="B3264" s="14">
        <v>2.9280381E7</v>
      </c>
      <c r="C3264" s="14">
        <v>1.17825033E8</v>
      </c>
      <c r="D3264" s="2" t="s">
        <v>3609</v>
      </c>
      <c r="E3264" s="1" t="s">
        <v>699</v>
      </c>
      <c r="F3264" s="14">
        <v>0.0</v>
      </c>
      <c r="G3264" s="15"/>
      <c r="H3264" s="16"/>
      <c r="I3264" s="14"/>
    </row>
    <row r="3265">
      <c r="A3265" s="14">
        <v>504.0</v>
      </c>
      <c r="B3265" s="14">
        <v>2.9439824E7</v>
      </c>
      <c r="C3265" s="14">
        <v>1.18323705E8</v>
      </c>
      <c r="D3265" s="2" t="s">
        <v>3605</v>
      </c>
      <c r="E3265" s="1" t="s">
        <v>699</v>
      </c>
      <c r="F3265" s="14">
        <v>0.0</v>
      </c>
      <c r="G3265" s="15"/>
      <c r="H3265" s="16"/>
      <c r="I3265" s="14"/>
    </row>
    <row r="3266">
      <c r="A3266" s="14">
        <v>504.0</v>
      </c>
      <c r="B3266" s="14">
        <v>3.0157047E7</v>
      </c>
      <c r="C3266" s="14">
        <v>1.21674615E8</v>
      </c>
      <c r="D3266" s="2" t="s">
        <v>3581</v>
      </c>
      <c r="E3266" s="1" t="s">
        <v>699</v>
      </c>
      <c r="F3266" s="14">
        <v>0.0</v>
      </c>
      <c r="G3266" s="15"/>
      <c r="H3266" s="16"/>
      <c r="I3266" s="14"/>
    </row>
    <row r="3267">
      <c r="A3267" s="14">
        <v>355.0</v>
      </c>
      <c r="B3267" s="14">
        <v>3.0424E7</v>
      </c>
      <c r="C3267" s="14">
        <v>1.55369474E8</v>
      </c>
      <c r="D3267" s="2" t="s">
        <v>3574</v>
      </c>
      <c r="E3267" s="1" t="s">
        <v>699</v>
      </c>
      <c r="F3267" s="14">
        <v>0.0</v>
      </c>
      <c r="G3267" s="15"/>
      <c r="H3267" s="16"/>
      <c r="I3267" s="14"/>
    </row>
    <row r="3268">
      <c r="A3268" s="14">
        <v>419.0</v>
      </c>
      <c r="B3268" s="14">
        <v>3.0694336E7</v>
      </c>
      <c r="C3268" s="14">
        <v>1.88998942E8</v>
      </c>
      <c r="D3268" s="2" t="s">
        <v>3569</v>
      </c>
      <c r="E3268" s="1" t="s">
        <v>699</v>
      </c>
      <c r="F3268" s="14">
        <v>0.0</v>
      </c>
      <c r="G3268" s="15"/>
      <c r="H3268" s="16"/>
      <c r="I3268" s="14"/>
    </row>
    <row r="3269">
      <c r="A3269" s="14">
        <v>665.0</v>
      </c>
      <c r="B3269" s="14">
        <v>3.1139557E7</v>
      </c>
      <c r="C3269" s="14">
        <v>1.64148421E8</v>
      </c>
      <c r="D3269" s="2" t="s">
        <v>3561</v>
      </c>
      <c r="E3269" s="1" t="s">
        <v>699</v>
      </c>
      <c r="F3269" s="14">
        <v>0.0</v>
      </c>
      <c r="G3269" s="15"/>
      <c r="H3269" s="16"/>
      <c r="I3269" s="14"/>
    </row>
    <row r="3270">
      <c r="A3270" s="14">
        <v>471.0</v>
      </c>
      <c r="B3270" s="14">
        <v>3.1358015E7</v>
      </c>
      <c r="C3270" s="14">
        <v>1.25738502E8</v>
      </c>
      <c r="D3270" s="2" t="s">
        <v>3556</v>
      </c>
      <c r="E3270" s="1" t="s">
        <v>699</v>
      </c>
      <c r="F3270" s="14">
        <v>0.0</v>
      </c>
      <c r="G3270" s="15"/>
      <c r="H3270" s="16"/>
      <c r="I3270" s="14"/>
    </row>
    <row r="3271">
      <c r="A3271" s="14">
        <v>410.0</v>
      </c>
      <c r="B3271" s="14">
        <v>3.1408506E7</v>
      </c>
      <c r="C3271" s="14">
        <v>2.06355954E8</v>
      </c>
      <c r="D3271" s="2" t="s">
        <v>3553</v>
      </c>
      <c r="E3271" s="1" t="s">
        <v>699</v>
      </c>
      <c r="F3271" s="14">
        <v>0.0</v>
      </c>
      <c r="G3271" s="15"/>
      <c r="H3271" s="16"/>
      <c r="I3271" s="14"/>
    </row>
    <row r="3272">
      <c r="A3272" s="14">
        <v>601.0</v>
      </c>
      <c r="B3272" s="14">
        <v>3.1689508E7</v>
      </c>
      <c r="C3272" s="14">
        <v>1.27263048E8</v>
      </c>
      <c r="D3272" s="2" t="s">
        <v>3550</v>
      </c>
      <c r="E3272" s="1" t="s">
        <v>699</v>
      </c>
      <c r="F3272" s="14">
        <v>0.0</v>
      </c>
      <c r="G3272" s="15"/>
      <c r="H3272" s="16"/>
      <c r="I3272" s="14"/>
    </row>
    <row r="3273">
      <c r="A3273" s="14">
        <v>402.0</v>
      </c>
      <c r="B3273" s="14">
        <v>3.1736894E7</v>
      </c>
      <c r="C3273" s="14">
        <v>1.27291465E8</v>
      </c>
      <c r="D3273" s="2" t="s">
        <v>3548</v>
      </c>
      <c r="E3273" s="1" t="s">
        <v>699</v>
      </c>
      <c r="F3273" s="14">
        <v>0.0</v>
      </c>
      <c r="G3273" s="15"/>
      <c r="H3273" s="16"/>
      <c r="I3273" s="14"/>
    </row>
    <row r="3274">
      <c r="A3274" s="14">
        <v>410.0</v>
      </c>
      <c r="B3274" s="14">
        <v>3.2006545E7</v>
      </c>
      <c r="C3274" s="14">
        <v>1.28363949E8</v>
      </c>
      <c r="D3274" s="2" t="s">
        <v>3540</v>
      </c>
      <c r="E3274" s="1" t="s">
        <v>699</v>
      </c>
      <c r="F3274" s="14">
        <v>0.0</v>
      </c>
      <c r="G3274" s="15"/>
      <c r="H3274" s="16"/>
      <c r="I3274" s="14"/>
    </row>
    <row r="3275">
      <c r="A3275" s="14">
        <v>504.0</v>
      </c>
      <c r="B3275" s="14">
        <v>3.2516502E7</v>
      </c>
      <c r="C3275" s="14">
        <v>1.30293893E8</v>
      </c>
      <c r="D3275" s="2" t="s">
        <v>3524</v>
      </c>
      <c r="E3275" s="1" t="s">
        <v>699</v>
      </c>
      <c r="F3275" s="14">
        <v>0.0</v>
      </c>
      <c r="G3275" s="15"/>
      <c r="H3275" s="16"/>
      <c r="I3275" s="14"/>
    </row>
    <row r="3276">
      <c r="A3276" s="14">
        <v>397.0</v>
      </c>
      <c r="B3276" s="14">
        <v>3.2675248E7</v>
      </c>
      <c r="C3276" s="14">
        <v>1.30772221E8</v>
      </c>
      <c r="D3276" s="2" t="s">
        <v>3522</v>
      </c>
      <c r="E3276" s="1" t="s">
        <v>699</v>
      </c>
      <c r="F3276" s="14">
        <v>0.0</v>
      </c>
      <c r="G3276" s="15"/>
      <c r="H3276" s="16"/>
      <c r="I3276" s="14"/>
    </row>
    <row r="3277">
      <c r="A3277" s="14">
        <v>715.0</v>
      </c>
      <c r="B3277" s="14">
        <v>3.3452984E7</v>
      </c>
      <c r="C3277" s="14">
        <v>1.3373079E8</v>
      </c>
      <c r="D3277" s="2" t="s">
        <v>3511</v>
      </c>
      <c r="E3277" s="1" t="s">
        <v>699</v>
      </c>
      <c r="F3277" s="14">
        <v>0.0</v>
      </c>
      <c r="G3277" s="15"/>
      <c r="H3277" s="16"/>
      <c r="I3277" s="14"/>
    </row>
    <row r="3278">
      <c r="A3278" s="14">
        <v>355.0</v>
      </c>
      <c r="B3278" s="14">
        <v>3.3566686E7</v>
      </c>
      <c r="C3278" s="14">
        <v>1.34189048E8</v>
      </c>
      <c r="D3278" s="2" t="s">
        <v>3506</v>
      </c>
      <c r="E3278" s="1" t="s">
        <v>699</v>
      </c>
      <c r="F3278" s="14">
        <v>0.0</v>
      </c>
      <c r="G3278" s="15"/>
      <c r="H3278" s="16"/>
      <c r="I3278" s="14"/>
    </row>
    <row r="3279">
      <c r="A3279" s="14">
        <v>427.0</v>
      </c>
      <c r="B3279" s="14">
        <v>3.4221846E7</v>
      </c>
      <c r="C3279" s="14">
        <v>1.36715551E8</v>
      </c>
      <c r="D3279" s="2" t="s">
        <v>3496</v>
      </c>
      <c r="E3279" s="1" t="s">
        <v>699</v>
      </c>
      <c r="F3279" s="14">
        <v>0.0</v>
      </c>
      <c r="G3279" s="15"/>
      <c r="H3279" s="16"/>
      <c r="I3279" s="14"/>
    </row>
    <row r="3280">
      <c r="A3280" s="14">
        <v>619.0</v>
      </c>
      <c r="B3280" s="14">
        <v>3.4824847E7</v>
      </c>
      <c r="C3280" s="14">
        <v>1.39190166E8</v>
      </c>
      <c r="D3280" s="2" t="s">
        <v>3487</v>
      </c>
      <c r="E3280" s="1" t="s">
        <v>699</v>
      </c>
      <c r="F3280" s="14">
        <v>0.0</v>
      </c>
      <c r="G3280" s="15"/>
      <c r="H3280" s="16"/>
      <c r="I3280" s="14"/>
    </row>
    <row r="3281">
      <c r="A3281" s="14">
        <v>678.0</v>
      </c>
      <c r="B3281" s="14">
        <v>3.4875159E7</v>
      </c>
      <c r="C3281" s="14">
        <v>1.39190537E8</v>
      </c>
      <c r="D3281" s="2" t="s">
        <v>3485</v>
      </c>
      <c r="E3281" s="1" t="s">
        <v>699</v>
      </c>
      <c r="F3281" s="14">
        <v>0.0</v>
      </c>
      <c r="G3281" s="15"/>
      <c r="H3281" s="16"/>
      <c r="I3281" s="14"/>
    </row>
    <row r="3282">
      <c r="A3282" s="14">
        <v>700.0</v>
      </c>
      <c r="B3282" s="14">
        <v>3.5153749E7</v>
      </c>
      <c r="C3282" s="14">
        <v>1.40217249E8</v>
      </c>
      <c r="D3282" s="2" t="s">
        <v>3480</v>
      </c>
      <c r="E3282" s="1" t="s">
        <v>699</v>
      </c>
      <c r="F3282" s="14">
        <v>0.0</v>
      </c>
      <c r="G3282" s="15"/>
      <c r="H3282" s="16"/>
      <c r="I3282" s="14"/>
    </row>
    <row r="3283">
      <c r="A3283" s="14">
        <v>320.0</v>
      </c>
      <c r="B3283" s="14">
        <v>3.5682696E7</v>
      </c>
      <c r="C3283" s="14">
        <v>1.42299055E8</v>
      </c>
      <c r="D3283" s="2" t="s">
        <v>3475</v>
      </c>
      <c r="E3283" s="1" t="s">
        <v>699</v>
      </c>
      <c r="F3283" s="14">
        <v>0.0</v>
      </c>
      <c r="G3283" s="15"/>
      <c r="H3283" s="16"/>
      <c r="I3283" s="14"/>
    </row>
    <row r="3284">
      <c r="A3284" s="14">
        <v>410.0</v>
      </c>
      <c r="B3284" s="14">
        <v>3.6030481E7</v>
      </c>
      <c r="C3284" s="14">
        <v>1.43623965E8</v>
      </c>
      <c r="D3284" s="2" t="s">
        <v>3467</v>
      </c>
      <c r="E3284" s="1" t="s">
        <v>699</v>
      </c>
      <c r="F3284" s="14">
        <v>0.0</v>
      </c>
      <c r="G3284" s="15"/>
      <c r="H3284" s="16"/>
      <c r="I3284" s="14"/>
    </row>
    <row r="3285">
      <c r="A3285" s="14">
        <v>120.0</v>
      </c>
      <c r="B3285" s="14">
        <v>3.6379742E7</v>
      </c>
      <c r="C3285" s="14">
        <v>1.45020932E8</v>
      </c>
      <c r="D3285" s="2" t="s">
        <v>3459</v>
      </c>
      <c r="E3285" s="1" t="s">
        <v>699</v>
      </c>
      <c r="F3285" s="14">
        <v>0.0</v>
      </c>
      <c r="G3285" s="15"/>
      <c r="H3285" s="16"/>
      <c r="I3285" s="14"/>
    </row>
    <row r="3286">
      <c r="A3286" s="14">
        <v>565.0</v>
      </c>
      <c r="B3286" s="14">
        <v>3.6701531E7</v>
      </c>
      <c r="C3286" s="14">
        <v>4.28212768E8</v>
      </c>
      <c r="D3286" s="2" t="s">
        <v>3453</v>
      </c>
      <c r="E3286" s="1" t="s">
        <v>699</v>
      </c>
      <c r="F3286" s="14">
        <v>0.0</v>
      </c>
      <c r="G3286" s="15"/>
      <c r="H3286" s="16"/>
      <c r="I3286" s="14"/>
    </row>
    <row r="3287">
      <c r="A3287" s="14">
        <v>395.0</v>
      </c>
      <c r="B3287" s="14">
        <v>3.6811573E7</v>
      </c>
      <c r="C3287" s="14">
        <v>2.17231375E8</v>
      </c>
      <c r="D3287" s="2" t="s">
        <v>3451</v>
      </c>
      <c r="E3287" s="1" t="s">
        <v>699</v>
      </c>
      <c r="F3287" s="14">
        <v>0.0</v>
      </c>
      <c r="G3287" s="15"/>
      <c r="H3287" s="16"/>
      <c r="I3287" s="14"/>
    </row>
    <row r="3288">
      <c r="A3288" s="14">
        <v>575.0</v>
      </c>
      <c r="B3288" s="14">
        <v>3.694174E7</v>
      </c>
      <c r="C3288" s="14">
        <v>1.47021124E8</v>
      </c>
      <c r="D3288" s="2" t="s">
        <v>3448</v>
      </c>
      <c r="E3288" s="1" t="s">
        <v>699</v>
      </c>
      <c r="F3288" s="14">
        <v>0.0</v>
      </c>
      <c r="G3288" s="15"/>
      <c r="H3288" s="16"/>
      <c r="I3288" s="14"/>
    </row>
    <row r="3289">
      <c r="A3289" s="14">
        <v>602.0</v>
      </c>
      <c r="B3289" s="14">
        <v>3.7424826E7</v>
      </c>
      <c r="C3289" s="14">
        <v>2.19814186E8</v>
      </c>
      <c r="D3289" s="2" t="s">
        <v>3442</v>
      </c>
      <c r="E3289" s="1" t="s">
        <v>699</v>
      </c>
      <c r="F3289" s="14">
        <v>0.0</v>
      </c>
      <c r="G3289" s="15"/>
      <c r="H3289" s="16"/>
      <c r="I3289" s="14"/>
    </row>
    <row r="3290">
      <c r="A3290" s="14">
        <v>207.0</v>
      </c>
      <c r="B3290" s="14">
        <v>3.767084E7</v>
      </c>
      <c r="C3290" s="14">
        <v>1.49593449E8</v>
      </c>
      <c r="D3290" s="2" t="s">
        <v>3438</v>
      </c>
      <c r="E3290" s="1" t="s">
        <v>699</v>
      </c>
      <c r="F3290" s="14">
        <v>0.0</v>
      </c>
      <c r="G3290" s="15"/>
      <c r="H3290" s="16"/>
      <c r="I3290" s="14"/>
    </row>
    <row r="3291">
      <c r="A3291" s="14">
        <v>410.0</v>
      </c>
      <c r="B3291" s="14">
        <v>3.7697075E7</v>
      </c>
      <c r="C3291" s="14">
        <v>1.50385857E8</v>
      </c>
      <c r="D3291" s="2" t="s">
        <v>3437</v>
      </c>
      <c r="E3291" s="1" t="s">
        <v>699</v>
      </c>
      <c r="F3291" s="14">
        <v>0.0</v>
      </c>
      <c r="G3291" s="15"/>
      <c r="H3291" s="16"/>
      <c r="I3291" s="14"/>
    </row>
    <row r="3292">
      <c r="A3292" s="14">
        <v>410.0</v>
      </c>
      <c r="B3292" s="14">
        <v>3.9173389E7</v>
      </c>
      <c r="C3292" s="14">
        <v>1.55364508E8</v>
      </c>
      <c r="D3292" s="2" t="s">
        <v>3397</v>
      </c>
      <c r="E3292" s="1" t="s">
        <v>699</v>
      </c>
      <c r="F3292" s="14">
        <v>0.0</v>
      </c>
      <c r="G3292" s="15"/>
      <c r="H3292" s="16"/>
      <c r="I3292" s="14"/>
    </row>
    <row r="3293">
      <c r="A3293" s="14">
        <v>593.0</v>
      </c>
      <c r="B3293" s="14">
        <v>3.9741007E7</v>
      </c>
      <c r="C3293" s="14">
        <v>1.5826763E8</v>
      </c>
      <c r="D3293" s="2" t="s">
        <v>3385</v>
      </c>
      <c r="E3293" s="1" t="s">
        <v>699</v>
      </c>
      <c r="F3293" s="14">
        <v>0.0</v>
      </c>
      <c r="G3293" s="15"/>
      <c r="H3293" s="16"/>
      <c r="I3293" s="14"/>
    </row>
    <row r="3294">
      <c r="A3294" s="14">
        <v>355.0</v>
      </c>
      <c r="B3294" s="14">
        <v>4.0305703E7</v>
      </c>
      <c r="C3294" s="14">
        <v>3.46501922E8</v>
      </c>
      <c r="D3294" s="2" t="s">
        <v>3368</v>
      </c>
      <c r="E3294" s="1" t="s">
        <v>699</v>
      </c>
      <c r="F3294" s="14">
        <v>0.0</v>
      </c>
      <c r="G3294" s="15"/>
      <c r="H3294" s="16"/>
      <c r="I3294" s="14"/>
    </row>
    <row r="3295">
      <c r="A3295" s="14">
        <v>410.0</v>
      </c>
      <c r="B3295" s="14">
        <v>4.1033838E7</v>
      </c>
      <c r="C3295" s="14">
        <v>1.62463363E8</v>
      </c>
      <c r="D3295" s="2" t="s">
        <v>3355</v>
      </c>
      <c r="E3295" s="1" t="s">
        <v>699</v>
      </c>
      <c r="F3295" s="14">
        <v>0.0</v>
      </c>
      <c r="G3295" s="15"/>
      <c r="H3295" s="16"/>
      <c r="I3295" s="14"/>
    </row>
    <row r="3296">
      <c r="A3296" s="14">
        <v>488.0</v>
      </c>
      <c r="B3296" s="14">
        <v>4.1103335E7</v>
      </c>
      <c r="C3296" s="14">
        <v>1.62945922E8</v>
      </c>
      <c r="D3296" s="2" t="s">
        <v>3354</v>
      </c>
      <c r="E3296" s="1" t="s">
        <v>699</v>
      </c>
      <c r="F3296" s="14">
        <v>0.0</v>
      </c>
      <c r="G3296" s="15"/>
      <c r="H3296" s="16"/>
      <c r="I3296" s="14"/>
    </row>
    <row r="3297">
      <c r="A3297" s="14">
        <v>597.0</v>
      </c>
      <c r="B3297" s="14">
        <v>4.129266E7</v>
      </c>
      <c r="C3297" s="14">
        <v>1.63676648E8</v>
      </c>
      <c r="D3297" s="2" t="s">
        <v>3347</v>
      </c>
      <c r="E3297" s="1" t="s">
        <v>699</v>
      </c>
      <c r="F3297" s="14">
        <v>0.0</v>
      </c>
      <c r="G3297" s="15"/>
      <c r="H3297" s="16"/>
      <c r="I3297" s="14"/>
    </row>
    <row r="3298">
      <c r="A3298" s="14">
        <v>665.0</v>
      </c>
      <c r="B3298" s="14">
        <v>4.1678365E7</v>
      </c>
      <c r="C3298" s="14">
        <v>1.64968796E8</v>
      </c>
      <c r="D3298" s="2" t="s">
        <v>3329</v>
      </c>
      <c r="E3298" s="1" t="s">
        <v>699</v>
      </c>
      <c r="F3298" s="14">
        <v>0.0</v>
      </c>
      <c r="G3298" s="15"/>
      <c r="H3298" s="16"/>
      <c r="I3298" s="14"/>
    </row>
    <row r="3299">
      <c r="A3299" s="14">
        <v>215.0</v>
      </c>
      <c r="B3299" s="14">
        <v>4.2097492E7</v>
      </c>
      <c r="C3299" s="14">
        <v>1.66672352E8</v>
      </c>
      <c r="D3299" s="2" t="s">
        <v>3318</v>
      </c>
      <c r="E3299" s="1" t="s">
        <v>699</v>
      </c>
      <c r="F3299" s="14">
        <v>0.0</v>
      </c>
      <c r="G3299" s="15"/>
      <c r="H3299" s="16"/>
      <c r="I3299" s="14"/>
    </row>
    <row r="3300">
      <c r="A3300" s="14">
        <v>414.0</v>
      </c>
      <c r="B3300" s="14">
        <v>4.238053E7</v>
      </c>
      <c r="C3300" s="14">
        <v>1.67766438E8</v>
      </c>
      <c r="D3300" s="2" t="s">
        <v>3311</v>
      </c>
      <c r="E3300" s="1" t="s">
        <v>699</v>
      </c>
      <c r="F3300" s="14">
        <v>0.0</v>
      </c>
      <c r="G3300" s="15"/>
      <c r="H3300" s="16"/>
      <c r="I3300" s="14"/>
    </row>
    <row r="3301">
      <c r="A3301" s="14">
        <v>355.0</v>
      </c>
      <c r="B3301" s="14">
        <v>4.2568659E7</v>
      </c>
      <c r="C3301" s="14">
        <v>1.68262016E8</v>
      </c>
      <c r="D3301" s="2" t="s">
        <v>3308</v>
      </c>
      <c r="E3301" s="1" t="s">
        <v>699</v>
      </c>
      <c r="F3301" s="14">
        <v>0.0</v>
      </c>
      <c r="G3301" s="15"/>
      <c r="H3301" s="16"/>
      <c r="I3301" s="14"/>
    </row>
    <row r="3302">
      <c r="A3302" s="14">
        <v>210.0</v>
      </c>
      <c r="B3302" s="14">
        <v>4.262963E7</v>
      </c>
      <c r="C3302" s="14">
        <v>1.68486644E8</v>
      </c>
      <c r="D3302" s="2" t="s">
        <v>3306</v>
      </c>
      <c r="E3302" s="1" t="s">
        <v>699</v>
      </c>
      <c r="F3302" s="14">
        <v>0.0</v>
      </c>
      <c r="G3302" s="15"/>
      <c r="H3302" s="16"/>
      <c r="I3302" s="14"/>
    </row>
    <row r="3303">
      <c r="A3303" s="14">
        <v>664.0</v>
      </c>
      <c r="B3303" s="14">
        <v>4.3211577E7</v>
      </c>
      <c r="C3303" s="14">
        <v>1.70887037E8</v>
      </c>
      <c r="D3303" s="2" t="s">
        <v>3288</v>
      </c>
      <c r="E3303" s="1" t="s">
        <v>699</v>
      </c>
      <c r="F3303" s="14">
        <v>0.0</v>
      </c>
      <c r="G3303" s="15"/>
      <c r="H3303" s="16"/>
      <c r="I3303" s="14"/>
    </row>
    <row r="3304">
      <c r="A3304" s="14">
        <v>504.0</v>
      </c>
      <c r="B3304" s="14">
        <v>4.3262637E7</v>
      </c>
      <c r="C3304" s="14">
        <v>1.71085623E8</v>
      </c>
      <c r="D3304" s="2" t="s">
        <v>3287</v>
      </c>
      <c r="E3304" s="1" t="s">
        <v>699</v>
      </c>
      <c r="F3304" s="14">
        <v>0.0</v>
      </c>
      <c r="G3304" s="15"/>
      <c r="H3304" s="16"/>
      <c r="I3304" s="14"/>
    </row>
    <row r="3305">
      <c r="A3305" s="14">
        <v>564.0</v>
      </c>
      <c r="B3305" s="14">
        <v>4.4358442E7</v>
      </c>
      <c r="C3305" s="14">
        <v>1.75526E8</v>
      </c>
      <c r="D3305" s="2" t="s">
        <v>3260</v>
      </c>
      <c r="E3305" s="1" t="s">
        <v>699</v>
      </c>
      <c r="F3305" s="14">
        <v>0.0</v>
      </c>
      <c r="G3305" s="15"/>
      <c r="H3305" s="16"/>
      <c r="I3305" s="14"/>
    </row>
    <row r="3306">
      <c r="A3306" s="14">
        <v>665.0</v>
      </c>
      <c r="B3306" s="14">
        <v>4.4976829E7</v>
      </c>
      <c r="C3306" s="14">
        <v>2.82353459E8</v>
      </c>
      <c r="D3306" s="2" t="s">
        <v>3247</v>
      </c>
      <c r="E3306" s="1" t="s">
        <v>699</v>
      </c>
      <c r="F3306" s="14">
        <v>0.0</v>
      </c>
      <c r="G3306" s="15"/>
      <c r="H3306" s="16"/>
      <c r="I3306" s="14"/>
    </row>
    <row r="3307">
      <c r="A3307" s="14">
        <v>639.0</v>
      </c>
      <c r="B3307" s="14">
        <v>4.5291914E7</v>
      </c>
      <c r="C3307" s="14">
        <v>1.78861087E8</v>
      </c>
      <c r="D3307" s="2" t="s">
        <v>3238</v>
      </c>
      <c r="E3307" s="1" t="s">
        <v>699</v>
      </c>
      <c r="F3307" s="14">
        <v>0.0</v>
      </c>
      <c r="G3307" s="15"/>
      <c r="H3307" s="16"/>
      <c r="I3307" s="14"/>
    </row>
    <row r="3308">
      <c r="A3308" s="14">
        <v>715.0</v>
      </c>
      <c r="B3308" s="14">
        <v>4.5932274E7</v>
      </c>
      <c r="C3308" s="14">
        <v>1.8135346E8</v>
      </c>
      <c r="D3308" s="2" t="s">
        <v>3217</v>
      </c>
      <c r="E3308" s="1" t="s">
        <v>699</v>
      </c>
      <c r="F3308" s="14">
        <v>0.0</v>
      </c>
      <c r="G3308" s="15"/>
      <c r="H3308" s="16"/>
      <c r="I3308" s="14"/>
    </row>
    <row r="3309">
      <c r="A3309" s="14">
        <v>395.0</v>
      </c>
      <c r="B3309" s="14">
        <v>4.6036399E7</v>
      </c>
      <c r="C3309" s="14">
        <v>1.8182084E8</v>
      </c>
      <c r="D3309" s="2" t="s">
        <v>3212</v>
      </c>
      <c r="E3309" s="1" t="s">
        <v>699</v>
      </c>
      <c r="F3309" s="14">
        <v>0.0</v>
      </c>
      <c r="G3309" s="15"/>
      <c r="H3309" s="16"/>
      <c r="I3309" s="14"/>
    </row>
    <row r="3310">
      <c r="A3310" s="14">
        <v>492.0</v>
      </c>
      <c r="B3310" s="14">
        <v>4.6062878E7</v>
      </c>
      <c r="C3310" s="14">
        <v>1.8187179E8</v>
      </c>
      <c r="D3310" s="2" t="s">
        <v>3210</v>
      </c>
      <c r="E3310" s="1" t="s">
        <v>699</v>
      </c>
      <c r="F3310" s="14">
        <v>0.0</v>
      </c>
      <c r="G3310" s="15"/>
      <c r="H3310" s="16"/>
      <c r="I3310" s="14"/>
    </row>
    <row r="3311">
      <c r="A3311" s="14">
        <v>578.0</v>
      </c>
      <c r="B3311" s="14">
        <v>4.6096988E7</v>
      </c>
      <c r="C3311" s="14">
        <v>1.82321182E8</v>
      </c>
      <c r="D3311" s="2" t="s">
        <v>3207</v>
      </c>
      <c r="E3311" s="1" t="s">
        <v>699</v>
      </c>
      <c r="F3311" s="14">
        <v>0.0</v>
      </c>
      <c r="G3311" s="15"/>
      <c r="H3311" s="16"/>
      <c r="I3311" s="14"/>
    </row>
    <row r="3312">
      <c r="A3312" s="14">
        <v>578.0</v>
      </c>
      <c r="B3312" s="14">
        <v>4.6264443E7</v>
      </c>
      <c r="C3312" s="14">
        <v>1.82602013E8</v>
      </c>
      <c r="D3312" s="2" t="s">
        <v>3202</v>
      </c>
      <c r="E3312" s="1" t="s">
        <v>699</v>
      </c>
      <c r="F3312" s="14">
        <v>0.0</v>
      </c>
      <c r="G3312" s="15"/>
      <c r="H3312" s="16"/>
      <c r="I3312" s="14"/>
    </row>
    <row r="3313">
      <c r="A3313" s="14">
        <v>602.0</v>
      </c>
      <c r="B3313" s="14">
        <v>4.6381442E7</v>
      </c>
      <c r="C3313" s="14">
        <v>1.83118239E8</v>
      </c>
      <c r="D3313" s="2" t="s">
        <v>3195</v>
      </c>
      <c r="E3313" s="1" t="s">
        <v>699</v>
      </c>
      <c r="F3313" s="14">
        <v>0.0</v>
      </c>
      <c r="G3313" s="15"/>
      <c r="H3313" s="16"/>
      <c r="I3313" s="14"/>
    </row>
    <row r="3314">
      <c r="A3314" s="14">
        <v>380.0</v>
      </c>
      <c r="B3314" s="14">
        <v>4.6553755E7</v>
      </c>
      <c r="C3314" s="14">
        <v>1.84539933E8</v>
      </c>
      <c r="D3314" s="2" t="s">
        <v>3184</v>
      </c>
      <c r="E3314" s="1" t="s">
        <v>699</v>
      </c>
      <c r="F3314" s="14">
        <v>0.0</v>
      </c>
      <c r="G3314" s="15"/>
      <c r="H3314" s="16"/>
      <c r="I3314" s="14"/>
    </row>
    <row r="3315">
      <c r="A3315" s="14">
        <v>355.0</v>
      </c>
      <c r="B3315" s="14">
        <v>4.6655767E7</v>
      </c>
      <c r="C3315" s="14">
        <v>1.84337834E8</v>
      </c>
      <c r="D3315" s="2" t="s">
        <v>3176</v>
      </c>
      <c r="E3315" s="1" t="s">
        <v>699</v>
      </c>
      <c r="F3315" s="14">
        <v>0.0</v>
      </c>
      <c r="G3315" s="15"/>
      <c r="H3315" s="16"/>
      <c r="I3315" s="14"/>
    </row>
    <row r="3316">
      <c r="A3316" s="14">
        <v>484.0</v>
      </c>
      <c r="B3316" s="14">
        <v>4.6669858E7</v>
      </c>
      <c r="C3316" s="14">
        <v>1.84259246E8</v>
      </c>
      <c r="D3316" s="2" t="s">
        <v>3175</v>
      </c>
      <c r="E3316" s="1" t="s">
        <v>699</v>
      </c>
      <c r="F3316" s="14">
        <v>0.0</v>
      </c>
      <c r="G3316" s="15"/>
      <c r="H3316" s="16"/>
      <c r="I3316" s="14"/>
    </row>
    <row r="3317">
      <c r="A3317" s="14">
        <v>700.0</v>
      </c>
      <c r="B3317" s="14">
        <v>4.6707786E7</v>
      </c>
      <c r="C3317" s="14">
        <v>1.84556378E8</v>
      </c>
      <c r="D3317" s="2" t="s">
        <v>3171</v>
      </c>
      <c r="E3317" s="1" t="s">
        <v>699</v>
      </c>
      <c r="F3317" s="14">
        <v>0.0</v>
      </c>
      <c r="G3317" s="15"/>
      <c r="H3317" s="16"/>
      <c r="I3317" s="14"/>
    </row>
    <row r="3318">
      <c r="A3318" s="14">
        <v>602.0</v>
      </c>
      <c r="B3318" s="14">
        <v>4.6785195E7</v>
      </c>
      <c r="C3318" s="14">
        <v>1.84761991E8</v>
      </c>
      <c r="D3318" s="2" t="s">
        <v>3164</v>
      </c>
      <c r="E3318" s="1" t="s">
        <v>699</v>
      </c>
      <c r="F3318" s="14">
        <v>0.0</v>
      </c>
      <c r="G3318" s="15"/>
      <c r="H3318" s="16"/>
      <c r="I3318" s="14"/>
    </row>
    <row r="3319">
      <c r="A3319" s="14">
        <v>471.0</v>
      </c>
      <c r="B3319" s="14">
        <v>4.7414711E7</v>
      </c>
      <c r="C3319" s="14">
        <v>1.87267254E8</v>
      </c>
      <c r="D3319" s="2" t="s">
        <v>3140</v>
      </c>
      <c r="E3319" s="1" t="s">
        <v>699</v>
      </c>
      <c r="F3319" s="14">
        <v>0.0</v>
      </c>
      <c r="G3319" s="15"/>
      <c r="H3319" s="16"/>
      <c r="I3319" s="14"/>
    </row>
    <row r="3320">
      <c r="A3320" s="14">
        <v>671.0</v>
      </c>
      <c r="B3320" s="14">
        <v>4.8034969E7</v>
      </c>
      <c r="C3320" s="14">
        <v>1.89790455E8</v>
      </c>
      <c r="D3320" s="2" t="s">
        <v>3110</v>
      </c>
      <c r="E3320" s="1" t="s">
        <v>699</v>
      </c>
      <c r="F3320" s="14">
        <v>0.0</v>
      </c>
      <c r="G3320" s="15"/>
      <c r="H3320" s="16"/>
      <c r="I3320" s="14"/>
    </row>
    <row r="3321">
      <c r="A3321" s="14">
        <v>678.0</v>
      </c>
      <c r="B3321" s="14">
        <v>4.8068991E7</v>
      </c>
      <c r="C3321" s="14">
        <v>1.90003707E8</v>
      </c>
      <c r="D3321" s="2" t="s">
        <v>3106</v>
      </c>
      <c r="E3321" s="1" t="s">
        <v>699</v>
      </c>
      <c r="F3321" s="14">
        <v>0.0</v>
      </c>
      <c r="G3321" s="15"/>
      <c r="H3321" s="16"/>
      <c r="I3321" s="14"/>
    </row>
    <row r="3322">
      <c r="A3322" s="14">
        <v>129.0</v>
      </c>
      <c r="B3322" s="14">
        <v>4.8076486E7</v>
      </c>
      <c r="C3322" s="14">
        <v>2.02576146E8</v>
      </c>
      <c r="D3322" s="2" t="s">
        <v>3104</v>
      </c>
      <c r="E3322" s="1" t="s">
        <v>699</v>
      </c>
      <c r="F3322" s="14">
        <v>0.0</v>
      </c>
      <c r="G3322" s="15"/>
      <c r="H3322" s="16"/>
      <c r="I3322" s="14"/>
    </row>
    <row r="3323">
      <c r="A3323" s="14">
        <v>355.0</v>
      </c>
      <c r="B3323" s="14">
        <v>4.8188994E7</v>
      </c>
      <c r="C3323" s="14">
        <v>1.90710864E8</v>
      </c>
      <c r="D3323" s="2" t="s">
        <v>3092</v>
      </c>
      <c r="E3323" s="1" t="s">
        <v>699</v>
      </c>
      <c r="F3323" s="14">
        <v>0.0</v>
      </c>
      <c r="G3323" s="15"/>
      <c r="H3323" s="16"/>
      <c r="I3323" s="14"/>
    </row>
    <row r="3324">
      <c r="A3324" s="14">
        <v>484.0</v>
      </c>
      <c r="B3324" s="14">
        <v>4.8388071E7</v>
      </c>
      <c r="C3324" s="14">
        <v>3.89443567E8</v>
      </c>
      <c r="D3324" s="2" t="s">
        <v>3084</v>
      </c>
      <c r="E3324" s="1" t="s">
        <v>699</v>
      </c>
      <c r="F3324" s="14">
        <v>0.0</v>
      </c>
      <c r="G3324" s="15"/>
      <c r="H3324" s="16"/>
      <c r="I3324" s="14"/>
    </row>
    <row r="3325">
      <c r="A3325" s="14">
        <v>607.0</v>
      </c>
      <c r="B3325" s="14">
        <v>4.9225108E7</v>
      </c>
      <c r="C3325" s="14">
        <v>1.94883372E8</v>
      </c>
      <c r="D3325" s="2" t="s">
        <v>3049</v>
      </c>
      <c r="E3325" s="1" t="s">
        <v>699</v>
      </c>
      <c r="F3325" s="14">
        <v>0.0</v>
      </c>
      <c r="G3325" s="15"/>
      <c r="H3325" s="16"/>
      <c r="I3325" s="14"/>
    </row>
    <row r="3326">
      <c r="A3326" s="14">
        <v>355.0</v>
      </c>
      <c r="B3326" s="14">
        <v>4.9288362E7</v>
      </c>
      <c r="C3326" s="14">
        <v>1.95344238E8</v>
      </c>
      <c r="D3326" s="2" t="s">
        <v>3046</v>
      </c>
      <c r="E3326" s="1" t="s">
        <v>699</v>
      </c>
      <c r="F3326" s="14">
        <v>0.0</v>
      </c>
      <c r="G3326" s="15"/>
      <c r="H3326" s="16"/>
      <c r="I3326" s="14"/>
    </row>
    <row r="3327">
      <c r="A3327" s="14">
        <v>379.0</v>
      </c>
      <c r="B3327" s="14">
        <v>4.9517604E7</v>
      </c>
      <c r="C3327" s="14">
        <v>1.95793691E8</v>
      </c>
      <c r="D3327" s="2" t="s">
        <v>3034</v>
      </c>
      <c r="E3327" s="1" t="s">
        <v>699</v>
      </c>
      <c r="F3327" s="14">
        <v>0.0</v>
      </c>
      <c r="G3327" s="15"/>
      <c r="H3327" s="16"/>
      <c r="I3327" s="14"/>
    </row>
    <row r="3328">
      <c r="A3328" s="14">
        <v>608.0</v>
      </c>
      <c r="B3328" s="14">
        <v>4.9535004E7</v>
      </c>
      <c r="C3328" s="14">
        <v>1.95832725E8</v>
      </c>
      <c r="D3328" s="2" t="s">
        <v>3032</v>
      </c>
      <c r="E3328" s="1" t="s">
        <v>699</v>
      </c>
      <c r="F3328" s="14">
        <v>0.0</v>
      </c>
      <c r="G3328" s="15"/>
      <c r="H3328" s="16"/>
      <c r="I3328" s="14"/>
    </row>
    <row r="3329">
      <c r="A3329" s="14">
        <v>484.0</v>
      </c>
      <c r="B3329" s="14">
        <v>4.9776387E7</v>
      </c>
      <c r="C3329" s="14">
        <v>1.96912742E8</v>
      </c>
      <c r="D3329" s="2" t="s">
        <v>3026</v>
      </c>
      <c r="E3329" s="1" t="s">
        <v>699</v>
      </c>
      <c r="F3329" s="14">
        <v>0.0</v>
      </c>
      <c r="G3329" s="15"/>
      <c r="H3329" s="16"/>
      <c r="I3329" s="14"/>
    </row>
    <row r="3330">
      <c r="A3330" s="14">
        <v>473.0</v>
      </c>
      <c r="B3330" s="14">
        <v>5.0673017E7</v>
      </c>
      <c r="C3330" s="14">
        <v>2.00593315E8</v>
      </c>
      <c r="D3330" s="2" t="s">
        <v>2996</v>
      </c>
      <c r="E3330" s="1" t="s">
        <v>699</v>
      </c>
      <c r="F3330" s="14">
        <v>0.0</v>
      </c>
      <c r="G3330" s="15"/>
      <c r="H3330" s="16"/>
      <c r="I3330" s="14"/>
    </row>
    <row r="3331">
      <c r="A3331" s="14">
        <v>672.0</v>
      </c>
      <c r="B3331" s="14">
        <v>5.0681554E7</v>
      </c>
      <c r="C3331" s="14">
        <v>2.83701698E8</v>
      </c>
      <c r="D3331" s="2" t="s">
        <v>2995</v>
      </c>
      <c r="E3331" s="1" t="s">
        <v>699</v>
      </c>
      <c r="F3331" s="14">
        <v>0.0</v>
      </c>
      <c r="G3331" s="15"/>
      <c r="H3331" s="16"/>
      <c r="I3331" s="14"/>
    </row>
    <row r="3332">
      <c r="A3332" s="14">
        <v>571.0</v>
      </c>
      <c r="B3332" s="14">
        <v>5.128025E7</v>
      </c>
      <c r="C3332" s="14">
        <v>4.10162804E8</v>
      </c>
      <c r="D3332" s="2" t="s">
        <v>2976</v>
      </c>
      <c r="E3332" s="1" t="s">
        <v>699</v>
      </c>
      <c r="F3332" s="14">
        <v>0.0</v>
      </c>
      <c r="G3332" s="15"/>
      <c r="H3332" s="16"/>
      <c r="I3332" s="14"/>
    </row>
    <row r="3333">
      <c r="A3333" s="14">
        <v>484.0</v>
      </c>
      <c r="B3333" s="14">
        <v>5.1282538E7</v>
      </c>
      <c r="C3333" s="14">
        <v>2.03154554E8</v>
      </c>
      <c r="D3333" s="2" t="s">
        <v>2975</v>
      </c>
      <c r="E3333" s="1" t="s">
        <v>699</v>
      </c>
      <c r="F3333" s="14">
        <v>0.0</v>
      </c>
      <c r="G3333" s="15"/>
      <c r="H3333" s="16"/>
      <c r="I3333" s="14"/>
    </row>
    <row r="3334">
      <c r="A3334" s="14">
        <v>353.0</v>
      </c>
      <c r="B3334" s="14">
        <v>5.1460688E7</v>
      </c>
      <c r="C3334" s="14">
        <v>2.03828519E8</v>
      </c>
      <c r="D3334" s="2" t="s">
        <v>2969</v>
      </c>
      <c r="E3334" s="1" t="s">
        <v>699</v>
      </c>
      <c r="F3334" s="14">
        <v>0.0</v>
      </c>
      <c r="G3334" s="15"/>
      <c r="H3334" s="16"/>
      <c r="I3334" s="14"/>
    </row>
    <row r="3335">
      <c r="A3335" s="14">
        <v>409.0</v>
      </c>
      <c r="B3335" s="14">
        <v>5.1642469E7</v>
      </c>
      <c r="C3335" s="14">
        <v>2.04725121E8</v>
      </c>
      <c r="D3335" s="2" t="s">
        <v>2961</v>
      </c>
      <c r="E3335" s="1" t="s">
        <v>699</v>
      </c>
      <c r="F3335" s="14">
        <v>0.0</v>
      </c>
      <c r="G3335" s="15"/>
      <c r="H3335" s="16"/>
      <c r="I3335" s="14"/>
    </row>
    <row r="3336">
      <c r="A3336" s="14">
        <v>484.0</v>
      </c>
      <c r="B3336" s="14">
        <v>5.1648874E7</v>
      </c>
      <c r="C3336" s="14">
        <v>2.04770584E8</v>
      </c>
      <c r="D3336" s="2" t="s">
        <v>2960</v>
      </c>
      <c r="E3336" s="1" t="s">
        <v>699</v>
      </c>
      <c r="F3336" s="14">
        <v>0.0</v>
      </c>
      <c r="G3336" s="15"/>
      <c r="H3336" s="16"/>
      <c r="I3336" s="14"/>
    </row>
    <row r="3337">
      <c r="A3337" s="14">
        <v>194.0</v>
      </c>
      <c r="B3337" s="14">
        <v>5.1691573E7</v>
      </c>
      <c r="C3337" s="14">
        <v>2.04733535E8</v>
      </c>
      <c r="D3337" s="2" t="s">
        <v>2957</v>
      </c>
      <c r="E3337" s="1" t="s">
        <v>699</v>
      </c>
      <c r="F3337" s="14">
        <v>0.0</v>
      </c>
      <c r="G3337" s="15"/>
      <c r="H3337" s="16"/>
      <c r="I3337" s="14"/>
    </row>
    <row r="3338">
      <c r="A3338" s="14">
        <v>602.0</v>
      </c>
      <c r="B3338" s="14">
        <v>5.1932214E7</v>
      </c>
      <c r="C3338" s="14">
        <v>2.05899757E8</v>
      </c>
      <c r="D3338" s="2" t="s">
        <v>2949</v>
      </c>
      <c r="E3338" s="1" t="s">
        <v>699</v>
      </c>
      <c r="F3338" s="14">
        <v>0.0</v>
      </c>
      <c r="G3338" s="15"/>
      <c r="H3338" s="16"/>
      <c r="I3338" s="14"/>
    </row>
    <row r="3339">
      <c r="A3339" s="14">
        <v>504.0</v>
      </c>
      <c r="B3339" s="14">
        <v>5.1968798E7</v>
      </c>
      <c r="C3339" s="14">
        <v>2.06291361E8</v>
      </c>
      <c r="D3339" s="2" t="s">
        <v>2948</v>
      </c>
      <c r="E3339" s="1" t="s">
        <v>699</v>
      </c>
      <c r="F3339" s="14">
        <v>0.0</v>
      </c>
      <c r="G3339" s="15"/>
      <c r="H3339" s="16"/>
      <c r="I3339" s="14"/>
    </row>
    <row r="3340">
      <c r="A3340" s="14">
        <v>403.0</v>
      </c>
      <c r="B3340" s="14">
        <v>5.2007924E7</v>
      </c>
      <c r="C3340" s="14">
        <v>3.27863645E8</v>
      </c>
      <c r="D3340" s="2" t="s">
        <v>2945</v>
      </c>
      <c r="E3340" s="1" t="s">
        <v>699</v>
      </c>
      <c r="F3340" s="14">
        <v>0.0</v>
      </c>
      <c r="G3340" s="15"/>
      <c r="H3340" s="16"/>
      <c r="I3340" s="14"/>
    </row>
    <row r="3341">
      <c r="A3341" s="14">
        <v>571.0</v>
      </c>
      <c r="B3341" s="14">
        <v>5.2542886E7</v>
      </c>
      <c r="C3341" s="14">
        <v>2.08421083E8</v>
      </c>
      <c r="D3341" s="2" t="s">
        <v>2924</v>
      </c>
      <c r="E3341" s="1" t="s">
        <v>699</v>
      </c>
      <c r="F3341" s="14">
        <v>0.0</v>
      </c>
      <c r="G3341" s="15"/>
      <c r="H3341" s="16"/>
      <c r="I3341" s="14"/>
    </row>
    <row r="3342">
      <c r="A3342" s="14">
        <v>654.0</v>
      </c>
      <c r="B3342" s="14">
        <v>5.2749087E7</v>
      </c>
      <c r="C3342" s="14">
        <v>2.09175431E8</v>
      </c>
      <c r="D3342" s="2" t="s">
        <v>2919</v>
      </c>
      <c r="E3342" s="1" t="s">
        <v>699</v>
      </c>
      <c r="F3342" s="14">
        <v>0.0</v>
      </c>
      <c r="G3342" s="15"/>
      <c r="H3342" s="16"/>
      <c r="I3342" s="14"/>
    </row>
    <row r="3343">
      <c r="A3343" s="14">
        <v>578.0</v>
      </c>
      <c r="B3343" s="14">
        <v>5.2778865E7</v>
      </c>
      <c r="C3343" s="14">
        <v>2.09222693E8</v>
      </c>
      <c r="D3343" s="2" t="s">
        <v>2917</v>
      </c>
      <c r="E3343" s="1" t="s">
        <v>699</v>
      </c>
      <c r="F3343" s="14">
        <v>0.0</v>
      </c>
      <c r="G3343" s="15"/>
      <c r="H3343" s="16"/>
      <c r="I3343" s="14"/>
    </row>
    <row r="3344">
      <c r="A3344" s="14">
        <v>498.0</v>
      </c>
      <c r="B3344" s="14">
        <v>5.311314E7</v>
      </c>
      <c r="C3344" s="14">
        <v>2.10604317E8</v>
      </c>
      <c r="D3344" s="2" t="s">
        <v>2908</v>
      </c>
      <c r="E3344" s="1" t="s">
        <v>699</v>
      </c>
      <c r="F3344" s="14">
        <v>0.0</v>
      </c>
      <c r="G3344" s="15"/>
      <c r="H3344" s="16"/>
      <c r="I3344" s="14"/>
    </row>
    <row r="3345">
      <c r="A3345" s="14">
        <v>355.0</v>
      </c>
      <c r="B3345" s="14">
        <v>5.32419E7</v>
      </c>
      <c r="C3345" s="14">
        <v>2.11231487E8</v>
      </c>
      <c r="D3345" s="2" t="s">
        <v>2904</v>
      </c>
      <c r="E3345" s="1" t="s">
        <v>699</v>
      </c>
      <c r="F3345" s="14">
        <v>0.0</v>
      </c>
      <c r="G3345" s="15"/>
      <c r="H3345" s="16"/>
      <c r="I3345" s="14"/>
    </row>
    <row r="3346">
      <c r="A3346" s="14">
        <v>602.0</v>
      </c>
      <c r="B3346" s="14">
        <v>5.3258797E7</v>
      </c>
      <c r="C3346" s="14">
        <v>2.11776402E8</v>
      </c>
      <c r="D3346" s="2" t="s">
        <v>2903</v>
      </c>
      <c r="E3346" s="1" t="s">
        <v>699</v>
      </c>
      <c r="F3346" s="14">
        <v>0.0</v>
      </c>
      <c r="G3346" s="15"/>
      <c r="H3346" s="16"/>
      <c r="I3346" s="14"/>
    </row>
    <row r="3347">
      <c r="A3347" s="14">
        <v>353.0</v>
      </c>
      <c r="B3347" s="14">
        <v>5.3316069E7</v>
      </c>
      <c r="C3347" s="14">
        <v>2.11719917E8</v>
      </c>
      <c r="D3347" s="2" t="s">
        <v>2902</v>
      </c>
      <c r="E3347" s="1" t="s">
        <v>699</v>
      </c>
      <c r="F3347" s="14">
        <v>0.0</v>
      </c>
      <c r="G3347" s="15"/>
      <c r="H3347" s="16"/>
      <c r="I3347" s="14"/>
    </row>
    <row r="3348">
      <c r="A3348" s="14">
        <v>593.0</v>
      </c>
      <c r="B3348" s="14">
        <v>5.3436242E7</v>
      </c>
      <c r="C3348" s="14">
        <v>2.11947961E8</v>
      </c>
      <c r="D3348" s="2" t="s">
        <v>2896</v>
      </c>
      <c r="E3348" s="1" t="s">
        <v>699</v>
      </c>
      <c r="F3348" s="14">
        <v>0.0</v>
      </c>
      <c r="G3348" s="15"/>
      <c r="H3348" s="16"/>
      <c r="I3348" s="14"/>
    </row>
    <row r="3349">
      <c r="A3349" s="14">
        <v>677.0</v>
      </c>
      <c r="B3349" s="14">
        <v>5.3443277E7</v>
      </c>
      <c r="C3349" s="14">
        <v>2.11944783E8</v>
      </c>
      <c r="D3349" s="2" t="s">
        <v>2894</v>
      </c>
      <c r="E3349" s="1" t="s">
        <v>699</v>
      </c>
      <c r="F3349" s="14">
        <v>0.0</v>
      </c>
      <c r="G3349" s="15"/>
      <c r="H3349" s="16"/>
      <c r="I3349" s="14"/>
    </row>
    <row r="3350">
      <c r="A3350" s="14">
        <v>593.0</v>
      </c>
      <c r="B3350" s="14">
        <v>5.3758127E7</v>
      </c>
      <c r="C3350" s="14">
        <v>2.13243666E8</v>
      </c>
      <c r="D3350" s="2" t="s">
        <v>2884</v>
      </c>
      <c r="E3350" s="1" t="s">
        <v>699</v>
      </c>
      <c r="F3350" s="14">
        <v>0.0</v>
      </c>
      <c r="G3350" s="15"/>
      <c r="H3350" s="16"/>
      <c r="I3350" s="14"/>
    </row>
    <row r="3351">
      <c r="A3351" s="14">
        <v>406.0</v>
      </c>
      <c r="B3351" s="14">
        <v>5.3934484E7</v>
      </c>
      <c r="C3351" s="14">
        <v>2.14745204E8</v>
      </c>
      <c r="D3351" s="2" t="s">
        <v>2882</v>
      </c>
      <c r="E3351" s="1" t="s">
        <v>699</v>
      </c>
      <c r="F3351" s="14">
        <v>0.0</v>
      </c>
      <c r="G3351" s="15"/>
      <c r="H3351" s="16"/>
      <c r="I3351" s="14"/>
    </row>
    <row r="3352">
      <c r="A3352" s="14">
        <v>401.0</v>
      </c>
      <c r="B3352" s="14">
        <v>5.4222779E7</v>
      </c>
      <c r="C3352" s="14">
        <v>2.15780097E8</v>
      </c>
      <c r="D3352" s="2" t="s">
        <v>2871</v>
      </c>
      <c r="E3352" s="1" t="s">
        <v>699</v>
      </c>
      <c r="F3352" s="14">
        <v>0.0</v>
      </c>
      <c r="G3352" s="15"/>
      <c r="H3352" s="16"/>
      <c r="I3352" s="14"/>
    </row>
    <row r="3353">
      <c r="A3353" s="14">
        <v>698.0</v>
      </c>
      <c r="B3353" s="14">
        <v>5.4651401E7</v>
      </c>
      <c r="C3353" s="14">
        <v>2.16868122E8</v>
      </c>
      <c r="D3353" s="27">
        <v>10.0</v>
      </c>
      <c r="E3353" s="1" t="s">
        <v>699</v>
      </c>
      <c r="F3353" s="14">
        <v>0.0</v>
      </c>
      <c r="G3353" s="15"/>
      <c r="H3353" s="16"/>
      <c r="I3353" s="14"/>
    </row>
    <row r="3354">
      <c r="A3354" s="14">
        <v>355.0</v>
      </c>
      <c r="B3354" s="14">
        <v>5.4711565E7</v>
      </c>
      <c r="C3354" s="14">
        <v>2.1723323E8</v>
      </c>
      <c r="D3354" s="2" t="s">
        <v>2849</v>
      </c>
      <c r="E3354" s="1" t="s">
        <v>699</v>
      </c>
      <c r="F3354" s="14">
        <v>0.0</v>
      </c>
      <c r="G3354" s="15"/>
      <c r="H3354" s="16"/>
      <c r="I3354" s="14"/>
    </row>
    <row r="3355">
      <c r="A3355" s="14">
        <v>484.0</v>
      </c>
      <c r="B3355" s="14">
        <v>5.49414E7</v>
      </c>
      <c r="C3355" s="14">
        <v>2.18046178E8</v>
      </c>
      <c r="D3355" s="2" t="s">
        <v>2843</v>
      </c>
      <c r="E3355" s="1" t="s">
        <v>699</v>
      </c>
      <c r="F3355" s="14">
        <v>0.0</v>
      </c>
      <c r="G3355" s="15"/>
      <c r="H3355" s="16"/>
      <c r="I3355" s="14"/>
    </row>
    <row r="3356">
      <c r="A3356" s="14">
        <v>608.0</v>
      </c>
      <c r="B3356" s="14">
        <v>5.5492722E7</v>
      </c>
      <c r="C3356" s="14">
        <v>2.20401372E8</v>
      </c>
      <c r="D3356" s="2" t="s">
        <v>2829</v>
      </c>
      <c r="E3356" s="1" t="s">
        <v>699</v>
      </c>
      <c r="F3356" s="14">
        <v>0.0</v>
      </c>
      <c r="G3356" s="15"/>
      <c r="H3356" s="16"/>
      <c r="I3356" s="14"/>
    </row>
    <row r="3357">
      <c r="A3357" s="14">
        <v>394.0</v>
      </c>
      <c r="B3357" s="14">
        <v>5.5835572E7</v>
      </c>
      <c r="C3357" s="14">
        <v>2.21799456E8</v>
      </c>
      <c r="D3357" s="2" t="s">
        <v>2819</v>
      </c>
      <c r="E3357" s="1" t="s">
        <v>699</v>
      </c>
      <c r="F3357" s="14">
        <v>0.0</v>
      </c>
      <c r="G3357" s="15"/>
      <c r="H3357" s="16"/>
      <c r="I3357" s="14"/>
    </row>
    <row r="3358">
      <c r="A3358" s="14">
        <v>172.0</v>
      </c>
      <c r="B3358" s="14">
        <v>5.5945085E7</v>
      </c>
      <c r="C3358" s="14">
        <v>2.22221485E8</v>
      </c>
      <c r="D3358" s="2" t="s">
        <v>2815</v>
      </c>
      <c r="E3358" s="1" t="s">
        <v>699</v>
      </c>
      <c r="F3358" s="14">
        <v>0.0</v>
      </c>
      <c r="G3358" s="15"/>
      <c r="H3358" s="16"/>
      <c r="I3358" s="14"/>
    </row>
    <row r="3359">
      <c r="A3359" s="14">
        <v>504.0</v>
      </c>
      <c r="B3359" s="14">
        <v>5.6178269E7</v>
      </c>
      <c r="C3359" s="14">
        <v>3.16673002E8</v>
      </c>
      <c r="D3359" s="2" t="s">
        <v>2810</v>
      </c>
      <c r="E3359" s="1" t="s">
        <v>699</v>
      </c>
      <c r="F3359" s="14">
        <v>0.0</v>
      </c>
      <c r="G3359" s="15"/>
      <c r="H3359" s="16"/>
      <c r="I3359" s="14"/>
    </row>
    <row r="3360">
      <c r="A3360" s="14">
        <v>656.0</v>
      </c>
      <c r="B3360" s="14">
        <v>5.7188516E7</v>
      </c>
      <c r="C3360" s="14">
        <v>2.27630466E8</v>
      </c>
      <c r="D3360" s="2" t="s">
        <v>403</v>
      </c>
      <c r="E3360" s="1" t="s">
        <v>699</v>
      </c>
      <c r="F3360" s="14">
        <v>0.0</v>
      </c>
      <c r="G3360" s="15"/>
      <c r="H3360" s="16"/>
      <c r="I3360" s="14"/>
    </row>
    <row r="3361">
      <c r="A3361" s="14">
        <v>602.0</v>
      </c>
      <c r="B3361" s="14">
        <v>5.7232504E7</v>
      </c>
      <c r="C3361" s="14">
        <v>2.2802128E8</v>
      </c>
      <c r="D3361" s="2" t="s">
        <v>2771</v>
      </c>
      <c r="E3361" s="1" t="s">
        <v>699</v>
      </c>
      <c r="F3361" s="14">
        <v>0.0</v>
      </c>
      <c r="G3361" s="15"/>
      <c r="H3361" s="16"/>
      <c r="I3361" s="14"/>
    </row>
    <row r="3362">
      <c r="A3362" s="14">
        <v>586.0</v>
      </c>
      <c r="B3362" s="14">
        <v>5.7256407E7</v>
      </c>
      <c r="C3362" s="14">
        <v>2.27928404E8</v>
      </c>
      <c r="D3362" s="2" t="s">
        <v>2770</v>
      </c>
      <c r="E3362" s="1" t="s">
        <v>699</v>
      </c>
      <c r="F3362" s="14">
        <v>0.0</v>
      </c>
      <c r="G3362" s="15"/>
      <c r="H3362" s="16"/>
      <c r="I3362" s="14"/>
    </row>
    <row r="3363">
      <c r="A3363" s="14">
        <v>320.0</v>
      </c>
      <c r="B3363" s="14">
        <v>5.8074715E7</v>
      </c>
      <c r="C3363" s="14">
        <v>2.31481085E8</v>
      </c>
      <c r="D3363" s="2" t="s">
        <v>2754</v>
      </c>
      <c r="E3363" s="1" t="s">
        <v>699</v>
      </c>
      <c r="F3363" s="14">
        <v>0.0</v>
      </c>
      <c r="G3363" s="15"/>
      <c r="H3363" s="16"/>
      <c r="I3363" s="14"/>
    </row>
    <row r="3364">
      <c r="A3364" s="14">
        <v>504.0</v>
      </c>
      <c r="B3364" s="14">
        <v>5.8147394E7</v>
      </c>
      <c r="C3364" s="14">
        <v>2.31882347E8</v>
      </c>
      <c r="D3364" s="2" t="s">
        <v>2749</v>
      </c>
      <c r="E3364" s="1" t="s">
        <v>699</v>
      </c>
      <c r="F3364" s="14">
        <v>0.0</v>
      </c>
      <c r="G3364" s="15"/>
      <c r="H3364" s="16"/>
      <c r="I3364" s="14"/>
    </row>
    <row r="3365">
      <c r="A3365" s="14">
        <v>455.0</v>
      </c>
      <c r="B3365" s="14">
        <v>5.8791419E7</v>
      </c>
      <c r="C3365" s="14">
        <v>2.34773374E8</v>
      </c>
      <c r="D3365" s="2" t="s">
        <v>2732</v>
      </c>
      <c r="E3365" s="1" t="s">
        <v>699</v>
      </c>
      <c r="F3365" s="14">
        <v>0.0</v>
      </c>
      <c r="G3365" s="15"/>
      <c r="H3365" s="16"/>
      <c r="I3365" s="14"/>
    </row>
    <row r="3366">
      <c r="A3366" s="14">
        <v>403.0</v>
      </c>
      <c r="B3366" s="14">
        <v>5.8816255E7</v>
      </c>
      <c r="C3366" s="14">
        <v>2.34779847E8</v>
      </c>
      <c r="D3366" s="2" t="s">
        <v>2730</v>
      </c>
      <c r="E3366" s="1" t="s">
        <v>699</v>
      </c>
      <c r="F3366" s="14">
        <v>0.0</v>
      </c>
      <c r="G3366" s="15"/>
      <c r="H3366" s="16"/>
      <c r="I3366" s="14"/>
    </row>
    <row r="3367">
      <c r="A3367" s="14">
        <v>661.0</v>
      </c>
      <c r="B3367" s="14">
        <v>5.8915134E7</v>
      </c>
      <c r="C3367" s="14">
        <v>2.35340822E8</v>
      </c>
      <c r="D3367" s="2" t="s">
        <v>2728</v>
      </c>
      <c r="E3367" s="1" t="s">
        <v>699</v>
      </c>
      <c r="F3367" s="14">
        <v>0.0</v>
      </c>
      <c r="G3367" s="15"/>
      <c r="H3367" s="16"/>
      <c r="I3367" s="14"/>
    </row>
    <row r="3368">
      <c r="A3368" s="14">
        <v>587.0</v>
      </c>
      <c r="B3368" s="14">
        <v>5.9340629E7</v>
      </c>
      <c r="C3368" s="14">
        <v>2.80359946E8</v>
      </c>
      <c r="D3368" s="2" t="s">
        <v>2715</v>
      </c>
      <c r="E3368" s="1" t="s">
        <v>699</v>
      </c>
      <c r="F3368" s="14">
        <v>0.0</v>
      </c>
      <c r="G3368" s="15"/>
      <c r="H3368" s="16"/>
      <c r="I3368" s="14"/>
    </row>
    <row r="3369">
      <c r="A3369" s="14">
        <v>525.0</v>
      </c>
      <c r="B3369" s="14">
        <v>5.9675549E7</v>
      </c>
      <c r="C3369" s="14">
        <v>2.38894913E8</v>
      </c>
      <c r="D3369" s="2" t="s">
        <v>2706</v>
      </c>
      <c r="E3369" s="1" t="s">
        <v>699</v>
      </c>
      <c r="F3369" s="14">
        <v>0.0</v>
      </c>
      <c r="G3369" s="15"/>
      <c r="H3369" s="16"/>
      <c r="I3369" s="14"/>
    </row>
    <row r="3370">
      <c r="A3370" s="14">
        <v>602.0</v>
      </c>
      <c r="B3370" s="14">
        <v>6.0220689E7</v>
      </c>
      <c r="C3370" s="14">
        <v>4.39562631E8</v>
      </c>
      <c r="D3370" s="2" t="s">
        <v>2680</v>
      </c>
      <c r="E3370" s="1" t="s">
        <v>699</v>
      </c>
      <c r="F3370" s="14">
        <v>0.0</v>
      </c>
      <c r="G3370" s="15"/>
      <c r="H3370" s="16"/>
      <c r="I3370" s="14"/>
    </row>
    <row r="3371">
      <c r="A3371" s="14">
        <v>531.0</v>
      </c>
      <c r="B3371" s="14">
        <v>6.0749342E7</v>
      </c>
      <c r="C3371" s="14">
        <v>2.44119639E8</v>
      </c>
      <c r="D3371" s="2" t="s">
        <v>2661</v>
      </c>
      <c r="E3371" s="1" t="s">
        <v>699</v>
      </c>
      <c r="F3371" s="14">
        <v>0.0</v>
      </c>
      <c r="G3371" s="15"/>
      <c r="H3371" s="16"/>
      <c r="I3371" s="14"/>
    </row>
    <row r="3372">
      <c r="A3372" s="14">
        <v>700.0</v>
      </c>
      <c r="B3372" s="14">
        <v>6.0898828E7</v>
      </c>
      <c r="C3372" s="14">
        <v>2.44792126E8</v>
      </c>
      <c r="D3372" s="2" t="s">
        <v>2652</v>
      </c>
      <c r="E3372" s="1" t="s">
        <v>699</v>
      </c>
      <c r="F3372" s="14">
        <v>0.0</v>
      </c>
      <c r="G3372" s="15"/>
      <c r="H3372" s="16"/>
      <c r="I3372" s="14"/>
    </row>
    <row r="3373">
      <c r="A3373" s="14">
        <v>504.0</v>
      </c>
      <c r="B3373" s="14">
        <v>6.1433962E7</v>
      </c>
      <c r="C3373" s="14">
        <v>2.47235204E8</v>
      </c>
      <c r="D3373" s="2" t="s">
        <v>2634</v>
      </c>
      <c r="E3373" s="1" t="s">
        <v>699</v>
      </c>
      <c r="F3373" s="14">
        <v>0.0</v>
      </c>
      <c r="G3373" s="15"/>
      <c r="H3373" s="16"/>
      <c r="I3373" s="14"/>
    </row>
    <row r="3374">
      <c r="A3374" s="14">
        <v>173.0</v>
      </c>
      <c r="B3374" s="14">
        <v>6.1810137E7</v>
      </c>
      <c r="C3374" s="14">
        <v>2.49176682E8</v>
      </c>
      <c r="D3374" s="2" t="s">
        <v>2620</v>
      </c>
      <c r="E3374" s="1" t="s">
        <v>699</v>
      </c>
      <c r="F3374" s="14">
        <v>0.0</v>
      </c>
      <c r="G3374" s="15"/>
      <c r="H3374" s="16"/>
      <c r="I3374" s="14"/>
    </row>
    <row r="3375">
      <c r="A3375" s="14">
        <v>571.0</v>
      </c>
      <c r="B3375" s="14">
        <v>6.2331718E7</v>
      </c>
      <c r="C3375" s="14">
        <v>2.5181272E8</v>
      </c>
      <c r="D3375" s="2" t="s">
        <v>2601</v>
      </c>
      <c r="E3375" s="1" t="s">
        <v>699</v>
      </c>
      <c r="F3375" s="14">
        <v>0.0</v>
      </c>
      <c r="G3375" s="15"/>
      <c r="H3375" s="16"/>
      <c r="I3375" s="14"/>
    </row>
    <row r="3376">
      <c r="A3376" s="14">
        <v>173.0</v>
      </c>
      <c r="B3376" s="14">
        <v>6.2360601E7</v>
      </c>
      <c r="C3376" s="14">
        <v>2.51963981E8</v>
      </c>
      <c r="D3376" s="2" t="s">
        <v>2599</v>
      </c>
      <c r="E3376" s="1" t="s">
        <v>699</v>
      </c>
      <c r="F3376" s="14">
        <v>0.0</v>
      </c>
      <c r="G3376" s="15"/>
      <c r="H3376" s="16"/>
      <c r="I3376" s="14"/>
    </row>
    <row r="3377">
      <c r="A3377" s="14">
        <v>244.0</v>
      </c>
      <c r="B3377" s="14">
        <v>6.2552843E7</v>
      </c>
      <c r="C3377" s="14">
        <v>2.52932789E8</v>
      </c>
      <c r="D3377" s="2" t="s">
        <v>2591</v>
      </c>
      <c r="E3377" s="1" t="s">
        <v>699</v>
      </c>
      <c r="F3377" s="14">
        <v>0.0</v>
      </c>
      <c r="G3377" s="15"/>
      <c r="H3377" s="16"/>
      <c r="I3377" s="14"/>
    </row>
    <row r="3378">
      <c r="A3378" s="14">
        <v>194.0</v>
      </c>
      <c r="B3378" s="14">
        <v>6.3135502E7</v>
      </c>
      <c r="C3378" s="14">
        <v>2.55765059E8</v>
      </c>
      <c r="D3378" s="2" t="s">
        <v>2556</v>
      </c>
      <c r="E3378" s="1" t="s">
        <v>699</v>
      </c>
      <c r="F3378" s="14">
        <v>0.0</v>
      </c>
      <c r="G3378" s="15"/>
      <c r="H3378" s="16"/>
      <c r="I3378" s="14"/>
    </row>
    <row r="3379">
      <c r="A3379" s="14">
        <v>593.0</v>
      </c>
      <c r="B3379" s="14">
        <v>6.3357451E7</v>
      </c>
      <c r="C3379" s="14">
        <v>2.56818235E8</v>
      </c>
      <c r="D3379" s="2" t="s">
        <v>2552</v>
      </c>
      <c r="E3379" s="1" t="s">
        <v>699</v>
      </c>
      <c r="F3379" s="14">
        <v>0.0</v>
      </c>
      <c r="G3379" s="15"/>
      <c r="H3379" s="16"/>
      <c r="I3379" s="14"/>
    </row>
    <row r="3380">
      <c r="A3380" s="14">
        <v>173.0</v>
      </c>
      <c r="B3380" s="14">
        <v>6.3900712E7</v>
      </c>
      <c r="C3380" s="14">
        <v>2.59430824E8</v>
      </c>
      <c r="D3380" s="2" t="s">
        <v>2536</v>
      </c>
      <c r="E3380" s="1" t="s">
        <v>699</v>
      </c>
      <c r="F3380" s="14">
        <v>0.0</v>
      </c>
      <c r="G3380" s="15"/>
      <c r="H3380" s="16"/>
      <c r="I3380" s="14"/>
    </row>
    <row r="3381">
      <c r="A3381" s="14">
        <v>674.0</v>
      </c>
      <c r="B3381" s="14">
        <v>6.4365731E7</v>
      </c>
      <c r="C3381" s="14">
        <v>4.26289994E8</v>
      </c>
      <c r="D3381" s="2" t="s">
        <v>2521</v>
      </c>
      <c r="E3381" s="1" t="s">
        <v>699</v>
      </c>
      <c r="F3381" s="14">
        <v>0.0</v>
      </c>
      <c r="G3381" s="15"/>
      <c r="H3381" s="16"/>
      <c r="I3381" s="14"/>
    </row>
    <row r="3382">
      <c r="A3382" s="14">
        <v>664.0</v>
      </c>
      <c r="B3382" s="14">
        <v>6.4437691E7</v>
      </c>
      <c r="C3382" s="14">
        <v>2.61937909E8</v>
      </c>
      <c r="D3382" s="2" t="s">
        <v>2516</v>
      </c>
      <c r="E3382" s="1" t="s">
        <v>699</v>
      </c>
      <c r="F3382" s="14">
        <v>0.0</v>
      </c>
      <c r="G3382" s="15"/>
      <c r="H3382" s="16"/>
      <c r="I3382" s="14"/>
    </row>
    <row r="3383">
      <c r="A3383" s="14">
        <v>504.0</v>
      </c>
      <c r="B3383" s="14">
        <v>6.5248361E7</v>
      </c>
      <c r="C3383" s="14">
        <v>2.65717703E8</v>
      </c>
      <c r="D3383" s="2" t="s">
        <v>2479</v>
      </c>
      <c r="E3383" s="1" t="s">
        <v>699</v>
      </c>
      <c r="F3383" s="14">
        <v>0.0</v>
      </c>
      <c r="G3383" s="15"/>
      <c r="H3383" s="16"/>
      <c r="I3383" s="14"/>
    </row>
    <row r="3384">
      <c r="A3384" s="14">
        <v>601.0</v>
      </c>
      <c r="B3384" s="14">
        <v>6.5332894E7</v>
      </c>
      <c r="C3384" s="14">
        <v>3.59550256E8</v>
      </c>
      <c r="D3384" s="2" t="s">
        <v>2475</v>
      </c>
      <c r="E3384" s="1" t="s">
        <v>699</v>
      </c>
      <c r="F3384" s="14">
        <v>0.0</v>
      </c>
      <c r="G3384" s="15"/>
      <c r="H3384" s="16"/>
      <c r="I3384" s="14"/>
    </row>
    <row r="3385">
      <c r="A3385" s="14">
        <v>406.0</v>
      </c>
      <c r="B3385" s="14">
        <v>6.5728405E7</v>
      </c>
      <c r="C3385" s="14">
        <v>2.68144143E8</v>
      </c>
      <c r="D3385" s="2" t="s">
        <v>2454</v>
      </c>
      <c r="E3385" s="1" t="s">
        <v>699</v>
      </c>
      <c r="F3385" s="14">
        <v>0.0</v>
      </c>
      <c r="G3385" s="15"/>
      <c r="H3385" s="16"/>
      <c r="I3385" s="14"/>
    </row>
    <row r="3386">
      <c r="A3386" s="14">
        <v>578.0</v>
      </c>
      <c r="B3386" s="14">
        <v>6.7495578E7</v>
      </c>
      <c r="C3386" s="14">
        <v>2.7684193E8</v>
      </c>
      <c r="D3386" s="2" t="s">
        <v>2361</v>
      </c>
      <c r="E3386" s="1" t="s">
        <v>699</v>
      </c>
      <c r="F3386" s="14">
        <v>0.0</v>
      </c>
      <c r="G3386" s="15"/>
      <c r="H3386" s="16"/>
      <c r="I3386" s="14"/>
    </row>
    <row r="3387">
      <c r="A3387" s="14">
        <v>244.0</v>
      </c>
      <c r="B3387" s="14">
        <v>6.7713427E7</v>
      </c>
      <c r="C3387" s="14">
        <v>2.78037763E8</v>
      </c>
      <c r="D3387" s="2" t="s">
        <v>2356</v>
      </c>
      <c r="E3387" s="1" t="s">
        <v>699</v>
      </c>
      <c r="F3387" s="14">
        <v>0.0</v>
      </c>
      <c r="G3387" s="15"/>
      <c r="H3387" s="16"/>
      <c r="I3387" s="14"/>
    </row>
    <row r="3388">
      <c r="A3388" s="14">
        <v>667.0</v>
      </c>
      <c r="B3388" s="14">
        <v>6.7905305E7</v>
      </c>
      <c r="C3388" s="14">
        <v>2.78684475E8</v>
      </c>
      <c r="D3388" s="2" t="s">
        <v>2348</v>
      </c>
      <c r="E3388" s="1" t="s">
        <v>699</v>
      </c>
      <c r="F3388" s="14">
        <v>0.0</v>
      </c>
      <c r="G3388" s="15"/>
      <c r="H3388" s="16"/>
      <c r="I3388" s="14"/>
    </row>
    <row r="3389">
      <c r="A3389" s="14">
        <v>716.0</v>
      </c>
      <c r="B3389" s="14">
        <v>6.7997449E7</v>
      </c>
      <c r="C3389" s="14">
        <v>2.79428716E8</v>
      </c>
      <c r="D3389" s="2" t="s">
        <v>2339</v>
      </c>
      <c r="E3389" s="1" t="s">
        <v>699</v>
      </c>
      <c r="F3389" s="14">
        <v>0.0</v>
      </c>
      <c r="G3389" s="15"/>
      <c r="H3389" s="16"/>
      <c r="I3389" s="14"/>
    </row>
    <row r="3390">
      <c r="A3390" s="14">
        <v>602.0</v>
      </c>
      <c r="B3390" s="14">
        <v>6.8159827E7</v>
      </c>
      <c r="C3390" s="14">
        <v>4.90651119E8</v>
      </c>
      <c r="D3390" s="2" t="s">
        <v>2331</v>
      </c>
      <c r="E3390" s="1" t="s">
        <v>699</v>
      </c>
      <c r="F3390" s="14">
        <v>0.0</v>
      </c>
      <c r="G3390" s="15"/>
      <c r="H3390" s="16"/>
      <c r="I3390" s="14"/>
    </row>
    <row r="3391">
      <c r="A3391" s="14">
        <v>671.0</v>
      </c>
      <c r="B3391" s="14">
        <v>6.8219816E7</v>
      </c>
      <c r="C3391" s="14">
        <v>2.80168516E8</v>
      </c>
      <c r="D3391" s="2" t="s">
        <v>2328</v>
      </c>
      <c r="E3391" s="1" t="s">
        <v>699</v>
      </c>
      <c r="F3391" s="14">
        <v>0.0</v>
      </c>
      <c r="G3391" s="15"/>
      <c r="H3391" s="16"/>
      <c r="I3391" s="14"/>
    </row>
    <row r="3392">
      <c r="A3392" s="14">
        <v>712.0</v>
      </c>
      <c r="B3392" s="14">
        <v>6.8289571E7</v>
      </c>
      <c r="C3392" s="14">
        <v>2.80518524E8</v>
      </c>
      <c r="D3392" s="2" t="s">
        <v>2324</v>
      </c>
      <c r="E3392" s="1" t="s">
        <v>699</v>
      </c>
      <c r="F3392" s="14">
        <v>0.0</v>
      </c>
      <c r="G3392" s="15"/>
      <c r="H3392" s="16"/>
      <c r="I3392" s="14"/>
    </row>
    <row r="3393">
      <c r="A3393" s="14">
        <v>129.0</v>
      </c>
      <c r="B3393" s="14">
        <v>6.8311899E7</v>
      </c>
      <c r="C3393" s="14">
        <v>2.80528822E8</v>
      </c>
      <c r="D3393" s="2" t="s">
        <v>2322</v>
      </c>
      <c r="E3393" s="1" t="s">
        <v>699</v>
      </c>
      <c r="F3393" s="14">
        <v>0.0</v>
      </c>
      <c r="G3393" s="15"/>
      <c r="H3393" s="16"/>
      <c r="I3393" s="14"/>
    </row>
    <row r="3394">
      <c r="A3394" s="14">
        <v>504.0</v>
      </c>
      <c r="B3394" s="14">
        <v>6.8485426E7</v>
      </c>
      <c r="C3394" s="14">
        <v>2.84210649E8</v>
      </c>
      <c r="D3394" s="2" t="s">
        <v>2311</v>
      </c>
      <c r="E3394" s="1" t="s">
        <v>699</v>
      </c>
      <c r="F3394" s="14">
        <v>0.0</v>
      </c>
      <c r="G3394" s="15"/>
      <c r="H3394" s="16"/>
      <c r="I3394" s="14"/>
    </row>
    <row r="3395">
      <c r="A3395" s="14">
        <v>645.0</v>
      </c>
      <c r="B3395" s="14">
        <v>6.8898924E7</v>
      </c>
      <c r="C3395" s="14">
        <v>2.83339259E8</v>
      </c>
      <c r="D3395" s="2" t="s">
        <v>2288</v>
      </c>
      <c r="E3395" s="1" t="s">
        <v>699</v>
      </c>
      <c r="F3395" s="14">
        <v>0.0</v>
      </c>
      <c r="G3395" s="15"/>
      <c r="H3395" s="16"/>
      <c r="I3395" s="14"/>
    </row>
    <row r="3396">
      <c r="A3396" s="14">
        <v>414.0</v>
      </c>
      <c r="B3396" s="14">
        <v>6.8944839E7</v>
      </c>
      <c r="C3396" s="14">
        <v>2.83497465E8</v>
      </c>
      <c r="D3396" s="2" t="s">
        <v>2285</v>
      </c>
      <c r="E3396" s="1" t="s">
        <v>699</v>
      </c>
      <c r="F3396" s="14">
        <v>0.0</v>
      </c>
      <c r="G3396" s="15"/>
      <c r="H3396" s="16"/>
      <c r="I3396" s="14"/>
    </row>
    <row r="3397">
      <c r="A3397" s="14">
        <v>656.0</v>
      </c>
      <c r="B3397" s="14">
        <v>6.9044873E7</v>
      </c>
      <c r="C3397" s="14">
        <v>4.2920204E8</v>
      </c>
      <c r="D3397" s="2" t="s">
        <v>2281</v>
      </c>
      <c r="E3397" s="1" t="s">
        <v>699</v>
      </c>
      <c r="F3397" s="14">
        <v>0.0</v>
      </c>
      <c r="G3397" s="15"/>
      <c r="H3397" s="16"/>
      <c r="I3397" s="14"/>
    </row>
    <row r="3398">
      <c r="A3398" s="14">
        <v>700.0</v>
      </c>
      <c r="B3398" s="14">
        <v>6.9062882E7</v>
      </c>
      <c r="C3398" s="14">
        <v>2.84408253E8</v>
      </c>
      <c r="D3398" s="2" t="s">
        <v>2279</v>
      </c>
      <c r="E3398" s="1" t="s">
        <v>699</v>
      </c>
      <c r="F3398" s="14">
        <v>0.0</v>
      </c>
      <c r="G3398" s="15"/>
      <c r="H3398" s="16"/>
      <c r="I3398" s="14"/>
    </row>
    <row r="3399">
      <c r="A3399" s="14">
        <v>571.0</v>
      </c>
      <c r="B3399" s="14">
        <v>6.9080941E7</v>
      </c>
      <c r="C3399" s="14">
        <v>2.84747406E8</v>
      </c>
      <c r="D3399" s="2" t="s">
        <v>2277</v>
      </c>
      <c r="E3399" s="1" t="s">
        <v>699</v>
      </c>
      <c r="F3399" s="14">
        <v>0.0</v>
      </c>
      <c r="G3399" s="15"/>
      <c r="H3399" s="16"/>
      <c r="I3399" s="14"/>
    </row>
    <row r="3400">
      <c r="A3400" s="14">
        <v>679.0</v>
      </c>
      <c r="B3400" s="14">
        <v>6.9521498E7</v>
      </c>
      <c r="C3400" s="14">
        <v>2.86242096E8</v>
      </c>
      <c r="D3400" s="2" t="s">
        <v>2252</v>
      </c>
      <c r="E3400" s="1" t="s">
        <v>699</v>
      </c>
      <c r="F3400" s="14">
        <v>0.0</v>
      </c>
      <c r="G3400" s="15"/>
      <c r="H3400" s="16"/>
      <c r="I3400" s="14"/>
    </row>
    <row r="3401">
      <c r="A3401" s="14">
        <v>571.0</v>
      </c>
      <c r="B3401" s="14">
        <v>6.9672143E7</v>
      </c>
      <c r="C3401" s="14">
        <v>2.87087605E8</v>
      </c>
      <c r="D3401" s="2" t="s">
        <v>2242</v>
      </c>
      <c r="E3401" s="1" t="s">
        <v>699</v>
      </c>
      <c r="F3401" s="14">
        <v>0.0</v>
      </c>
      <c r="G3401" s="15"/>
      <c r="H3401" s="16"/>
      <c r="I3401" s="14"/>
    </row>
    <row r="3402">
      <c r="A3402" s="14">
        <v>602.0</v>
      </c>
      <c r="B3402" s="14">
        <v>6.9694189E7</v>
      </c>
      <c r="C3402" s="14">
        <v>2.87064825E8</v>
      </c>
      <c r="D3402" s="2" t="s">
        <v>2239</v>
      </c>
      <c r="E3402" s="1" t="s">
        <v>699</v>
      </c>
      <c r="F3402" s="14">
        <v>0.0</v>
      </c>
      <c r="G3402" s="15"/>
      <c r="H3402" s="16"/>
      <c r="I3402" s="14"/>
    </row>
    <row r="3403">
      <c r="A3403" s="14">
        <v>256.0</v>
      </c>
      <c r="B3403" s="14">
        <v>6.9762989E7</v>
      </c>
      <c r="C3403" s="14">
        <v>2.87238947E8</v>
      </c>
      <c r="D3403" s="2" t="s">
        <v>2237</v>
      </c>
      <c r="E3403" s="1" t="s">
        <v>699</v>
      </c>
      <c r="F3403" s="14">
        <v>0.0</v>
      </c>
      <c r="G3403" s="15"/>
      <c r="H3403" s="16"/>
      <c r="I3403" s="14"/>
    </row>
    <row r="3404">
      <c r="A3404" s="14">
        <v>475.0</v>
      </c>
      <c r="B3404" s="14">
        <v>7.0361526E7</v>
      </c>
      <c r="C3404" s="14">
        <v>2.90144786E8</v>
      </c>
      <c r="D3404" s="2" t="s">
        <v>2206</v>
      </c>
      <c r="E3404" s="1" t="s">
        <v>699</v>
      </c>
      <c r="F3404" s="14">
        <v>0.0</v>
      </c>
      <c r="G3404" s="15"/>
      <c r="H3404" s="16"/>
      <c r="I3404" s="14"/>
    </row>
    <row r="3405">
      <c r="A3405" s="14">
        <v>587.0</v>
      </c>
      <c r="B3405" s="14">
        <v>7.0393884E7</v>
      </c>
      <c r="C3405" s="14">
        <v>2.90198549E8</v>
      </c>
      <c r="D3405" s="2" t="s">
        <v>2204</v>
      </c>
      <c r="E3405" s="1" t="s">
        <v>699</v>
      </c>
      <c r="F3405" s="14">
        <v>0.0</v>
      </c>
      <c r="G3405" s="15"/>
      <c r="H3405" s="16"/>
      <c r="I3405" s="14"/>
    </row>
    <row r="3406">
      <c r="A3406" s="14">
        <v>380.0</v>
      </c>
      <c r="B3406" s="14">
        <v>7.0403457E7</v>
      </c>
      <c r="C3406" s="14">
        <v>2.901384E8</v>
      </c>
      <c r="D3406" s="2" t="s">
        <v>2195</v>
      </c>
      <c r="E3406" s="1" t="s">
        <v>699</v>
      </c>
      <c r="F3406" s="14">
        <v>0.0</v>
      </c>
      <c r="G3406" s="15"/>
      <c r="H3406" s="16"/>
      <c r="I3406" s="14"/>
    </row>
    <row r="3407">
      <c r="A3407" s="14">
        <v>179.0</v>
      </c>
      <c r="B3407" s="14">
        <v>7.0763434E7</v>
      </c>
      <c r="C3407" s="14">
        <v>2.92106449E8</v>
      </c>
      <c r="D3407" s="2" t="s">
        <v>2180</v>
      </c>
      <c r="E3407" s="1" t="s">
        <v>699</v>
      </c>
      <c r="F3407" s="14">
        <v>0.0</v>
      </c>
      <c r="G3407" s="15"/>
      <c r="H3407" s="16"/>
      <c r="I3407" s="14"/>
    </row>
    <row r="3408">
      <c r="A3408" s="14">
        <v>355.0</v>
      </c>
      <c r="B3408" s="14">
        <v>7.0807762E7</v>
      </c>
      <c r="C3408" s="14">
        <v>2.92361415E8</v>
      </c>
      <c r="D3408" s="2" t="s">
        <v>2178</v>
      </c>
      <c r="E3408" s="1" t="s">
        <v>699</v>
      </c>
      <c r="F3408" s="14">
        <v>0.0</v>
      </c>
      <c r="G3408" s="15"/>
      <c r="H3408" s="16"/>
      <c r="I3408" s="14"/>
    </row>
    <row r="3409">
      <c r="A3409" s="14">
        <v>353.0</v>
      </c>
      <c r="B3409" s="14">
        <v>7.1784332E7</v>
      </c>
      <c r="C3409" s="14">
        <v>3.06887535E8</v>
      </c>
      <c r="D3409" s="2" t="s">
        <v>2138</v>
      </c>
      <c r="E3409" s="1" t="s">
        <v>699</v>
      </c>
      <c r="F3409" s="14">
        <v>0.0</v>
      </c>
      <c r="G3409" s="15"/>
      <c r="H3409" s="16"/>
      <c r="I3409" s="14"/>
    </row>
    <row r="3410">
      <c r="A3410" s="14">
        <v>475.0</v>
      </c>
      <c r="B3410" s="14">
        <v>7.1888756E7</v>
      </c>
      <c r="C3410" s="14">
        <v>2.97130937E8</v>
      </c>
      <c r="D3410" s="2" t="s">
        <v>2132</v>
      </c>
      <c r="E3410" s="1" t="s">
        <v>699</v>
      </c>
      <c r="F3410" s="14">
        <v>0.0</v>
      </c>
      <c r="G3410" s="15"/>
      <c r="H3410" s="16"/>
      <c r="I3410" s="14"/>
    </row>
    <row r="3411">
      <c r="A3411" s="14">
        <v>565.0</v>
      </c>
      <c r="B3411" s="14">
        <v>7.1996897E7</v>
      </c>
      <c r="C3411" s="14">
        <v>3.86368239E8</v>
      </c>
      <c r="D3411" s="28"/>
      <c r="E3411" s="1" t="s">
        <v>699</v>
      </c>
      <c r="F3411" s="14">
        <v>0.0</v>
      </c>
      <c r="G3411" s="15"/>
      <c r="H3411" s="16"/>
      <c r="I3411" s="14"/>
    </row>
    <row r="3412">
      <c r="A3412" s="14">
        <v>173.0</v>
      </c>
      <c r="B3412" s="14">
        <v>7.2167661E7</v>
      </c>
      <c r="C3412" s="14">
        <v>2.98175547E8</v>
      </c>
      <c r="D3412" s="2" t="s">
        <v>2123</v>
      </c>
      <c r="E3412" s="1" t="s">
        <v>699</v>
      </c>
      <c r="F3412" s="14">
        <v>0.0</v>
      </c>
      <c r="G3412" s="15"/>
      <c r="H3412" s="16"/>
      <c r="I3412" s="14"/>
    </row>
    <row r="3413">
      <c r="A3413" s="14">
        <v>504.0</v>
      </c>
      <c r="B3413" s="14">
        <v>7.2484534E7</v>
      </c>
      <c r="C3413" s="14">
        <v>2.99667397E8</v>
      </c>
      <c r="D3413" s="2" t="s">
        <v>2113</v>
      </c>
      <c r="E3413" s="1" t="s">
        <v>699</v>
      </c>
      <c r="F3413" s="14">
        <v>0.0</v>
      </c>
      <c r="G3413" s="15"/>
      <c r="H3413" s="16"/>
      <c r="I3413" s="14"/>
    </row>
    <row r="3414">
      <c r="A3414" s="14">
        <v>484.0</v>
      </c>
      <c r="B3414" s="14">
        <v>7.3136135E7</v>
      </c>
      <c r="C3414" s="14">
        <v>3.02644813E8</v>
      </c>
      <c r="D3414" s="2" t="s">
        <v>2083</v>
      </c>
      <c r="E3414" s="1" t="s">
        <v>699</v>
      </c>
      <c r="F3414" s="14">
        <v>0.0</v>
      </c>
      <c r="G3414" s="15"/>
      <c r="H3414" s="16"/>
      <c r="I3414" s="14"/>
    </row>
    <row r="3415">
      <c r="A3415" s="14">
        <v>484.0</v>
      </c>
      <c r="B3415" s="14">
        <v>7.3549644E7</v>
      </c>
      <c r="C3415" s="14">
        <v>3.0479222E8</v>
      </c>
      <c r="D3415" s="2" t="s">
        <v>2074</v>
      </c>
      <c r="E3415" s="1" t="s">
        <v>699</v>
      </c>
      <c r="F3415" s="14">
        <v>0.0</v>
      </c>
      <c r="G3415" s="15"/>
      <c r="H3415" s="16"/>
      <c r="I3415" s="14"/>
    </row>
    <row r="3416">
      <c r="A3416" s="14">
        <v>355.0</v>
      </c>
      <c r="B3416" s="14">
        <v>7.4273463E7</v>
      </c>
      <c r="C3416" s="14">
        <v>3.08227963E8</v>
      </c>
      <c r="D3416" s="2" t="s">
        <v>2053</v>
      </c>
      <c r="E3416" s="1" t="s">
        <v>699</v>
      </c>
      <c r="F3416" s="14">
        <v>0.0</v>
      </c>
      <c r="G3416" s="15"/>
      <c r="H3416" s="16"/>
      <c r="I3416" s="14"/>
    </row>
    <row r="3417">
      <c r="A3417" s="14">
        <v>578.0</v>
      </c>
      <c r="B3417" s="14">
        <v>7.4409622E7</v>
      </c>
      <c r="C3417" s="14">
        <v>3.08443558E8</v>
      </c>
      <c r="D3417" s="2" t="s">
        <v>2052</v>
      </c>
      <c r="E3417" s="1" t="s">
        <v>699</v>
      </c>
      <c r="F3417" s="14">
        <v>0.0</v>
      </c>
      <c r="G3417" s="15"/>
      <c r="H3417" s="16"/>
      <c r="I3417" s="14"/>
    </row>
    <row r="3418">
      <c r="A3418" s="14">
        <v>719.0</v>
      </c>
      <c r="B3418" s="14">
        <v>7.4870135E7</v>
      </c>
      <c r="C3418" s="14">
        <v>3.10205083E8</v>
      </c>
      <c r="D3418" s="2" t="s">
        <v>2034</v>
      </c>
      <c r="E3418" s="1" t="s">
        <v>699</v>
      </c>
      <c r="F3418" s="14">
        <v>0.0</v>
      </c>
      <c r="G3418" s="15"/>
      <c r="H3418" s="16"/>
      <c r="I3418" s="14"/>
    </row>
    <row r="3419">
      <c r="A3419" s="14">
        <v>484.0</v>
      </c>
      <c r="B3419" s="14">
        <v>7.5258387E7</v>
      </c>
      <c r="C3419" s="14">
        <v>3.11911705E8</v>
      </c>
      <c r="D3419" s="2" t="s">
        <v>2017</v>
      </c>
      <c r="E3419" s="1" t="s">
        <v>699</v>
      </c>
      <c r="F3419" s="14">
        <v>0.0</v>
      </c>
      <c r="G3419" s="15"/>
      <c r="H3419" s="16"/>
      <c r="I3419" s="14"/>
    </row>
    <row r="3420">
      <c r="A3420" s="14">
        <v>602.0</v>
      </c>
      <c r="B3420" s="14">
        <v>7.5276793E7</v>
      </c>
      <c r="C3420" s="14">
        <v>3.12095795E8</v>
      </c>
      <c r="D3420" s="2" t="s">
        <v>2014</v>
      </c>
      <c r="E3420" s="1" t="s">
        <v>699</v>
      </c>
      <c r="F3420" s="14">
        <v>0.0</v>
      </c>
      <c r="G3420" s="15"/>
      <c r="H3420" s="16"/>
      <c r="I3420" s="14"/>
    </row>
    <row r="3421">
      <c r="A3421" s="14">
        <v>716.0</v>
      </c>
      <c r="B3421" s="14">
        <v>7.5311896E7</v>
      </c>
      <c r="C3421" s="14">
        <v>3.12286061E8</v>
      </c>
      <c r="D3421" s="2" t="s">
        <v>2011</v>
      </c>
      <c r="E3421" s="1" t="s">
        <v>699</v>
      </c>
      <c r="F3421" s="14">
        <v>0.0</v>
      </c>
      <c r="G3421" s="15"/>
      <c r="H3421" s="16"/>
      <c r="I3421" s="14"/>
    </row>
    <row r="3422">
      <c r="A3422" s="14">
        <v>210.0</v>
      </c>
      <c r="B3422" s="14">
        <v>7.5318622E7</v>
      </c>
      <c r="C3422" s="14">
        <v>3.1234154E8</v>
      </c>
      <c r="D3422" s="2" t="s">
        <v>1577</v>
      </c>
      <c r="E3422" s="1" t="s">
        <v>699</v>
      </c>
      <c r="F3422" s="14">
        <v>0.0</v>
      </c>
      <c r="G3422" s="15"/>
      <c r="H3422" s="16"/>
      <c r="I3422" s="14"/>
    </row>
    <row r="3423">
      <c r="A3423" s="14">
        <v>677.0</v>
      </c>
      <c r="B3423" s="14">
        <v>7.5472072E7</v>
      </c>
      <c r="C3423" s="14">
        <v>3.12974714E8</v>
      </c>
      <c r="D3423" s="2" t="s">
        <v>1996</v>
      </c>
      <c r="E3423" s="1" t="s">
        <v>699</v>
      </c>
      <c r="F3423" s="14">
        <v>0.0</v>
      </c>
      <c r="G3423" s="15"/>
      <c r="H3423" s="16"/>
      <c r="I3423" s="14"/>
    </row>
    <row r="3424">
      <c r="A3424" s="14">
        <v>713.0</v>
      </c>
      <c r="B3424" s="14">
        <v>7.6126183E7</v>
      </c>
      <c r="C3424" s="14">
        <v>3.15987165E8</v>
      </c>
      <c r="D3424" s="2" t="s">
        <v>1962</v>
      </c>
      <c r="E3424" s="1" t="s">
        <v>699</v>
      </c>
      <c r="F3424" s="14">
        <v>0.0</v>
      </c>
      <c r="G3424" s="15"/>
      <c r="H3424" s="16"/>
      <c r="I3424" s="14"/>
    </row>
    <row r="3425">
      <c r="A3425" s="14">
        <v>713.0</v>
      </c>
      <c r="B3425" s="14">
        <v>7.6374714E7</v>
      </c>
      <c r="C3425" s="14">
        <v>3.17482016E8</v>
      </c>
      <c r="D3425" s="2" t="s">
        <v>1951</v>
      </c>
      <c r="E3425" s="1" t="s">
        <v>699</v>
      </c>
      <c r="F3425" s="14">
        <v>0.0</v>
      </c>
      <c r="G3425" s="15"/>
      <c r="H3425" s="16"/>
      <c r="I3425" s="14"/>
    </row>
    <row r="3426">
      <c r="A3426" s="14">
        <v>525.0</v>
      </c>
      <c r="B3426" s="14">
        <v>7.6513213E7</v>
      </c>
      <c r="C3426" s="14">
        <v>3.17684135E8</v>
      </c>
      <c r="D3426" s="2" t="s">
        <v>1945</v>
      </c>
      <c r="E3426" s="1" t="s">
        <v>699</v>
      </c>
      <c r="F3426" s="14">
        <v>0.0</v>
      </c>
      <c r="G3426" s="15"/>
      <c r="H3426" s="16"/>
      <c r="I3426" s="14"/>
    </row>
    <row r="3427">
      <c r="A3427" s="14">
        <v>665.0</v>
      </c>
      <c r="B3427" s="14">
        <v>7.667643E7</v>
      </c>
      <c r="C3427" s="14">
        <v>3.1851483E8</v>
      </c>
      <c r="D3427" s="2" t="s">
        <v>1936</v>
      </c>
      <c r="E3427" s="1" t="s">
        <v>699</v>
      </c>
      <c r="F3427" s="14">
        <v>0.0</v>
      </c>
      <c r="G3427" s="15"/>
      <c r="H3427" s="16"/>
      <c r="I3427" s="14"/>
    </row>
    <row r="3428">
      <c r="A3428" s="14">
        <v>571.0</v>
      </c>
      <c r="B3428" s="14">
        <v>7.6904878E7</v>
      </c>
      <c r="C3428" s="14">
        <v>3.19457123E8</v>
      </c>
      <c r="D3428" s="2" t="s">
        <v>1925</v>
      </c>
      <c r="E3428" s="1" t="s">
        <v>699</v>
      </c>
      <c r="F3428" s="14">
        <v>0.0</v>
      </c>
      <c r="G3428" s="15"/>
      <c r="H3428" s="16"/>
      <c r="I3428" s="14"/>
    </row>
    <row r="3429">
      <c r="A3429" s="14">
        <v>571.0</v>
      </c>
      <c r="B3429" s="14">
        <v>7.7009507E7</v>
      </c>
      <c r="C3429" s="14">
        <v>3.2016829E8</v>
      </c>
      <c r="D3429" s="2" t="s">
        <v>1916</v>
      </c>
      <c r="E3429" s="1" t="s">
        <v>699</v>
      </c>
      <c r="F3429" s="14">
        <v>0.0</v>
      </c>
      <c r="G3429" s="15"/>
      <c r="H3429" s="16"/>
      <c r="I3429" s="14"/>
    </row>
    <row r="3430">
      <c r="A3430" s="14">
        <v>664.0</v>
      </c>
      <c r="B3430" s="14">
        <v>7.7448585E7</v>
      </c>
      <c r="C3430" s="14">
        <v>3.21986422E8</v>
      </c>
      <c r="D3430" s="2" t="s">
        <v>1898</v>
      </c>
      <c r="E3430" s="1" t="s">
        <v>699</v>
      </c>
      <c r="F3430" s="14">
        <v>0.0</v>
      </c>
      <c r="G3430" s="15"/>
      <c r="H3430" s="16"/>
      <c r="I3430" s="14"/>
    </row>
    <row r="3431">
      <c r="A3431" s="14">
        <v>716.0</v>
      </c>
      <c r="B3431" s="14">
        <v>7.7652842E7</v>
      </c>
      <c r="C3431" s="14">
        <v>3.23233262E8</v>
      </c>
      <c r="D3431" s="2" t="s">
        <v>1886</v>
      </c>
      <c r="E3431" s="1" t="s">
        <v>699</v>
      </c>
      <c r="F3431" s="14">
        <v>0.0</v>
      </c>
      <c r="G3431" s="15"/>
      <c r="H3431" s="16"/>
      <c r="I3431" s="14"/>
    </row>
    <row r="3432">
      <c r="A3432" s="14">
        <v>656.0</v>
      </c>
      <c r="B3432" s="14">
        <v>7.7782391E7</v>
      </c>
      <c r="C3432" s="14">
        <v>4.26603936E8</v>
      </c>
      <c r="D3432" s="2" t="s">
        <v>1879</v>
      </c>
      <c r="E3432" s="1" t="s">
        <v>699</v>
      </c>
      <c r="F3432" s="14">
        <v>0.0</v>
      </c>
      <c r="G3432" s="15"/>
      <c r="H3432" s="16"/>
      <c r="I3432" s="14"/>
    </row>
    <row r="3433">
      <c r="A3433" s="14">
        <v>461.0</v>
      </c>
      <c r="B3433" s="14">
        <v>7.816454E7</v>
      </c>
      <c r="C3433" s="14">
        <v>3.25716746E8</v>
      </c>
      <c r="D3433" s="2" t="s">
        <v>1845</v>
      </c>
      <c r="E3433" s="1" t="s">
        <v>699</v>
      </c>
      <c r="F3433" s="14">
        <v>0.0</v>
      </c>
      <c r="G3433" s="15"/>
      <c r="H3433" s="16"/>
      <c r="I3433" s="14"/>
    </row>
    <row r="3434">
      <c r="A3434" s="14">
        <v>578.0</v>
      </c>
      <c r="B3434" s="14">
        <v>7.8182533E7</v>
      </c>
      <c r="C3434" s="14">
        <v>3.25982104E8</v>
      </c>
      <c r="D3434" s="2" t="s">
        <v>1843</v>
      </c>
      <c r="E3434" s="1" t="s">
        <v>699</v>
      </c>
      <c r="F3434" s="14">
        <v>0.0</v>
      </c>
      <c r="G3434" s="15"/>
      <c r="H3434" s="16"/>
      <c r="I3434" s="14"/>
    </row>
    <row r="3435">
      <c r="A3435" s="14">
        <v>696.0</v>
      </c>
      <c r="B3435" s="14">
        <v>7.8392335E7</v>
      </c>
      <c r="C3435" s="14">
        <v>3.28942888E8</v>
      </c>
      <c r="D3435" s="2" t="s">
        <v>1829</v>
      </c>
      <c r="E3435" s="1" t="s">
        <v>699</v>
      </c>
      <c r="F3435" s="14">
        <v>0.0</v>
      </c>
      <c r="G3435" s="15"/>
      <c r="H3435" s="16"/>
      <c r="I3435" s="14"/>
    </row>
    <row r="3436">
      <c r="A3436" s="14">
        <v>715.0</v>
      </c>
      <c r="B3436" s="14">
        <v>7.8884808E7</v>
      </c>
      <c r="C3436" s="14">
        <v>3.28873814E8</v>
      </c>
      <c r="D3436" s="27">
        <v>10.0</v>
      </c>
      <c r="E3436" s="1" t="s">
        <v>699</v>
      </c>
      <c r="F3436" s="14">
        <v>0.0</v>
      </c>
      <c r="G3436" s="15"/>
      <c r="H3436" s="16"/>
      <c r="I3436" s="14"/>
    </row>
    <row r="3437">
      <c r="A3437" s="14">
        <v>671.0</v>
      </c>
      <c r="B3437" s="14">
        <v>7.8918383E7</v>
      </c>
      <c r="C3437" s="14">
        <v>3.28995929E8</v>
      </c>
      <c r="D3437" s="2" t="s">
        <v>1804</v>
      </c>
      <c r="E3437" s="1" t="s">
        <v>699</v>
      </c>
      <c r="F3437" s="14">
        <v>0.0</v>
      </c>
      <c r="G3437" s="15"/>
      <c r="H3437" s="16"/>
      <c r="I3437" s="14"/>
    </row>
    <row r="3438">
      <c r="A3438" s="14">
        <v>664.0</v>
      </c>
      <c r="B3438" s="14">
        <v>7.9065255E7</v>
      </c>
      <c r="C3438" s="14">
        <v>3.29860569E8</v>
      </c>
      <c r="D3438" s="2" t="s">
        <v>1797</v>
      </c>
      <c r="E3438" s="1" t="s">
        <v>699</v>
      </c>
      <c r="F3438" s="14">
        <v>0.0</v>
      </c>
      <c r="G3438" s="15"/>
      <c r="H3438" s="16"/>
      <c r="I3438" s="14"/>
    </row>
    <row r="3439">
      <c r="A3439" s="14">
        <v>617.0</v>
      </c>
      <c r="B3439" s="14">
        <v>7.9079983E7</v>
      </c>
      <c r="C3439" s="14">
        <v>3.29794528E8</v>
      </c>
      <c r="D3439" s="2" t="s">
        <v>1794</v>
      </c>
      <c r="E3439" s="1" t="s">
        <v>699</v>
      </c>
      <c r="F3439" s="14">
        <v>0.0</v>
      </c>
      <c r="G3439" s="15"/>
      <c r="H3439" s="16"/>
      <c r="I3439" s="14"/>
    </row>
    <row r="3440">
      <c r="A3440" s="14">
        <v>602.0</v>
      </c>
      <c r="B3440" s="14">
        <v>7.9169284E7</v>
      </c>
      <c r="C3440" s="14">
        <v>3.3013633E8</v>
      </c>
      <c r="D3440" s="2" t="s">
        <v>1789</v>
      </c>
      <c r="E3440" s="1" t="s">
        <v>699</v>
      </c>
      <c r="F3440" s="14">
        <v>0.0</v>
      </c>
      <c r="G3440" s="15"/>
      <c r="H3440" s="16"/>
      <c r="I3440" s="14"/>
    </row>
    <row r="3441">
      <c r="A3441" s="14">
        <v>394.0</v>
      </c>
      <c r="B3441" s="14">
        <v>7.9364754E7</v>
      </c>
      <c r="C3441" s="14">
        <v>3.31049294E8</v>
      </c>
      <c r="D3441" s="2" t="s">
        <v>1778</v>
      </c>
      <c r="E3441" s="1" t="s">
        <v>699</v>
      </c>
      <c r="F3441" s="14">
        <v>0.0</v>
      </c>
      <c r="G3441" s="15"/>
      <c r="H3441" s="16"/>
      <c r="I3441" s="14"/>
    </row>
    <row r="3442">
      <c r="A3442" s="14">
        <v>462.0</v>
      </c>
      <c r="B3442" s="14">
        <v>7.9431736E7</v>
      </c>
      <c r="C3442" s="14">
        <v>3.31481656E8</v>
      </c>
      <c r="D3442" s="2" t="s">
        <v>1771</v>
      </c>
      <c r="E3442" s="1" t="s">
        <v>699</v>
      </c>
      <c r="F3442" s="14">
        <v>0.0</v>
      </c>
      <c r="G3442" s="15"/>
      <c r="H3442" s="16"/>
      <c r="I3442" s="14"/>
    </row>
    <row r="3443">
      <c r="A3443" s="14">
        <v>210.0</v>
      </c>
      <c r="B3443" s="14">
        <v>7.9485328E7</v>
      </c>
      <c r="C3443" s="14">
        <v>4.47415222E8</v>
      </c>
      <c r="D3443" s="2" t="s">
        <v>1766</v>
      </c>
      <c r="E3443" s="1" t="s">
        <v>699</v>
      </c>
      <c r="F3443" s="14">
        <v>0.0</v>
      </c>
      <c r="G3443" s="15"/>
      <c r="H3443" s="16"/>
      <c r="I3443" s="14"/>
    </row>
    <row r="3444">
      <c r="A3444" s="14">
        <v>504.0</v>
      </c>
      <c r="B3444" s="14">
        <v>7.9861133E7</v>
      </c>
      <c r="C3444" s="14">
        <v>3.33550898E8</v>
      </c>
      <c r="D3444" s="2" t="s">
        <v>1744</v>
      </c>
      <c r="E3444" s="1" t="s">
        <v>699</v>
      </c>
      <c r="F3444" s="14">
        <v>0.0</v>
      </c>
      <c r="G3444" s="15"/>
      <c r="H3444" s="16"/>
      <c r="I3444" s="14"/>
    </row>
    <row r="3445">
      <c r="A3445" s="14">
        <v>531.0</v>
      </c>
      <c r="B3445" s="14">
        <v>8.0217482E7</v>
      </c>
      <c r="C3445" s="14">
        <v>3.35239941E8</v>
      </c>
      <c r="D3445" s="2" t="s">
        <v>1733</v>
      </c>
      <c r="E3445" s="1" t="s">
        <v>699</v>
      </c>
      <c r="F3445" s="14">
        <v>0.0</v>
      </c>
      <c r="G3445" s="15"/>
      <c r="H3445" s="16"/>
      <c r="I3445" s="14"/>
    </row>
    <row r="3446">
      <c r="A3446" s="14">
        <v>531.0</v>
      </c>
      <c r="B3446" s="14">
        <v>8.0439774E7</v>
      </c>
      <c r="C3446" s="14">
        <v>3.36512039E8</v>
      </c>
      <c r="D3446" s="2" t="s">
        <v>1723</v>
      </c>
      <c r="E3446" s="1" t="s">
        <v>699</v>
      </c>
      <c r="F3446" s="14">
        <v>0.0</v>
      </c>
      <c r="G3446" s="15"/>
      <c r="H3446" s="16"/>
      <c r="I3446" s="14"/>
    </row>
    <row r="3447">
      <c r="A3447" s="14">
        <v>215.0</v>
      </c>
      <c r="B3447" s="14">
        <v>8.0457703E7</v>
      </c>
      <c r="C3447" s="14">
        <v>3.36873665E8</v>
      </c>
      <c r="D3447" s="2" t="s">
        <v>1721</v>
      </c>
      <c r="E3447" s="1" t="s">
        <v>699</v>
      </c>
      <c r="F3447" s="14">
        <v>0.0</v>
      </c>
      <c r="G3447" s="15"/>
      <c r="H3447" s="16"/>
      <c r="I3447" s="14"/>
    </row>
    <row r="3448">
      <c r="A3448" s="14">
        <v>498.0</v>
      </c>
      <c r="B3448" s="14">
        <v>8.0987234E7</v>
      </c>
      <c r="C3448" s="14">
        <v>3.39303514E8</v>
      </c>
      <c r="D3448" s="2" t="s">
        <v>1695</v>
      </c>
      <c r="E3448" s="1" t="s">
        <v>699</v>
      </c>
      <c r="F3448" s="14">
        <v>0.0</v>
      </c>
      <c r="G3448" s="15"/>
      <c r="H3448" s="16"/>
      <c r="I3448" s="14"/>
    </row>
    <row r="3449">
      <c r="A3449" s="14">
        <v>492.0</v>
      </c>
      <c r="B3449" s="14">
        <v>8.1371738E7</v>
      </c>
      <c r="C3449" s="14">
        <v>3.4054929E8</v>
      </c>
      <c r="D3449" s="2" t="s">
        <v>1679</v>
      </c>
      <c r="E3449" s="1" t="s">
        <v>699</v>
      </c>
      <c r="F3449" s="14">
        <v>0.0</v>
      </c>
      <c r="G3449" s="15"/>
      <c r="H3449" s="16"/>
      <c r="I3449" s="14"/>
    </row>
    <row r="3450">
      <c r="A3450" s="14">
        <v>129.0</v>
      </c>
      <c r="B3450" s="14">
        <v>8.1640798E7</v>
      </c>
      <c r="C3450" s="14">
        <v>3.41873926E8</v>
      </c>
      <c r="D3450" s="2" t="s">
        <v>1663</v>
      </c>
      <c r="E3450" s="1" t="s">
        <v>699</v>
      </c>
      <c r="F3450" s="14">
        <v>0.0</v>
      </c>
      <c r="G3450" s="15"/>
      <c r="H3450" s="16"/>
      <c r="I3450" s="14"/>
    </row>
    <row r="3451">
      <c r="A3451" s="14">
        <v>713.0</v>
      </c>
      <c r="B3451" s="14">
        <v>8.1858667E7</v>
      </c>
      <c r="C3451" s="14">
        <v>3.42908526E8</v>
      </c>
      <c r="D3451" s="2" t="s">
        <v>1647</v>
      </c>
      <c r="E3451" s="1" t="s">
        <v>699</v>
      </c>
      <c r="F3451" s="14">
        <v>0.0</v>
      </c>
      <c r="G3451" s="15"/>
      <c r="H3451" s="16"/>
      <c r="I3451" s="14"/>
    </row>
    <row r="3452">
      <c r="A3452" s="14">
        <v>120.0</v>
      </c>
      <c r="B3452" s="14">
        <v>8.19279E7</v>
      </c>
      <c r="C3452" s="14">
        <v>3.43151049E8</v>
      </c>
      <c r="D3452" s="2" t="s">
        <v>1638</v>
      </c>
      <c r="E3452" s="1" t="s">
        <v>699</v>
      </c>
      <c r="F3452" s="14">
        <v>0.0</v>
      </c>
      <c r="G3452" s="15"/>
      <c r="H3452" s="16"/>
      <c r="I3452" s="14"/>
    </row>
    <row r="3453">
      <c r="A3453" s="14">
        <v>504.0</v>
      </c>
      <c r="B3453" s="14">
        <v>8.1980608E7</v>
      </c>
      <c r="C3453" s="14">
        <v>3.44163522E8</v>
      </c>
      <c r="D3453" s="2" t="s">
        <v>1637</v>
      </c>
      <c r="E3453" s="1" t="s">
        <v>699</v>
      </c>
      <c r="F3453" s="14">
        <v>0.0</v>
      </c>
      <c r="G3453" s="15"/>
      <c r="H3453" s="16"/>
      <c r="I3453" s="14"/>
    </row>
    <row r="3454">
      <c r="A3454" s="14">
        <v>210.0</v>
      </c>
      <c r="B3454" s="14">
        <v>8.2029887E7</v>
      </c>
      <c r="C3454" s="14">
        <v>3.437268E8</v>
      </c>
      <c r="D3454" s="2" t="s">
        <v>1630</v>
      </c>
      <c r="E3454" s="1" t="s">
        <v>699</v>
      </c>
      <c r="F3454" s="14">
        <v>0.0</v>
      </c>
      <c r="G3454" s="15"/>
      <c r="H3454" s="16"/>
      <c r="I3454" s="14"/>
    </row>
    <row r="3455">
      <c r="A3455" s="14">
        <v>458.0</v>
      </c>
      <c r="B3455" s="14">
        <v>8.2122116E7</v>
      </c>
      <c r="C3455" s="14">
        <v>3.44240388E8</v>
      </c>
      <c r="D3455" s="2" t="s">
        <v>1621</v>
      </c>
      <c r="E3455" s="1" t="s">
        <v>699</v>
      </c>
      <c r="F3455" s="14">
        <v>0.0</v>
      </c>
      <c r="G3455" s="15"/>
      <c r="H3455" s="16"/>
      <c r="I3455" s="14"/>
    </row>
    <row r="3456">
      <c r="A3456" s="14">
        <v>601.0</v>
      </c>
      <c r="B3456" s="14">
        <v>8.2196229E7</v>
      </c>
      <c r="C3456" s="14">
        <v>3.44517513E8</v>
      </c>
      <c r="D3456" s="2" t="s">
        <v>1619</v>
      </c>
      <c r="E3456" s="1" t="s">
        <v>699</v>
      </c>
      <c r="F3456" s="14">
        <v>0.0</v>
      </c>
      <c r="G3456" s="15"/>
      <c r="H3456" s="16"/>
      <c r="I3456" s="14"/>
    </row>
    <row r="3457">
      <c r="A3457" s="14">
        <v>484.0</v>
      </c>
      <c r="B3457" s="14">
        <v>8.2385503E7</v>
      </c>
      <c r="C3457" s="14">
        <v>3.45547376E8</v>
      </c>
      <c r="D3457" s="2" t="s">
        <v>1607</v>
      </c>
      <c r="E3457" s="1" t="s">
        <v>699</v>
      </c>
      <c r="F3457" s="14">
        <v>0.0</v>
      </c>
      <c r="G3457" s="15"/>
      <c r="H3457" s="16"/>
      <c r="I3457" s="14"/>
    </row>
    <row r="3458">
      <c r="A3458" s="14">
        <v>593.0</v>
      </c>
      <c r="B3458" s="14">
        <v>8.2485233E7</v>
      </c>
      <c r="C3458" s="14">
        <v>3.45810419E8</v>
      </c>
      <c r="D3458" s="2" t="s">
        <v>1599</v>
      </c>
      <c r="E3458" s="1" t="s">
        <v>699</v>
      </c>
      <c r="F3458" s="14">
        <v>0.0</v>
      </c>
      <c r="G3458" s="15"/>
      <c r="H3458" s="16"/>
      <c r="I3458" s="14"/>
    </row>
    <row r="3459">
      <c r="A3459" s="14">
        <v>569.0</v>
      </c>
      <c r="B3459" s="14">
        <v>8.2515962E7</v>
      </c>
      <c r="C3459" s="14">
        <v>3.45899782E8</v>
      </c>
      <c r="D3459" s="2" t="s">
        <v>1597</v>
      </c>
      <c r="E3459" s="1" t="s">
        <v>699</v>
      </c>
      <c r="F3459" s="14">
        <v>0.0</v>
      </c>
      <c r="G3459" s="15"/>
      <c r="H3459" s="16"/>
      <c r="I3459" s="14"/>
    </row>
    <row r="3460">
      <c r="A3460" s="14">
        <v>173.0</v>
      </c>
      <c r="B3460" s="14">
        <v>8.2618061E7</v>
      </c>
      <c r="C3460" s="14">
        <v>3.4652123E8</v>
      </c>
      <c r="D3460" s="2" t="s">
        <v>1589</v>
      </c>
      <c r="E3460" s="1" t="s">
        <v>699</v>
      </c>
      <c r="F3460" s="14">
        <v>0.0</v>
      </c>
      <c r="G3460" s="15"/>
      <c r="H3460" s="16"/>
      <c r="I3460" s="14"/>
    </row>
    <row r="3461">
      <c r="A3461" s="14">
        <v>319.0</v>
      </c>
      <c r="B3461" s="14">
        <v>8.2799761E7</v>
      </c>
      <c r="C3461" s="14">
        <v>3.47544129E8</v>
      </c>
      <c r="D3461" s="2" t="s">
        <v>1580</v>
      </c>
      <c r="E3461" s="1" t="s">
        <v>699</v>
      </c>
      <c r="F3461" s="14">
        <v>0.0</v>
      </c>
      <c r="G3461" s="15"/>
      <c r="H3461" s="16"/>
      <c r="I3461" s="14"/>
    </row>
    <row r="3462">
      <c r="A3462" s="14">
        <v>173.0</v>
      </c>
      <c r="B3462" s="14">
        <v>8.2856474E7</v>
      </c>
      <c r="C3462" s="14">
        <v>3.47815682E8</v>
      </c>
      <c r="D3462" s="2" t="s">
        <v>1577</v>
      </c>
      <c r="E3462" s="1" t="s">
        <v>699</v>
      </c>
      <c r="F3462" s="14">
        <v>0.0</v>
      </c>
      <c r="G3462" s="15"/>
      <c r="H3462" s="16"/>
      <c r="I3462" s="14"/>
    </row>
    <row r="3463">
      <c r="A3463" s="14">
        <v>380.0</v>
      </c>
      <c r="B3463" s="14">
        <v>8.2913106E7</v>
      </c>
      <c r="C3463" s="14">
        <v>3.48403143E8</v>
      </c>
      <c r="D3463" s="2" t="s">
        <v>1576</v>
      </c>
      <c r="E3463" s="1" t="s">
        <v>699</v>
      </c>
      <c r="F3463" s="14">
        <v>0.0</v>
      </c>
      <c r="G3463" s="15"/>
      <c r="H3463" s="16"/>
      <c r="I3463" s="14"/>
    </row>
    <row r="3464">
      <c r="A3464" s="14">
        <v>355.0</v>
      </c>
      <c r="B3464" s="14">
        <v>8.3065699E7</v>
      </c>
      <c r="C3464" s="14">
        <v>3.48748163E8</v>
      </c>
      <c r="D3464" s="2" t="s">
        <v>1562</v>
      </c>
      <c r="E3464" s="1" t="s">
        <v>699</v>
      </c>
      <c r="F3464" s="14">
        <v>0.0</v>
      </c>
      <c r="G3464" s="15"/>
      <c r="H3464" s="16"/>
      <c r="I3464" s="14"/>
    </row>
    <row r="3465">
      <c r="A3465" s="14">
        <v>355.0</v>
      </c>
      <c r="B3465" s="14">
        <v>8.3117288E7</v>
      </c>
      <c r="C3465" s="14">
        <v>3.48984444E8</v>
      </c>
      <c r="D3465" s="2" t="s">
        <v>1560</v>
      </c>
      <c r="E3465" s="1" t="s">
        <v>699</v>
      </c>
      <c r="F3465" s="14">
        <v>0.0</v>
      </c>
      <c r="G3465" s="15"/>
      <c r="H3465" s="16"/>
      <c r="I3465" s="14"/>
    </row>
    <row r="3466">
      <c r="A3466" s="14">
        <v>461.0</v>
      </c>
      <c r="B3466" s="14">
        <v>8.3566156E7</v>
      </c>
      <c r="C3466" s="14">
        <v>3.51011766E8</v>
      </c>
      <c r="D3466" s="2" t="s">
        <v>1544</v>
      </c>
      <c r="E3466" s="1" t="s">
        <v>699</v>
      </c>
      <c r="F3466" s="14">
        <v>0.0</v>
      </c>
      <c r="G3466" s="15"/>
      <c r="H3466" s="16"/>
      <c r="I3466" s="14"/>
    </row>
    <row r="3467">
      <c r="A3467" s="14">
        <v>458.0</v>
      </c>
      <c r="B3467" s="14">
        <v>8.3582751E7</v>
      </c>
      <c r="C3467" s="14">
        <v>3.50992567E8</v>
      </c>
      <c r="D3467" s="2" t="s">
        <v>1540</v>
      </c>
      <c r="E3467" s="1" t="s">
        <v>699</v>
      </c>
      <c r="F3467" s="14">
        <v>0.0</v>
      </c>
      <c r="G3467" s="15"/>
      <c r="H3467" s="16"/>
      <c r="I3467" s="14"/>
    </row>
    <row r="3468">
      <c r="A3468" s="14">
        <v>408.0</v>
      </c>
      <c r="B3468" s="14">
        <v>8.3715426E7</v>
      </c>
      <c r="C3468" s="14">
        <v>3.51539723E8</v>
      </c>
      <c r="D3468" s="2" t="s">
        <v>1533</v>
      </c>
      <c r="E3468" s="1" t="s">
        <v>699</v>
      </c>
      <c r="F3468" s="14">
        <v>0.0</v>
      </c>
      <c r="G3468" s="15"/>
      <c r="H3468" s="16"/>
      <c r="I3468" s="14"/>
    </row>
    <row r="3469">
      <c r="A3469" s="14">
        <v>194.0</v>
      </c>
      <c r="B3469" s="14">
        <v>8.3867267E7</v>
      </c>
      <c r="C3469" s="14">
        <v>3.52787044E8</v>
      </c>
      <c r="D3469" s="2" t="s">
        <v>1518</v>
      </c>
      <c r="E3469" s="1" t="s">
        <v>699</v>
      </c>
      <c r="F3469" s="14">
        <v>0.0</v>
      </c>
      <c r="G3469" s="15"/>
      <c r="H3469" s="16"/>
      <c r="I3469" s="14"/>
    </row>
    <row r="3470">
      <c r="A3470" s="14">
        <v>194.0</v>
      </c>
      <c r="B3470" s="14">
        <v>8.4184307E7</v>
      </c>
      <c r="C3470" s="14">
        <v>3.53892798E8</v>
      </c>
      <c r="D3470" s="2" t="s">
        <v>1499</v>
      </c>
      <c r="E3470" s="1" t="s">
        <v>699</v>
      </c>
      <c r="F3470" s="14">
        <v>0.0</v>
      </c>
      <c r="G3470" s="15"/>
      <c r="H3470" s="16"/>
      <c r="I3470" s="14"/>
    </row>
    <row r="3471">
      <c r="A3471" s="14">
        <v>194.0</v>
      </c>
      <c r="B3471" s="14">
        <v>8.4193827E7</v>
      </c>
      <c r="C3471" s="14">
        <v>3.53893821E8</v>
      </c>
      <c r="D3471" s="2" t="s">
        <v>1497</v>
      </c>
      <c r="E3471" s="1" t="s">
        <v>699</v>
      </c>
      <c r="F3471" s="14">
        <v>0.0</v>
      </c>
      <c r="G3471" s="15"/>
      <c r="H3471" s="16"/>
      <c r="I3471" s="14"/>
    </row>
    <row r="3472">
      <c r="A3472" s="14">
        <v>256.0</v>
      </c>
      <c r="B3472" s="14">
        <v>8.4253076E7</v>
      </c>
      <c r="C3472" s="14">
        <v>3.54173659E8</v>
      </c>
      <c r="D3472" s="2" t="s">
        <v>1485</v>
      </c>
      <c r="E3472" s="1" t="s">
        <v>699</v>
      </c>
      <c r="F3472" s="14">
        <v>0.0</v>
      </c>
      <c r="G3472" s="15"/>
      <c r="H3472" s="16"/>
      <c r="I3472" s="14"/>
    </row>
    <row r="3473">
      <c r="A3473" s="14">
        <v>210.0</v>
      </c>
      <c r="B3473" s="14">
        <v>8.4304288E7</v>
      </c>
      <c r="C3473" s="14">
        <v>3.54611683E8</v>
      </c>
      <c r="D3473" s="2" t="s">
        <v>1478</v>
      </c>
      <c r="E3473" s="1" t="s">
        <v>699</v>
      </c>
      <c r="F3473" s="14">
        <v>0.0</v>
      </c>
      <c r="G3473" s="15"/>
      <c r="H3473" s="16"/>
      <c r="I3473" s="14"/>
    </row>
    <row r="3474">
      <c r="A3474" s="14">
        <v>654.0</v>
      </c>
      <c r="B3474" s="14">
        <v>8.4869065E7</v>
      </c>
      <c r="C3474" s="14">
        <v>3.57288498E8</v>
      </c>
      <c r="D3474" s="2" t="s">
        <v>1435</v>
      </c>
      <c r="E3474" s="1" t="s">
        <v>699</v>
      </c>
      <c r="F3474" s="14">
        <v>0.0</v>
      </c>
      <c r="G3474" s="15"/>
      <c r="H3474" s="16"/>
      <c r="I3474" s="14"/>
    </row>
    <row r="3475">
      <c r="A3475" s="14">
        <v>392.0</v>
      </c>
      <c r="B3475" s="14">
        <v>8.5121635E7</v>
      </c>
      <c r="C3475" s="14">
        <v>3.95290545E8</v>
      </c>
      <c r="D3475" s="2" t="s">
        <v>1421</v>
      </c>
      <c r="E3475" s="1" t="s">
        <v>699</v>
      </c>
      <c r="F3475" s="14">
        <v>0.0</v>
      </c>
      <c r="G3475" s="15"/>
      <c r="H3475" s="16"/>
      <c r="I3475" s="14"/>
    </row>
    <row r="3476">
      <c r="A3476" s="14">
        <v>337.0</v>
      </c>
      <c r="B3476" s="14">
        <v>8.5248244E7</v>
      </c>
      <c r="C3476" s="14">
        <v>3.60054002E8</v>
      </c>
      <c r="D3476" s="2" t="s">
        <v>1411</v>
      </c>
      <c r="E3476" s="1" t="s">
        <v>699</v>
      </c>
      <c r="F3476" s="14">
        <v>0.0</v>
      </c>
      <c r="G3476" s="15"/>
      <c r="H3476" s="16"/>
      <c r="I3476" s="14"/>
    </row>
    <row r="3477">
      <c r="A3477" s="14">
        <v>565.0</v>
      </c>
      <c r="B3477" s="14">
        <v>8.5508654E7</v>
      </c>
      <c r="C3477" s="14">
        <v>3.60715958E8</v>
      </c>
      <c r="D3477" s="2" t="s">
        <v>1390</v>
      </c>
      <c r="E3477" s="1" t="s">
        <v>699</v>
      </c>
      <c r="F3477" s="14">
        <v>0.0</v>
      </c>
      <c r="G3477" s="15"/>
      <c r="H3477" s="16"/>
      <c r="I3477" s="14"/>
    </row>
    <row r="3478">
      <c r="A3478" s="14">
        <v>586.0</v>
      </c>
      <c r="B3478" s="14">
        <v>8.5893431E7</v>
      </c>
      <c r="C3478" s="14">
        <v>3.62199524E8</v>
      </c>
      <c r="D3478" s="2" t="s">
        <v>1376</v>
      </c>
      <c r="E3478" s="1" t="s">
        <v>699</v>
      </c>
      <c r="F3478" s="14">
        <v>0.0</v>
      </c>
      <c r="G3478" s="15"/>
      <c r="H3478" s="16"/>
      <c r="I3478" s="14"/>
    </row>
    <row r="3479">
      <c r="A3479" s="14">
        <v>674.0</v>
      </c>
      <c r="B3479" s="14">
        <v>8.6048096E7</v>
      </c>
      <c r="C3479" s="14">
        <v>3.6312454E8</v>
      </c>
      <c r="D3479" s="2" t="s">
        <v>1366</v>
      </c>
      <c r="E3479" s="1" t="s">
        <v>699</v>
      </c>
      <c r="F3479" s="14">
        <v>0.0</v>
      </c>
      <c r="G3479" s="15"/>
      <c r="H3479" s="16"/>
      <c r="I3479" s="14"/>
    </row>
    <row r="3480">
      <c r="A3480" s="14">
        <v>492.0</v>
      </c>
      <c r="B3480" s="14">
        <v>8.6288041E7</v>
      </c>
      <c r="C3480" s="14">
        <v>3.6409848E8</v>
      </c>
      <c r="D3480" s="2" t="s">
        <v>1347</v>
      </c>
      <c r="E3480" s="1" t="s">
        <v>699</v>
      </c>
      <c r="F3480" s="14">
        <v>0.0</v>
      </c>
      <c r="G3480" s="15"/>
      <c r="H3480" s="16"/>
      <c r="I3480" s="14"/>
    </row>
    <row r="3481">
      <c r="A3481" s="14">
        <v>671.0</v>
      </c>
      <c r="B3481" s="14">
        <v>8.6294916E7</v>
      </c>
      <c r="C3481" s="14">
        <v>3.69054967E8</v>
      </c>
      <c r="D3481" s="2" t="s">
        <v>1345</v>
      </c>
      <c r="E3481" s="1" t="s">
        <v>699</v>
      </c>
      <c r="F3481" s="14">
        <v>0.0</v>
      </c>
      <c r="G3481" s="15"/>
      <c r="H3481" s="16"/>
      <c r="I3481" s="14"/>
    </row>
    <row r="3482">
      <c r="A3482" s="14">
        <v>215.0</v>
      </c>
      <c r="B3482" s="14">
        <v>8.6404964E7</v>
      </c>
      <c r="C3482" s="14">
        <v>3.65092148E8</v>
      </c>
      <c r="D3482" s="2" t="s">
        <v>1336</v>
      </c>
      <c r="E3482" s="1" t="s">
        <v>699</v>
      </c>
      <c r="F3482" s="14">
        <v>0.0</v>
      </c>
      <c r="G3482" s="15"/>
      <c r="H3482" s="16"/>
      <c r="I3482" s="14"/>
    </row>
    <row r="3483">
      <c r="A3483" s="14">
        <v>365.0</v>
      </c>
      <c r="B3483" s="14">
        <v>8.6467301E7</v>
      </c>
      <c r="C3483" s="14">
        <v>3.64960027E8</v>
      </c>
      <c r="D3483" s="2" t="s">
        <v>1325</v>
      </c>
      <c r="E3483" s="1" t="s">
        <v>699</v>
      </c>
      <c r="F3483" s="14">
        <v>0.0</v>
      </c>
      <c r="G3483" s="15"/>
      <c r="H3483" s="16"/>
      <c r="I3483" s="14"/>
    </row>
    <row r="3484">
      <c r="A3484" s="14">
        <v>484.0</v>
      </c>
      <c r="B3484" s="14">
        <v>8.6507357E7</v>
      </c>
      <c r="C3484" s="14">
        <v>3.65518945E8</v>
      </c>
      <c r="D3484" s="2" t="s">
        <v>1321</v>
      </c>
      <c r="E3484" s="1" t="s">
        <v>699</v>
      </c>
      <c r="F3484" s="14">
        <v>0.0</v>
      </c>
      <c r="G3484" s="15"/>
      <c r="H3484" s="16"/>
      <c r="I3484" s="14"/>
    </row>
    <row r="3485">
      <c r="A3485" s="14">
        <v>353.0</v>
      </c>
      <c r="B3485" s="14">
        <v>8.6515283E7</v>
      </c>
      <c r="C3485" s="14">
        <v>3.65325663E8</v>
      </c>
      <c r="D3485" s="2" t="s">
        <v>1320</v>
      </c>
      <c r="E3485" s="1" t="s">
        <v>699</v>
      </c>
      <c r="F3485" s="14">
        <v>0.0</v>
      </c>
      <c r="G3485" s="15"/>
      <c r="H3485" s="16"/>
      <c r="I3485" s="14"/>
    </row>
    <row r="3486">
      <c r="A3486" s="14">
        <v>353.0</v>
      </c>
      <c r="B3486" s="14">
        <v>8.7088811E7</v>
      </c>
      <c r="C3486" s="14">
        <v>3.67947691E8</v>
      </c>
      <c r="D3486" s="2" t="s">
        <v>1291</v>
      </c>
      <c r="E3486" s="1" t="s">
        <v>699</v>
      </c>
      <c r="F3486" s="14">
        <v>0.0</v>
      </c>
      <c r="G3486" s="15"/>
      <c r="H3486" s="16"/>
      <c r="I3486" s="14"/>
    </row>
    <row r="3487">
      <c r="A3487" s="14">
        <v>671.0</v>
      </c>
      <c r="B3487" s="14">
        <v>8.7105757E7</v>
      </c>
      <c r="C3487" s="14">
        <v>3.68436018E8</v>
      </c>
      <c r="D3487" s="2" t="s">
        <v>1289</v>
      </c>
      <c r="E3487" s="1" t="s">
        <v>699</v>
      </c>
      <c r="F3487" s="14">
        <v>0.0</v>
      </c>
      <c r="G3487" s="15"/>
      <c r="H3487" s="16"/>
      <c r="I3487" s="14"/>
    </row>
    <row r="3488">
      <c r="A3488" s="14">
        <v>462.0</v>
      </c>
      <c r="B3488" s="14">
        <v>8.7112367E7</v>
      </c>
      <c r="C3488" s="14">
        <v>4.72080339E8</v>
      </c>
      <c r="D3488" s="2" t="s">
        <v>1287</v>
      </c>
      <c r="E3488" s="1" t="s">
        <v>699</v>
      </c>
      <c r="F3488" s="14">
        <v>0.0</v>
      </c>
      <c r="G3488" s="15"/>
      <c r="H3488" s="16"/>
      <c r="I3488" s="14"/>
    </row>
    <row r="3489">
      <c r="A3489" s="14">
        <v>120.0</v>
      </c>
      <c r="B3489" s="14">
        <v>8.7539182E7</v>
      </c>
      <c r="C3489" s="14">
        <v>3.84824804E8</v>
      </c>
      <c r="D3489" s="2" t="s">
        <v>1267</v>
      </c>
      <c r="E3489" s="1" t="s">
        <v>699</v>
      </c>
      <c r="F3489" s="14">
        <v>0.0</v>
      </c>
      <c r="G3489" s="15"/>
      <c r="H3489" s="16"/>
      <c r="I3489" s="14"/>
    </row>
    <row r="3490">
      <c r="A3490" s="14">
        <v>656.0</v>
      </c>
      <c r="B3490" s="14">
        <v>8.7598867E7</v>
      </c>
      <c r="C3490" s="14">
        <v>3.80982646E8</v>
      </c>
      <c r="D3490" s="2" t="s">
        <v>1260</v>
      </c>
      <c r="E3490" s="1" t="s">
        <v>699</v>
      </c>
      <c r="F3490" s="14">
        <v>0.0</v>
      </c>
      <c r="G3490" s="15"/>
      <c r="H3490" s="16"/>
      <c r="I3490" s="14"/>
    </row>
    <row r="3491">
      <c r="A3491" s="14">
        <v>194.0</v>
      </c>
      <c r="B3491" s="14">
        <v>8.7619482E7</v>
      </c>
      <c r="C3491" s="14">
        <v>4.75033249E8</v>
      </c>
      <c r="D3491" s="2" t="s">
        <v>1258</v>
      </c>
      <c r="E3491" s="1" t="s">
        <v>699</v>
      </c>
      <c r="F3491" s="14">
        <v>0.0</v>
      </c>
      <c r="G3491" s="15"/>
      <c r="H3491" s="16"/>
      <c r="I3491" s="14"/>
    </row>
    <row r="3492">
      <c r="A3492" s="14">
        <v>194.0</v>
      </c>
      <c r="B3492" s="14">
        <v>8.7815653E7</v>
      </c>
      <c r="C3492" s="14">
        <v>3.71605682E8</v>
      </c>
      <c r="D3492" s="2" t="s">
        <v>1251</v>
      </c>
      <c r="E3492" s="1" t="s">
        <v>699</v>
      </c>
      <c r="F3492" s="14">
        <v>0.0</v>
      </c>
      <c r="G3492" s="15"/>
      <c r="H3492" s="16"/>
      <c r="I3492" s="14"/>
    </row>
    <row r="3493">
      <c r="A3493" s="14">
        <v>602.0</v>
      </c>
      <c r="B3493" s="14">
        <v>8.8107913E7</v>
      </c>
      <c r="C3493" s="14">
        <v>3.73061186E8</v>
      </c>
      <c r="D3493" s="2" t="s">
        <v>1231</v>
      </c>
      <c r="E3493" s="1" t="s">
        <v>699</v>
      </c>
      <c r="F3493" s="14">
        <v>0.0</v>
      </c>
      <c r="G3493" s="15"/>
      <c r="H3493" s="16"/>
      <c r="I3493" s="14"/>
    </row>
    <row r="3494">
      <c r="A3494" s="14">
        <v>571.0</v>
      </c>
      <c r="B3494" s="14">
        <v>8.8154438E7</v>
      </c>
      <c r="C3494" s="14">
        <v>3.73074469E8</v>
      </c>
      <c r="D3494" s="2" t="s">
        <v>1227</v>
      </c>
      <c r="E3494" s="1" t="s">
        <v>699</v>
      </c>
      <c r="F3494" s="14">
        <v>0.0</v>
      </c>
      <c r="G3494" s="15"/>
      <c r="H3494" s="16"/>
      <c r="I3494" s="14"/>
    </row>
    <row r="3495">
      <c r="A3495" s="14">
        <v>593.0</v>
      </c>
      <c r="B3495" s="14">
        <v>8.818747E7</v>
      </c>
      <c r="C3495" s="14">
        <v>3.73325473E8</v>
      </c>
      <c r="D3495" s="2" t="s">
        <v>1224</v>
      </c>
      <c r="E3495" s="1" t="s">
        <v>699</v>
      </c>
      <c r="F3495" s="14">
        <v>0.0</v>
      </c>
      <c r="G3495" s="15"/>
      <c r="H3495" s="16"/>
      <c r="I3495" s="14"/>
    </row>
    <row r="3496">
      <c r="A3496" s="14">
        <v>643.0</v>
      </c>
      <c r="B3496" s="14">
        <v>8.8280383E7</v>
      </c>
      <c r="C3496" s="14">
        <v>3.73573521E8</v>
      </c>
      <c r="D3496" s="2" t="s">
        <v>1223</v>
      </c>
      <c r="E3496" s="1" t="s">
        <v>699</v>
      </c>
      <c r="F3496" s="14">
        <v>0.0</v>
      </c>
      <c r="G3496" s="15"/>
      <c r="H3496" s="16"/>
      <c r="I3496" s="14"/>
    </row>
    <row r="3497">
      <c r="A3497" s="14">
        <v>700.0</v>
      </c>
      <c r="B3497" s="14">
        <v>8.8551167E7</v>
      </c>
      <c r="C3497" s="14">
        <v>3.7486518E8</v>
      </c>
      <c r="D3497" s="2" t="s">
        <v>1219</v>
      </c>
      <c r="E3497" s="1" t="s">
        <v>699</v>
      </c>
      <c r="F3497" s="14">
        <v>0.0</v>
      </c>
      <c r="G3497" s="15"/>
      <c r="H3497" s="16"/>
      <c r="I3497" s="14"/>
    </row>
    <row r="3498">
      <c r="A3498" s="14">
        <v>194.0</v>
      </c>
      <c r="B3498" s="14">
        <v>8.8635393E7</v>
      </c>
      <c r="C3498" s="14">
        <v>3.7529813E8</v>
      </c>
      <c r="D3498" s="2" t="s">
        <v>1212</v>
      </c>
      <c r="E3498" s="1" t="s">
        <v>699</v>
      </c>
      <c r="F3498" s="14">
        <v>0.0</v>
      </c>
      <c r="G3498" s="15"/>
      <c r="H3498" s="16"/>
      <c r="I3498" s="14"/>
    </row>
    <row r="3499">
      <c r="A3499" s="14">
        <v>571.0</v>
      </c>
      <c r="B3499" s="14">
        <v>8.8636927E7</v>
      </c>
      <c r="C3499" s="14">
        <v>3.75613747E8</v>
      </c>
      <c r="D3499" s="2" t="s">
        <v>1211</v>
      </c>
      <c r="E3499" s="1" t="s">
        <v>699</v>
      </c>
      <c r="F3499" s="14">
        <v>0.0</v>
      </c>
      <c r="G3499" s="15"/>
      <c r="H3499" s="16"/>
      <c r="I3499" s="14"/>
    </row>
    <row r="3500">
      <c r="A3500" s="14">
        <v>194.0</v>
      </c>
      <c r="B3500" s="14">
        <v>8.8914892E7</v>
      </c>
      <c r="C3500" s="14">
        <v>3.76924823E8</v>
      </c>
      <c r="D3500" s="2" t="s">
        <v>1191</v>
      </c>
      <c r="E3500" s="1" t="s">
        <v>699</v>
      </c>
      <c r="F3500" s="14">
        <v>0.0</v>
      </c>
      <c r="G3500" s="15"/>
      <c r="H3500" s="16"/>
      <c r="I3500" s="14"/>
    </row>
    <row r="3501">
      <c r="A3501" s="14">
        <v>414.0</v>
      </c>
      <c r="B3501" s="14">
        <v>8.8983689E7</v>
      </c>
      <c r="C3501" s="14">
        <v>3.7690814E8</v>
      </c>
      <c r="D3501" s="2" t="s">
        <v>1185</v>
      </c>
      <c r="E3501" s="1" t="s">
        <v>699</v>
      </c>
      <c r="F3501" s="14">
        <v>0.0</v>
      </c>
      <c r="G3501" s="15"/>
      <c r="H3501" s="16"/>
      <c r="I3501" s="14"/>
    </row>
    <row r="3502">
      <c r="A3502" s="14">
        <v>194.0</v>
      </c>
      <c r="B3502" s="14">
        <v>8.9207648E7</v>
      </c>
      <c r="C3502" s="14">
        <v>3.78301128E8</v>
      </c>
      <c r="D3502" s="2" t="s">
        <v>1174</v>
      </c>
      <c r="E3502" s="1" t="s">
        <v>699</v>
      </c>
      <c r="F3502" s="14">
        <v>0.0</v>
      </c>
      <c r="G3502" s="15"/>
      <c r="H3502" s="16"/>
      <c r="I3502" s="14"/>
    </row>
    <row r="3503">
      <c r="A3503" s="14">
        <v>484.0</v>
      </c>
      <c r="B3503" s="14">
        <v>8.9306609E7</v>
      </c>
      <c r="C3503" s="14">
        <v>3.78562278E8</v>
      </c>
      <c r="D3503" s="2" t="s">
        <v>1170</v>
      </c>
      <c r="E3503" s="1" t="s">
        <v>699</v>
      </c>
      <c r="F3503" s="14">
        <v>0.0</v>
      </c>
      <c r="G3503" s="15"/>
      <c r="H3503" s="16"/>
      <c r="I3503" s="14"/>
    </row>
    <row r="3504">
      <c r="A3504" s="14">
        <v>564.0</v>
      </c>
      <c r="B3504" s="14">
        <v>8.9660451E7</v>
      </c>
      <c r="C3504" s="14">
        <v>3.80336002E8</v>
      </c>
      <c r="D3504" s="2" t="s">
        <v>1160</v>
      </c>
      <c r="E3504" s="1" t="s">
        <v>699</v>
      </c>
      <c r="F3504" s="14">
        <v>0.0</v>
      </c>
      <c r="G3504" s="15"/>
      <c r="H3504" s="16"/>
      <c r="I3504" s="14"/>
    </row>
    <row r="3505">
      <c r="A3505" s="14">
        <v>630.0</v>
      </c>
      <c r="B3505" s="14">
        <v>9.0223872E7</v>
      </c>
      <c r="C3505" s="14">
        <v>3.82994112E8</v>
      </c>
      <c r="D3505" s="2" t="s">
        <v>1129</v>
      </c>
      <c r="E3505" s="1" t="s">
        <v>699</v>
      </c>
      <c r="F3505" s="14">
        <v>0.0</v>
      </c>
      <c r="G3505" s="15"/>
      <c r="H3505" s="16"/>
      <c r="I3505" s="14"/>
    </row>
    <row r="3506">
      <c r="A3506" s="14">
        <v>586.0</v>
      </c>
      <c r="B3506" s="14">
        <v>9.0398201E7</v>
      </c>
      <c r="C3506" s="14">
        <v>3.83454531E8</v>
      </c>
      <c r="D3506" s="2" t="s">
        <v>1117</v>
      </c>
      <c r="E3506" s="1" t="s">
        <v>699</v>
      </c>
      <c r="F3506" s="14">
        <v>0.0</v>
      </c>
      <c r="G3506" s="15"/>
      <c r="H3506" s="16"/>
      <c r="I3506" s="14"/>
    </row>
    <row r="3507">
      <c r="A3507" s="14">
        <v>504.0</v>
      </c>
      <c r="B3507" s="14">
        <v>9.0437962E7</v>
      </c>
      <c r="C3507" s="14">
        <v>3.83406238E8</v>
      </c>
      <c r="D3507" s="2" t="s">
        <v>1112</v>
      </c>
      <c r="E3507" s="1" t="s">
        <v>699</v>
      </c>
      <c r="F3507" s="14">
        <v>0.0</v>
      </c>
      <c r="G3507" s="15"/>
      <c r="H3507" s="16"/>
      <c r="I3507" s="14"/>
    </row>
    <row r="3508">
      <c r="A3508" s="14">
        <v>597.0</v>
      </c>
      <c r="B3508" s="14">
        <v>9.0475792E7</v>
      </c>
      <c r="C3508" s="14">
        <v>3.83459987E8</v>
      </c>
      <c r="D3508" s="2" t="s">
        <v>1110</v>
      </c>
      <c r="E3508" s="1" t="s">
        <v>699</v>
      </c>
      <c r="F3508" s="14">
        <v>0.0</v>
      </c>
      <c r="G3508" s="15"/>
      <c r="H3508" s="16"/>
      <c r="I3508" s="14"/>
    </row>
    <row r="3509">
      <c r="A3509" s="14">
        <v>608.0</v>
      </c>
      <c r="B3509" s="14">
        <v>9.0755284E7</v>
      </c>
      <c r="C3509" s="14">
        <v>3.84909826E8</v>
      </c>
      <c r="D3509" s="2" t="s">
        <v>1092</v>
      </c>
      <c r="E3509" s="1" t="s">
        <v>699</v>
      </c>
      <c r="F3509" s="14">
        <v>0.0</v>
      </c>
      <c r="G3509" s="15"/>
      <c r="H3509" s="16"/>
      <c r="I3509" s="14"/>
    </row>
    <row r="3510">
      <c r="A3510" s="14">
        <v>656.0</v>
      </c>
      <c r="B3510" s="14">
        <v>9.0789886E7</v>
      </c>
      <c r="C3510" s="14">
        <v>4.33703531E8</v>
      </c>
      <c r="D3510" s="2" t="s">
        <v>1089</v>
      </c>
      <c r="E3510" s="1" t="s">
        <v>699</v>
      </c>
      <c r="F3510" s="14">
        <v>0.0</v>
      </c>
      <c r="G3510" s="15"/>
      <c r="H3510" s="16"/>
      <c r="I3510" s="14"/>
    </row>
    <row r="3511">
      <c r="A3511" s="14">
        <v>484.0</v>
      </c>
      <c r="B3511" s="14">
        <v>9.088719E7</v>
      </c>
      <c r="C3511" s="14">
        <v>3.85457862E8</v>
      </c>
      <c r="D3511" s="2" t="s">
        <v>1085</v>
      </c>
      <c r="E3511" s="1" t="s">
        <v>699</v>
      </c>
      <c r="F3511" s="14">
        <v>0.0</v>
      </c>
      <c r="G3511" s="15"/>
      <c r="H3511" s="16"/>
      <c r="I3511" s="14"/>
    </row>
    <row r="3512">
      <c r="A3512" s="14">
        <v>173.0</v>
      </c>
      <c r="B3512" s="14">
        <v>9.1083134E7</v>
      </c>
      <c r="C3512" s="14">
        <v>3.86371589E8</v>
      </c>
      <c r="D3512" s="2" t="s">
        <v>1079</v>
      </c>
      <c r="E3512" s="1" t="s">
        <v>699</v>
      </c>
      <c r="F3512" s="14">
        <v>0.0</v>
      </c>
      <c r="G3512" s="15"/>
      <c r="H3512" s="16"/>
      <c r="I3512" s="14"/>
    </row>
    <row r="3513">
      <c r="A3513" s="14">
        <v>204.0</v>
      </c>
      <c r="B3513" s="14">
        <v>9.1103102E7</v>
      </c>
      <c r="C3513" s="14">
        <v>3.86682754E8</v>
      </c>
      <c r="D3513" s="2" t="s">
        <v>1076</v>
      </c>
      <c r="E3513" s="1" t="s">
        <v>699</v>
      </c>
      <c r="F3513" s="14">
        <v>0.0</v>
      </c>
      <c r="G3513" s="15"/>
      <c r="H3513" s="16"/>
      <c r="I3513" s="14"/>
    </row>
    <row r="3514">
      <c r="A3514" s="14">
        <v>394.0</v>
      </c>
      <c r="B3514" s="14">
        <v>9.1149496E7</v>
      </c>
      <c r="C3514" s="14">
        <v>3.86659223E8</v>
      </c>
      <c r="D3514" s="2" t="s">
        <v>1072</v>
      </c>
      <c r="E3514" s="1" t="s">
        <v>699</v>
      </c>
      <c r="F3514" s="14">
        <v>0.0</v>
      </c>
      <c r="G3514" s="15"/>
      <c r="H3514" s="16"/>
      <c r="I3514" s="14"/>
    </row>
    <row r="3515">
      <c r="A3515" s="14">
        <v>700.0</v>
      </c>
      <c r="B3515" s="14">
        <v>9.1183304E7</v>
      </c>
      <c r="C3515" s="14">
        <v>3.87061898E8</v>
      </c>
      <c r="D3515" s="2" t="s">
        <v>1069</v>
      </c>
      <c r="E3515" s="1" t="s">
        <v>699</v>
      </c>
      <c r="F3515" s="14">
        <v>0.0</v>
      </c>
      <c r="G3515" s="15"/>
      <c r="H3515" s="16"/>
      <c r="I3515" s="14"/>
    </row>
    <row r="3516">
      <c r="A3516" s="14">
        <v>173.0</v>
      </c>
      <c r="B3516" s="14">
        <v>9.1252891E7</v>
      </c>
      <c r="C3516" s="14">
        <v>3.87390025E8</v>
      </c>
      <c r="D3516" s="2" t="s">
        <v>1066</v>
      </c>
      <c r="E3516" s="1" t="s">
        <v>699</v>
      </c>
      <c r="F3516" s="14">
        <v>0.0</v>
      </c>
      <c r="G3516" s="15"/>
      <c r="H3516" s="16"/>
      <c r="I3516" s="14"/>
    </row>
    <row r="3517">
      <c r="A3517" s="14">
        <v>471.0</v>
      </c>
      <c r="B3517" s="14">
        <v>9.1336617E7</v>
      </c>
      <c r="C3517" s="14">
        <v>3.8765125E8</v>
      </c>
      <c r="D3517" s="2" t="s">
        <v>1063</v>
      </c>
      <c r="E3517" s="1" t="s">
        <v>699</v>
      </c>
      <c r="F3517" s="14">
        <v>0.0</v>
      </c>
      <c r="G3517" s="15"/>
      <c r="H3517" s="16"/>
      <c r="I3517" s="14"/>
    </row>
    <row r="3518">
      <c r="A3518" s="14">
        <v>173.0</v>
      </c>
      <c r="B3518" s="14">
        <v>9.1436443E7</v>
      </c>
      <c r="C3518" s="14">
        <v>3.88055065E8</v>
      </c>
      <c r="D3518" s="2" t="s">
        <v>1056</v>
      </c>
      <c r="E3518" s="1" t="s">
        <v>699</v>
      </c>
      <c r="F3518" s="14">
        <v>0.0</v>
      </c>
      <c r="G3518" s="15"/>
      <c r="H3518" s="16"/>
      <c r="I3518" s="14"/>
    </row>
    <row r="3519">
      <c r="A3519" s="14">
        <v>673.0</v>
      </c>
      <c r="B3519" s="14">
        <v>9.1600637E7</v>
      </c>
      <c r="C3519" s="14">
        <v>3.88512851E8</v>
      </c>
      <c r="D3519" s="2" t="s">
        <v>1052</v>
      </c>
      <c r="E3519" s="1" t="s">
        <v>699</v>
      </c>
      <c r="F3519" s="14">
        <v>0.0</v>
      </c>
      <c r="G3519" s="15"/>
      <c r="H3519" s="16"/>
      <c r="I3519" s="14"/>
    </row>
    <row r="3520">
      <c r="A3520" s="14">
        <v>458.0</v>
      </c>
      <c r="B3520" s="14">
        <v>9.1636073E7</v>
      </c>
      <c r="C3520" s="14">
        <v>3.88849966E8</v>
      </c>
      <c r="D3520" s="2" t="s">
        <v>1049</v>
      </c>
      <c r="E3520" s="1" t="s">
        <v>699</v>
      </c>
      <c r="F3520" s="14">
        <v>0.0</v>
      </c>
      <c r="G3520" s="15"/>
      <c r="H3520" s="16"/>
      <c r="I3520" s="14"/>
    </row>
    <row r="3521">
      <c r="A3521" s="14">
        <v>409.0</v>
      </c>
      <c r="B3521" s="14">
        <v>9.2157875E7</v>
      </c>
      <c r="C3521" s="14">
        <v>3.91245229E8</v>
      </c>
      <c r="D3521" s="2" t="s">
        <v>1023</v>
      </c>
      <c r="E3521" s="1" t="s">
        <v>699</v>
      </c>
      <c r="F3521" s="14">
        <v>0.0</v>
      </c>
      <c r="G3521" s="15"/>
      <c r="H3521" s="16"/>
      <c r="I3521" s="14"/>
    </row>
    <row r="3522">
      <c r="A3522" s="14">
        <v>532.0</v>
      </c>
      <c r="B3522" s="14">
        <v>9.2919815E7</v>
      </c>
      <c r="C3522" s="14">
        <v>3.94586055E8</v>
      </c>
      <c r="D3522" s="2" t="s">
        <v>986</v>
      </c>
      <c r="E3522" s="1" t="s">
        <v>699</v>
      </c>
      <c r="F3522" s="14">
        <v>0.0</v>
      </c>
      <c r="G3522" s="15"/>
      <c r="H3522" s="16"/>
      <c r="I3522" s="14"/>
    </row>
    <row r="3523">
      <c r="A3523" s="14">
        <v>406.0</v>
      </c>
      <c r="B3523" s="14">
        <v>9.3191026E7</v>
      </c>
      <c r="C3523" s="14">
        <v>3.96169818E8</v>
      </c>
      <c r="D3523" s="2" t="s">
        <v>976</v>
      </c>
      <c r="E3523" s="1" t="s">
        <v>699</v>
      </c>
      <c r="F3523" s="14">
        <v>0.0</v>
      </c>
      <c r="G3523" s="15"/>
      <c r="H3523" s="16"/>
      <c r="I3523" s="14"/>
    </row>
    <row r="3524">
      <c r="A3524" s="14">
        <v>597.0</v>
      </c>
      <c r="B3524" s="14">
        <v>9.3305697E7</v>
      </c>
      <c r="C3524" s="14">
        <v>3.96126035E8</v>
      </c>
      <c r="D3524" s="2" t="s">
        <v>973</v>
      </c>
      <c r="E3524" s="1" t="s">
        <v>699</v>
      </c>
      <c r="F3524" s="14">
        <v>0.0</v>
      </c>
      <c r="G3524" s="15"/>
      <c r="H3524" s="16"/>
      <c r="I3524" s="14"/>
    </row>
    <row r="3525">
      <c r="A3525" s="14">
        <v>564.0</v>
      </c>
      <c r="B3525" s="14">
        <v>9.3563321E7</v>
      </c>
      <c r="C3525" s="14">
        <v>3.98085319E8</v>
      </c>
      <c r="D3525" s="2" t="s">
        <v>962</v>
      </c>
      <c r="E3525" s="1" t="s">
        <v>699</v>
      </c>
      <c r="F3525" s="14">
        <v>0.0</v>
      </c>
      <c r="G3525" s="15"/>
      <c r="H3525" s="16"/>
      <c r="I3525" s="14"/>
    </row>
    <row r="3526">
      <c r="A3526" s="14">
        <v>215.0</v>
      </c>
      <c r="B3526" s="14">
        <v>9.3677131E7</v>
      </c>
      <c r="C3526" s="14">
        <v>3.97941475E8</v>
      </c>
      <c r="D3526" s="2" t="s">
        <v>953</v>
      </c>
      <c r="E3526" s="1" t="s">
        <v>699</v>
      </c>
      <c r="F3526" s="14">
        <v>0.0</v>
      </c>
      <c r="G3526" s="15"/>
      <c r="H3526" s="16"/>
      <c r="I3526" s="14"/>
    </row>
    <row r="3527">
      <c r="A3527" s="14">
        <v>671.0</v>
      </c>
      <c r="B3527" s="14">
        <v>9.3687126E7</v>
      </c>
      <c r="C3527" s="14">
        <v>3.97927513E8</v>
      </c>
      <c r="D3527" s="2" t="s">
        <v>952</v>
      </c>
      <c r="E3527" s="1" t="s">
        <v>699</v>
      </c>
      <c r="F3527" s="14">
        <v>0.0</v>
      </c>
      <c r="G3527" s="15"/>
      <c r="H3527" s="16"/>
      <c r="I3527" s="14"/>
    </row>
    <row r="3528">
      <c r="A3528" s="14">
        <v>565.0</v>
      </c>
      <c r="B3528" s="14">
        <v>9.3905658E7</v>
      </c>
      <c r="C3528" s="14">
        <v>3.99500853E8</v>
      </c>
      <c r="D3528" s="2" t="s">
        <v>933</v>
      </c>
      <c r="E3528" s="1" t="s">
        <v>699</v>
      </c>
      <c r="F3528" s="14">
        <v>0.0</v>
      </c>
      <c r="G3528" s="15"/>
      <c r="H3528" s="16"/>
      <c r="I3528" s="14"/>
    </row>
    <row r="3529">
      <c r="A3529" s="14">
        <v>674.0</v>
      </c>
      <c r="B3529" s="14">
        <v>9.4036009E7</v>
      </c>
      <c r="C3529" s="14">
        <v>3.99692296E8</v>
      </c>
      <c r="D3529" s="2" t="s">
        <v>926</v>
      </c>
      <c r="E3529" s="1" t="s">
        <v>699</v>
      </c>
      <c r="F3529" s="14">
        <v>0.0</v>
      </c>
      <c r="G3529" s="15"/>
      <c r="H3529" s="16"/>
      <c r="I3529" s="14"/>
    </row>
    <row r="3530">
      <c r="A3530" s="14">
        <v>521.0</v>
      </c>
      <c r="B3530" s="14">
        <v>9.420914E7</v>
      </c>
      <c r="C3530" s="14">
        <v>4.00409154E8</v>
      </c>
      <c r="D3530" s="2" t="s">
        <v>923</v>
      </c>
      <c r="E3530" s="1" t="s">
        <v>699</v>
      </c>
      <c r="F3530" s="14">
        <v>0.0</v>
      </c>
      <c r="G3530" s="15"/>
      <c r="H3530" s="16"/>
      <c r="I3530" s="14"/>
    </row>
    <row r="3531">
      <c r="A3531" s="14">
        <v>667.0</v>
      </c>
      <c r="B3531" s="14">
        <v>9.4287437E7</v>
      </c>
      <c r="C3531" s="14">
        <v>4.01065852E8</v>
      </c>
      <c r="D3531" s="2" t="s">
        <v>921</v>
      </c>
      <c r="E3531" s="1" t="s">
        <v>699</v>
      </c>
      <c r="F3531" s="14">
        <v>0.0</v>
      </c>
      <c r="G3531" s="15"/>
      <c r="H3531" s="16"/>
      <c r="I3531" s="14"/>
    </row>
    <row r="3532">
      <c r="A3532" s="14">
        <v>673.0</v>
      </c>
      <c r="B3532" s="14">
        <v>9.4445053E7</v>
      </c>
      <c r="C3532" s="14">
        <v>4.08569271E8</v>
      </c>
      <c r="D3532" s="2" t="s">
        <v>912</v>
      </c>
      <c r="E3532" s="1" t="s">
        <v>699</v>
      </c>
      <c r="F3532" s="14">
        <v>0.0</v>
      </c>
      <c r="G3532" s="15"/>
      <c r="H3532" s="16"/>
      <c r="I3532" s="14"/>
    </row>
    <row r="3533">
      <c r="A3533" s="14">
        <v>353.0</v>
      </c>
      <c r="B3533" s="14">
        <v>9.4545907E7</v>
      </c>
      <c r="C3533" s="14">
        <v>4.02244437E8</v>
      </c>
      <c r="D3533" s="2" t="s">
        <v>904</v>
      </c>
      <c r="E3533" s="1" t="s">
        <v>699</v>
      </c>
      <c r="F3533" s="14">
        <v>0.0</v>
      </c>
      <c r="G3533" s="15"/>
      <c r="H3533" s="16"/>
      <c r="I3533" s="14"/>
    </row>
    <row r="3534">
      <c r="A3534" s="14">
        <v>504.0</v>
      </c>
      <c r="B3534" s="14">
        <v>9.4610509E7</v>
      </c>
      <c r="C3534" s="14">
        <v>4.02429879E8</v>
      </c>
      <c r="D3534" s="2" t="s">
        <v>900</v>
      </c>
      <c r="E3534" s="1" t="s">
        <v>699</v>
      </c>
      <c r="F3534" s="14">
        <v>0.0</v>
      </c>
      <c r="G3534" s="15"/>
      <c r="H3534" s="16"/>
      <c r="I3534" s="14"/>
    </row>
    <row r="3535">
      <c r="A3535" s="14">
        <v>504.0</v>
      </c>
      <c r="B3535" s="14">
        <v>9.4676834E7</v>
      </c>
      <c r="C3535" s="14">
        <v>4.02998952E8</v>
      </c>
      <c r="D3535" s="2" t="s">
        <v>895</v>
      </c>
      <c r="E3535" s="1" t="s">
        <v>699</v>
      </c>
      <c r="F3535" s="14">
        <v>0.0</v>
      </c>
      <c r="G3535" s="15"/>
      <c r="H3535" s="16"/>
      <c r="I3535" s="14"/>
    </row>
    <row r="3536">
      <c r="A3536" s="14">
        <v>671.0</v>
      </c>
      <c r="B3536" s="14">
        <v>9.5232063E7</v>
      </c>
      <c r="C3536" s="14">
        <v>4.05563466E8</v>
      </c>
      <c r="D3536" s="2" t="s">
        <v>870</v>
      </c>
      <c r="E3536" s="1" t="s">
        <v>699</v>
      </c>
      <c r="F3536" s="14">
        <v>0.0</v>
      </c>
      <c r="G3536" s="15"/>
      <c r="H3536" s="16"/>
      <c r="I3536" s="14"/>
    </row>
    <row r="3537">
      <c r="A3537" s="14">
        <v>504.0</v>
      </c>
      <c r="B3537" s="14">
        <v>9.545952E7</v>
      </c>
      <c r="C3537" s="14">
        <v>4.0645223E8</v>
      </c>
      <c r="D3537" s="2" t="s">
        <v>860</v>
      </c>
      <c r="E3537" s="1" t="s">
        <v>699</v>
      </c>
      <c r="F3537" s="14">
        <v>0.0</v>
      </c>
      <c r="G3537" s="15"/>
      <c r="H3537" s="16"/>
      <c r="I3537" s="14"/>
    </row>
    <row r="3538">
      <c r="A3538" s="14">
        <v>210.0</v>
      </c>
      <c r="B3538" s="14">
        <v>9.5468068E7</v>
      </c>
      <c r="C3538" s="14">
        <v>4.06552624E8</v>
      </c>
      <c r="D3538" s="2" t="s">
        <v>857</v>
      </c>
      <c r="E3538" s="1" t="s">
        <v>699</v>
      </c>
      <c r="F3538" s="14">
        <v>0.0</v>
      </c>
      <c r="G3538" s="15"/>
      <c r="H3538" s="16"/>
      <c r="I3538" s="14"/>
    </row>
    <row r="3539">
      <c r="A3539" s="14">
        <v>319.0</v>
      </c>
      <c r="B3539" s="14">
        <v>9.5610851E7</v>
      </c>
      <c r="C3539" s="14">
        <v>4.07569227E8</v>
      </c>
      <c r="D3539" s="2" t="s">
        <v>840</v>
      </c>
      <c r="E3539" s="1" t="s">
        <v>699</v>
      </c>
      <c r="F3539" s="14">
        <v>0.0</v>
      </c>
      <c r="G3539" s="15"/>
      <c r="H3539" s="16"/>
      <c r="I3539" s="14"/>
    </row>
    <row r="3540">
      <c r="A3540" s="14">
        <v>672.0</v>
      </c>
      <c r="B3540" s="14">
        <v>9.5784106E7</v>
      </c>
      <c r="C3540" s="14">
        <v>4.08861404E8</v>
      </c>
      <c r="D3540" s="2" t="s">
        <v>834</v>
      </c>
      <c r="E3540" s="1" t="s">
        <v>699</v>
      </c>
      <c r="F3540" s="14">
        <v>0.0</v>
      </c>
      <c r="G3540" s="15"/>
      <c r="H3540" s="16"/>
      <c r="I3540" s="14"/>
    </row>
    <row r="3541">
      <c r="A3541" s="14">
        <v>194.0</v>
      </c>
      <c r="B3541" s="14">
        <v>9.5974594E7</v>
      </c>
      <c r="C3541" s="14">
        <v>4.09226364E8</v>
      </c>
      <c r="D3541" s="2" t="s">
        <v>821</v>
      </c>
      <c r="E3541" s="1" t="s">
        <v>699</v>
      </c>
      <c r="F3541" s="14">
        <v>0.0</v>
      </c>
      <c r="G3541" s="15"/>
      <c r="H3541" s="16"/>
      <c r="I3541" s="14"/>
    </row>
    <row r="3542">
      <c r="A3542" s="14">
        <v>504.0</v>
      </c>
      <c r="B3542" s="14">
        <v>9.599216E7</v>
      </c>
      <c r="C3542" s="14">
        <v>4.09504119E8</v>
      </c>
      <c r="D3542" s="2" t="s">
        <v>820</v>
      </c>
      <c r="E3542" s="1" t="s">
        <v>699</v>
      </c>
      <c r="F3542" s="14">
        <v>0.0</v>
      </c>
      <c r="G3542" s="15"/>
      <c r="H3542" s="16"/>
      <c r="I3542" s="14"/>
    </row>
    <row r="3543">
      <c r="A3543" s="14">
        <v>571.0</v>
      </c>
      <c r="B3543" s="14">
        <v>9.6007206E7</v>
      </c>
      <c r="C3543" s="14">
        <v>4.09304614E8</v>
      </c>
      <c r="D3543" s="2" t="s">
        <v>818</v>
      </c>
      <c r="E3543" s="1" t="s">
        <v>699</v>
      </c>
      <c r="F3543" s="14">
        <v>0.0</v>
      </c>
      <c r="G3543" s="15"/>
      <c r="H3543" s="16"/>
      <c r="I3543" s="14"/>
    </row>
    <row r="3544">
      <c r="A3544" s="14">
        <v>407.0</v>
      </c>
      <c r="B3544" s="14">
        <v>9.6275279E7</v>
      </c>
      <c r="C3544" s="14">
        <v>4.10738476E8</v>
      </c>
      <c r="D3544" s="2" t="s">
        <v>806</v>
      </c>
      <c r="E3544" s="1" t="s">
        <v>699</v>
      </c>
      <c r="F3544" s="14">
        <v>0.0</v>
      </c>
      <c r="G3544" s="15"/>
      <c r="H3544" s="16"/>
      <c r="I3544" s="14"/>
    </row>
    <row r="3545">
      <c r="A3545" s="14">
        <v>532.0</v>
      </c>
      <c r="B3545" s="14">
        <v>9.6304721E7</v>
      </c>
      <c r="C3545" s="14">
        <v>4.90175468E8</v>
      </c>
      <c r="D3545" s="2" t="s">
        <v>802</v>
      </c>
      <c r="E3545" s="1" t="s">
        <v>699</v>
      </c>
      <c r="F3545" s="14">
        <v>0.0</v>
      </c>
      <c r="G3545" s="15"/>
      <c r="H3545" s="16"/>
      <c r="I3545" s="14"/>
    </row>
    <row r="3546">
      <c r="A3546" s="14">
        <v>244.0</v>
      </c>
      <c r="B3546" s="14">
        <v>9.639529E7</v>
      </c>
      <c r="C3546" s="14">
        <v>4.11428742E8</v>
      </c>
      <c r="D3546" s="2" t="s">
        <v>798</v>
      </c>
      <c r="E3546" s="1" t="s">
        <v>699</v>
      </c>
      <c r="F3546" s="14">
        <v>0.0</v>
      </c>
      <c r="G3546" s="15"/>
      <c r="H3546" s="16"/>
      <c r="I3546" s="14"/>
    </row>
    <row r="3547">
      <c r="A3547" s="14">
        <v>173.0</v>
      </c>
      <c r="B3547" s="14">
        <v>9.6481638E7</v>
      </c>
      <c r="C3547" s="14">
        <v>4.11719759E8</v>
      </c>
      <c r="D3547" s="2" t="s">
        <v>793</v>
      </c>
      <c r="E3547" s="1" t="s">
        <v>699</v>
      </c>
      <c r="F3547" s="14">
        <v>0.0</v>
      </c>
      <c r="G3547" s="15"/>
      <c r="H3547" s="16"/>
      <c r="I3547" s="14"/>
    </row>
    <row r="3548">
      <c r="A3548" s="14">
        <v>173.0</v>
      </c>
      <c r="B3548" s="14">
        <v>9.6497655E7</v>
      </c>
      <c r="C3548" s="14">
        <v>4.11718613E8</v>
      </c>
      <c r="D3548" s="2" t="s">
        <v>792</v>
      </c>
      <c r="E3548" s="1" t="s">
        <v>699</v>
      </c>
      <c r="F3548" s="14">
        <v>0.0</v>
      </c>
      <c r="G3548" s="15"/>
      <c r="H3548" s="16"/>
      <c r="I3548" s="14"/>
    </row>
    <row r="3549">
      <c r="A3549" s="14">
        <v>392.0</v>
      </c>
      <c r="B3549" s="14">
        <v>9.6591288E7</v>
      </c>
      <c r="C3549" s="14">
        <v>4.12179597E8</v>
      </c>
      <c r="D3549" s="2" t="s">
        <v>789</v>
      </c>
      <c r="E3549" s="1" t="s">
        <v>699</v>
      </c>
      <c r="F3549" s="14">
        <v>0.0</v>
      </c>
      <c r="G3549" s="15"/>
      <c r="H3549" s="16"/>
      <c r="I3549" s="14"/>
    </row>
    <row r="3550">
      <c r="A3550" s="14">
        <v>120.0</v>
      </c>
      <c r="B3550" s="14">
        <v>9.6624111E7</v>
      </c>
      <c r="C3550" s="14">
        <v>4.12420002E8</v>
      </c>
      <c r="D3550" s="2" t="s">
        <v>786</v>
      </c>
      <c r="E3550" s="1" t="s">
        <v>699</v>
      </c>
      <c r="F3550" s="14">
        <v>0.0</v>
      </c>
      <c r="G3550" s="15"/>
      <c r="H3550" s="16"/>
      <c r="I3550" s="14"/>
    </row>
    <row r="3551">
      <c r="A3551" s="14">
        <v>215.0</v>
      </c>
      <c r="B3551" s="14">
        <v>9.6788589E7</v>
      </c>
      <c r="C3551" s="14">
        <v>4.13622905E8</v>
      </c>
      <c r="D3551" s="2" t="s">
        <v>772</v>
      </c>
      <c r="E3551" s="1" t="s">
        <v>699</v>
      </c>
      <c r="F3551" s="14">
        <v>0.0</v>
      </c>
      <c r="G3551" s="15"/>
      <c r="H3551" s="16"/>
      <c r="I3551" s="14"/>
    </row>
    <row r="3552">
      <c r="A3552" s="14">
        <v>644.0</v>
      </c>
      <c r="B3552" s="14">
        <v>9.6898449E7</v>
      </c>
      <c r="C3552" s="14">
        <v>4.13573931E8</v>
      </c>
      <c r="D3552" s="2" t="s">
        <v>766</v>
      </c>
      <c r="E3552" s="1" t="s">
        <v>699</v>
      </c>
      <c r="F3552" s="14">
        <v>0.0</v>
      </c>
      <c r="G3552" s="15"/>
      <c r="H3552" s="16"/>
      <c r="I3552" s="14"/>
    </row>
    <row r="3553">
      <c r="A3553" s="14">
        <v>504.0</v>
      </c>
      <c r="B3553" s="14">
        <v>9.7130244E7</v>
      </c>
      <c r="C3553" s="14">
        <v>4.14558254E8</v>
      </c>
      <c r="D3553" s="2" t="s">
        <v>760</v>
      </c>
      <c r="E3553" s="1" t="s">
        <v>699</v>
      </c>
      <c r="F3553" s="14">
        <v>0.0</v>
      </c>
      <c r="G3553" s="15"/>
      <c r="H3553" s="16"/>
      <c r="I3553" s="14"/>
    </row>
    <row r="3554">
      <c r="A3554" s="14">
        <v>504.0</v>
      </c>
      <c r="B3554" s="14">
        <v>9.7500192E7</v>
      </c>
      <c r="C3554" s="14">
        <v>4.16461874E8</v>
      </c>
      <c r="D3554" s="2" t="s">
        <v>739</v>
      </c>
      <c r="E3554" s="1" t="s">
        <v>699</v>
      </c>
      <c r="F3554" s="14">
        <v>0.0</v>
      </c>
      <c r="G3554" s="15"/>
      <c r="H3554" s="16"/>
      <c r="I3554" s="14"/>
    </row>
    <row r="3555">
      <c r="A3555" s="14">
        <v>504.0</v>
      </c>
      <c r="B3555" s="14">
        <v>9.8216237E7</v>
      </c>
      <c r="C3555" s="14">
        <v>4.19733125E8</v>
      </c>
      <c r="D3555" s="2" t="s">
        <v>690</v>
      </c>
      <c r="E3555" s="1" t="s">
        <v>699</v>
      </c>
      <c r="F3555" s="14">
        <v>0.0</v>
      </c>
      <c r="G3555" s="15"/>
      <c r="H3555" s="16"/>
      <c r="I3555" s="14"/>
    </row>
    <row r="3556">
      <c r="A3556" s="14">
        <v>676.0</v>
      </c>
      <c r="B3556" s="14">
        <v>9.8234341E7</v>
      </c>
      <c r="C3556" s="14">
        <v>4.19795745E8</v>
      </c>
      <c r="D3556" s="2" t="s">
        <v>686</v>
      </c>
      <c r="E3556" s="1" t="s">
        <v>699</v>
      </c>
      <c r="F3556" s="14">
        <v>0.0</v>
      </c>
      <c r="G3556" s="15"/>
      <c r="H3556" s="16"/>
      <c r="I3556" s="14"/>
    </row>
    <row r="3557">
      <c r="A3557" s="14">
        <v>565.0</v>
      </c>
      <c r="B3557" s="14">
        <v>9.9103983E7</v>
      </c>
      <c r="C3557" s="14">
        <v>4.24348461E8</v>
      </c>
      <c r="D3557" s="2" t="s">
        <v>643</v>
      </c>
      <c r="E3557" s="1" t="s">
        <v>699</v>
      </c>
      <c r="F3557" s="14">
        <v>0.0</v>
      </c>
      <c r="G3557" s="15"/>
      <c r="H3557" s="16"/>
      <c r="I3557" s="14"/>
    </row>
    <row r="3558">
      <c r="A3558" s="14">
        <v>557.0</v>
      </c>
      <c r="B3558" s="14">
        <v>9.9122381E7</v>
      </c>
      <c r="C3558" s="14">
        <v>4.24383736E8</v>
      </c>
      <c r="D3558" s="2" t="s">
        <v>641</v>
      </c>
      <c r="E3558" s="1" t="s">
        <v>699</v>
      </c>
      <c r="F3558" s="14">
        <v>0.0</v>
      </c>
      <c r="G3558" s="15"/>
      <c r="H3558" s="16"/>
      <c r="I3558" s="14"/>
    </row>
    <row r="3559">
      <c r="A3559" s="14">
        <v>557.0</v>
      </c>
      <c r="B3559" s="14">
        <v>9.9264227E7</v>
      </c>
      <c r="C3559" s="14">
        <v>4.25139382E8</v>
      </c>
      <c r="D3559" s="2" t="s">
        <v>626</v>
      </c>
      <c r="E3559" s="1" t="s">
        <v>699</v>
      </c>
      <c r="F3559" s="14">
        <v>0.0</v>
      </c>
      <c r="G3559" s="15"/>
      <c r="H3559" s="16"/>
      <c r="I3559" s="14"/>
    </row>
    <row r="3560">
      <c r="A3560" s="14">
        <v>643.0</v>
      </c>
      <c r="B3560" s="14">
        <v>9.9700843E7</v>
      </c>
      <c r="C3560" s="14">
        <v>4.26993073E8</v>
      </c>
      <c r="D3560" s="2" t="s">
        <v>607</v>
      </c>
      <c r="E3560" s="1" t="s">
        <v>699</v>
      </c>
      <c r="F3560" s="14">
        <v>0.0</v>
      </c>
      <c r="G3560" s="15"/>
      <c r="H3560" s="16"/>
      <c r="I3560" s="14"/>
    </row>
    <row r="3561">
      <c r="A3561" s="14">
        <v>661.0</v>
      </c>
      <c r="B3561" s="14">
        <v>9.9707193E7</v>
      </c>
      <c r="C3561" s="14">
        <v>4.49138569E8</v>
      </c>
      <c r="D3561" s="2" t="s">
        <v>605</v>
      </c>
      <c r="E3561" s="1" t="s">
        <v>699</v>
      </c>
      <c r="F3561" s="14">
        <v>0.0</v>
      </c>
      <c r="G3561" s="15"/>
      <c r="H3561" s="16"/>
      <c r="I3561" s="14"/>
    </row>
    <row r="3562">
      <c r="A3562" s="14">
        <v>173.0</v>
      </c>
      <c r="B3562" s="14">
        <v>9.9869489E7</v>
      </c>
      <c r="C3562" s="14">
        <v>4.27997037E8</v>
      </c>
      <c r="D3562" s="2" t="s">
        <v>600</v>
      </c>
      <c r="E3562" s="1" t="s">
        <v>699</v>
      </c>
      <c r="F3562" s="14">
        <v>0.0</v>
      </c>
      <c r="G3562" s="15"/>
      <c r="H3562" s="16"/>
      <c r="I3562" s="14"/>
    </row>
    <row r="3563">
      <c r="A3563" s="14">
        <v>210.0</v>
      </c>
      <c r="B3563" s="14">
        <v>9.9960596E7</v>
      </c>
      <c r="C3563" s="14">
        <v>4.28268439E8</v>
      </c>
      <c r="D3563" s="2" t="s">
        <v>593</v>
      </c>
      <c r="E3563" s="1" t="s">
        <v>699</v>
      </c>
      <c r="F3563" s="14">
        <v>0.0</v>
      </c>
      <c r="G3563" s="15"/>
      <c r="H3563" s="16"/>
      <c r="I3563" s="14"/>
    </row>
    <row r="3564">
      <c r="A3564" s="14">
        <v>392.0</v>
      </c>
      <c r="B3564" s="14">
        <v>1.00340131E8</v>
      </c>
      <c r="C3564" s="14">
        <v>4.29965963E8</v>
      </c>
      <c r="D3564" s="2" t="s">
        <v>572</v>
      </c>
      <c r="E3564" s="1" t="s">
        <v>699</v>
      </c>
      <c r="F3564" s="14">
        <v>0.0</v>
      </c>
      <c r="G3564" s="15"/>
      <c r="H3564" s="16"/>
      <c r="I3564" s="14"/>
    </row>
    <row r="3565">
      <c r="A3565" s="14">
        <v>173.0</v>
      </c>
      <c r="B3565" s="14">
        <v>1.00566787E8</v>
      </c>
      <c r="C3565" s="14">
        <v>4.31006549E8</v>
      </c>
      <c r="D3565" s="2" t="s">
        <v>555</v>
      </c>
      <c r="E3565" s="1" t="s">
        <v>699</v>
      </c>
      <c r="F3565" s="14">
        <v>0.0</v>
      </c>
      <c r="G3565" s="15"/>
      <c r="H3565" s="16"/>
      <c r="I3565" s="14"/>
    </row>
    <row r="3566">
      <c r="A3566" s="14">
        <v>244.0</v>
      </c>
      <c r="B3566" s="14">
        <v>1.00716845E8</v>
      </c>
      <c r="C3566" s="14">
        <v>4.32063884E8</v>
      </c>
      <c r="D3566" s="2" t="s">
        <v>543</v>
      </c>
      <c r="E3566" s="1" t="s">
        <v>699</v>
      </c>
      <c r="F3566" s="14">
        <v>0.0</v>
      </c>
      <c r="G3566" s="15"/>
      <c r="H3566" s="16"/>
      <c r="I3566" s="14"/>
    </row>
    <row r="3567">
      <c r="A3567" s="14">
        <v>602.0</v>
      </c>
      <c r="B3567" s="14">
        <v>1.00724355E8</v>
      </c>
      <c r="C3567" s="14">
        <v>4.32717717E8</v>
      </c>
      <c r="D3567" s="2" t="s">
        <v>540</v>
      </c>
      <c r="E3567" s="1" t="s">
        <v>699</v>
      </c>
      <c r="F3567" s="14">
        <v>0.0</v>
      </c>
      <c r="G3567" s="15"/>
      <c r="H3567" s="16"/>
      <c r="I3567" s="14"/>
    </row>
    <row r="3568">
      <c r="A3568" s="14">
        <v>610.0</v>
      </c>
      <c r="B3568" s="14">
        <v>1.00921712E8</v>
      </c>
      <c r="C3568" s="14">
        <v>4.3333826E8</v>
      </c>
      <c r="D3568" s="2" t="s">
        <v>532</v>
      </c>
      <c r="E3568" s="1" t="s">
        <v>699</v>
      </c>
      <c r="F3568" s="14">
        <v>0.0</v>
      </c>
      <c r="G3568" s="15"/>
      <c r="H3568" s="16"/>
      <c r="I3568" s="14"/>
    </row>
    <row r="3569">
      <c r="A3569" s="14">
        <v>593.0</v>
      </c>
      <c r="B3569" s="14">
        <v>1.01173862E8</v>
      </c>
      <c r="C3569" s="14">
        <v>4.34161024E8</v>
      </c>
      <c r="D3569" s="2" t="s">
        <v>517</v>
      </c>
      <c r="E3569" s="1" t="s">
        <v>699</v>
      </c>
      <c r="F3569" s="14">
        <v>0.0</v>
      </c>
      <c r="G3569" s="15"/>
      <c r="H3569" s="16"/>
      <c r="I3569" s="14"/>
    </row>
    <row r="3570">
      <c r="A3570" s="14">
        <v>488.0</v>
      </c>
      <c r="B3570" s="14">
        <v>1.01453042E8</v>
      </c>
      <c r="C3570" s="14">
        <v>4.35163726E8</v>
      </c>
      <c r="D3570" s="2" t="s">
        <v>501</v>
      </c>
      <c r="E3570" s="1" t="s">
        <v>699</v>
      </c>
      <c r="F3570" s="14">
        <v>0.0</v>
      </c>
      <c r="G3570" s="15"/>
      <c r="H3570" s="16"/>
      <c r="I3570" s="14"/>
    </row>
    <row r="3571">
      <c r="A3571" s="14">
        <v>571.0</v>
      </c>
      <c r="B3571" s="14">
        <v>1.02097895E8</v>
      </c>
      <c r="C3571" s="14">
        <v>4.3902871E8</v>
      </c>
      <c r="D3571" s="2" t="s">
        <v>456</v>
      </c>
      <c r="E3571" s="1" t="s">
        <v>699</v>
      </c>
      <c r="F3571" s="14">
        <v>0.0</v>
      </c>
      <c r="G3571" s="15"/>
      <c r="H3571" s="16"/>
      <c r="I3571" s="14"/>
    </row>
    <row r="3572">
      <c r="A3572" s="14">
        <v>173.0</v>
      </c>
      <c r="B3572" s="14">
        <v>1.02119768E8</v>
      </c>
      <c r="C3572" s="14">
        <v>4.3867058E8</v>
      </c>
      <c r="D3572" s="2" t="s">
        <v>454</v>
      </c>
      <c r="E3572" s="1" t="s">
        <v>699</v>
      </c>
      <c r="F3572" s="14">
        <v>0.0</v>
      </c>
      <c r="G3572" s="15"/>
      <c r="H3572" s="16"/>
      <c r="I3572" s="14"/>
    </row>
    <row r="3573">
      <c r="A3573" s="14">
        <v>578.0</v>
      </c>
      <c r="B3573" s="14">
        <v>1.02164483E8</v>
      </c>
      <c r="C3573" s="14">
        <v>4.38899735E8</v>
      </c>
      <c r="D3573" s="2" t="s">
        <v>453</v>
      </c>
      <c r="E3573" s="1" t="s">
        <v>699</v>
      </c>
      <c r="F3573" s="14">
        <v>0.0</v>
      </c>
      <c r="G3573" s="15"/>
      <c r="H3573" s="16"/>
      <c r="I3573" s="14"/>
    </row>
    <row r="3574">
      <c r="A3574" s="14">
        <v>410.0</v>
      </c>
      <c r="B3574" s="14">
        <v>1.03117344E8</v>
      </c>
      <c r="C3574" s="14">
        <v>4.43450068E8</v>
      </c>
      <c r="D3574" s="2" t="s">
        <v>415</v>
      </c>
      <c r="E3574" s="1" t="s">
        <v>699</v>
      </c>
      <c r="F3574" s="14">
        <v>0.0</v>
      </c>
      <c r="G3574" s="15"/>
      <c r="H3574" s="16"/>
      <c r="I3574" s="14"/>
    </row>
    <row r="3575">
      <c r="A3575" s="14">
        <v>173.0</v>
      </c>
      <c r="B3575" s="14">
        <v>1.03126782E8</v>
      </c>
      <c r="C3575" s="14">
        <v>4.43475312E8</v>
      </c>
      <c r="D3575" s="2" t="s">
        <v>411</v>
      </c>
      <c r="E3575" s="1" t="s">
        <v>699</v>
      </c>
      <c r="F3575" s="14">
        <v>0.0</v>
      </c>
      <c r="G3575" s="15"/>
      <c r="H3575" s="16"/>
      <c r="I3575" s="14"/>
    </row>
    <row r="3576">
      <c r="A3576" s="14">
        <v>557.0</v>
      </c>
      <c r="B3576" s="14">
        <v>1.03387311E8</v>
      </c>
      <c r="C3576" s="14">
        <v>4.44985786E8</v>
      </c>
      <c r="D3576" s="2" t="s">
        <v>403</v>
      </c>
      <c r="E3576" s="1" t="s">
        <v>699</v>
      </c>
      <c r="F3576" s="14">
        <v>0.0</v>
      </c>
      <c r="G3576" s="15"/>
      <c r="H3576" s="16"/>
      <c r="I3576" s="14"/>
    </row>
    <row r="3577">
      <c r="A3577" s="14">
        <v>410.0</v>
      </c>
      <c r="B3577" s="14">
        <v>1.03496748E8</v>
      </c>
      <c r="C3577" s="14">
        <v>4.4543642E8</v>
      </c>
      <c r="D3577" s="2" t="s">
        <v>400</v>
      </c>
      <c r="E3577" s="1" t="s">
        <v>699</v>
      </c>
      <c r="F3577" s="14">
        <v>0.0</v>
      </c>
      <c r="G3577" s="15"/>
      <c r="H3577" s="16"/>
      <c r="I3577" s="14"/>
    </row>
    <row r="3578">
      <c r="A3578" s="14">
        <v>672.0</v>
      </c>
      <c r="B3578" s="14">
        <v>1.03725911E8</v>
      </c>
      <c r="C3578" s="14">
        <v>4.46143927E8</v>
      </c>
      <c r="D3578" s="2" t="s">
        <v>392</v>
      </c>
      <c r="E3578" s="1" t="s">
        <v>699</v>
      </c>
      <c r="F3578" s="14">
        <v>0.0</v>
      </c>
      <c r="G3578" s="15"/>
      <c r="H3578" s="16"/>
      <c r="I3578" s="14"/>
    </row>
    <row r="3579">
      <c r="A3579" s="14">
        <v>484.0</v>
      </c>
      <c r="B3579" s="14">
        <v>1.03871153E8</v>
      </c>
      <c r="C3579" s="14">
        <v>4.47626009E8</v>
      </c>
      <c r="D3579" s="2" t="s">
        <v>386</v>
      </c>
      <c r="E3579" s="1" t="s">
        <v>699</v>
      </c>
      <c r="F3579" s="14">
        <v>0.0</v>
      </c>
      <c r="G3579" s="15"/>
      <c r="H3579" s="16"/>
      <c r="I3579" s="14"/>
    </row>
    <row r="3580">
      <c r="A3580" s="14">
        <v>671.0</v>
      </c>
      <c r="B3580" s="14">
        <v>1.04930071E8</v>
      </c>
      <c r="C3580" s="14">
        <v>4.52445468E8</v>
      </c>
      <c r="D3580" s="2" t="s">
        <v>349</v>
      </c>
      <c r="E3580" s="1" t="s">
        <v>699</v>
      </c>
      <c r="F3580" s="14">
        <v>0.0</v>
      </c>
      <c r="G3580" s="15"/>
      <c r="H3580" s="16"/>
      <c r="I3580" s="14"/>
    </row>
    <row r="3581">
      <c r="A3581" s="14">
        <v>498.0</v>
      </c>
      <c r="B3581" s="14">
        <v>1.05550502E8</v>
      </c>
      <c r="C3581" s="14">
        <v>4.54648406E8</v>
      </c>
      <c r="D3581" s="2" t="s">
        <v>329</v>
      </c>
      <c r="E3581" s="1" t="s">
        <v>699</v>
      </c>
      <c r="F3581" s="14">
        <v>0.0</v>
      </c>
      <c r="G3581" s="15"/>
      <c r="H3581" s="16"/>
      <c r="I3581" s="14"/>
    </row>
    <row r="3582">
      <c r="A3582" s="14">
        <v>571.0</v>
      </c>
      <c r="B3582" s="14">
        <v>1.05736349E8</v>
      </c>
      <c r="C3582" s="14">
        <v>4.55739966E8</v>
      </c>
      <c r="D3582" s="2" t="s">
        <v>318</v>
      </c>
      <c r="E3582" s="1" t="s">
        <v>699</v>
      </c>
      <c r="F3582" s="14">
        <v>0.0</v>
      </c>
      <c r="G3582" s="15"/>
      <c r="H3582" s="16"/>
      <c r="I3582" s="14"/>
    </row>
    <row r="3583">
      <c r="A3583" s="14">
        <v>531.0</v>
      </c>
      <c r="B3583" s="14">
        <v>1.0633368E8</v>
      </c>
      <c r="C3583" s="14">
        <v>4.59192869E8</v>
      </c>
      <c r="D3583" s="2" t="s">
        <v>294</v>
      </c>
      <c r="E3583" s="1" t="s">
        <v>699</v>
      </c>
      <c r="F3583" s="14">
        <v>0.0</v>
      </c>
      <c r="G3583" s="15"/>
      <c r="H3583" s="16"/>
      <c r="I3583" s="14"/>
    </row>
    <row r="3584">
      <c r="A3584" s="14">
        <v>602.0</v>
      </c>
      <c r="B3584" s="14">
        <v>1.06361908E8</v>
      </c>
      <c r="C3584" s="14">
        <v>4.58525651E8</v>
      </c>
      <c r="D3584" s="2" t="s">
        <v>293</v>
      </c>
      <c r="E3584" s="1" t="s">
        <v>699</v>
      </c>
      <c r="F3584" s="14">
        <v>0.0</v>
      </c>
      <c r="G3584" s="15"/>
      <c r="H3584" s="16"/>
      <c r="I3584" s="14"/>
    </row>
    <row r="3585">
      <c r="A3585" s="14">
        <v>337.0</v>
      </c>
      <c r="B3585" s="14">
        <v>1.06479568E8</v>
      </c>
      <c r="C3585" s="14">
        <v>4.59165656E8</v>
      </c>
      <c r="D3585" s="2" t="s">
        <v>286</v>
      </c>
      <c r="E3585" s="1" t="s">
        <v>699</v>
      </c>
      <c r="F3585" s="14">
        <v>0.0</v>
      </c>
      <c r="G3585" s="15"/>
      <c r="H3585" s="16"/>
      <c r="I3585" s="14"/>
    </row>
    <row r="3586">
      <c r="A3586" s="14">
        <v>213.0</v>
      </c>
      <c r="B3586" s="14">
        <v>1.06630975E8</v>
      </c>
      <c r="C3586" s="14">
        <v>4.59845205E8</v>
      </c>
      <c r="D3586" s="2" t="s">
        <v>280</v>
      </c>
      <c r="E3586" s="1" t="s">
        <v>699</v>
      </c>
      <c r="F3586" s="14">
        <v>0.0</v>
      </c>
      <c r="G3586" s="15"/>
      <c r="H3586" s="16"/>
      <c r="I3586" s="14"/>
    </row>
    <row r="3587">
      <c r="A3587" s="14">
        <v>571.0</v>
      </c>
      <c r="B3587" s="14">
        <v>1.06715117E8</v>
      </c>
      <c r="C3587" s="14">
        <v>4.60460544E8</v>
      </c>
      <c r="D3587" s="2" t="s">
        <v>275</v>
      </c>
      <c r="E3587" s="1" t="s">
        <v>699</v>
      </c>
      <c r="F3587" s="14">
        <v>0.0</v>
      </c>
      <c r="G3587" s="15"/>
      <c r="H3587" s="16"/>
      <c r="I3587" s="14"/>
    </row>
    <row r="3588">
      <c r="A3588" s="14">
        <v>571.0</v>
      </c>
      <c r="B3588" s="14">
        <v>1.06913143E8</v>
      </c>
      <c r="C3588" s="14">
        <v>4.61077323E8</v>
      </c>
      <c r="D3588" s="2" t="s">
        <v>268</v>
      </c>
      <c r="E3588" s="1" t="s">
        <v>699</v>
      </c>
      <c r="F3588" s="14">
        <v>0.0</v>
      </c>
      <c r="G3588" s="15"/>
      <c r="H3588" s="16"/>
      <c r="I3588" s="14"/>
    </row>
    <row r="3589">
      <c r="A3589" s="14">
        <v>661.0</v>
      </c>
      <c r="B3589" s="14">
        <v>1.07085586E8</v>
      </c>
      <c r="C3589" s="14">
        <v>4.62050902E8</v>
      </c>
      <c r="D3589" s="2" t="s">
        <v>267</v>
      </c>
      <c r="E3589" s="1" t="s">
        <v>699</v>
      </c>
      <c r="F3589" s="14">
        <v>0.0</v>
      </c>
      <c r="G3589" s="15"/>
      <c r="H3589" s="16"/>
      <c r="I3589" s="14"/>
    </row>
    <row r="3590">
      <c r="A3590" s="14">
        <v>531.0</v>
      </c>
      <c r="B3590" s="14">
        <v>1.07391529E8</v>
      </c>
      <c r="C3590" s="14">
        <v>4.63589648E8</v>
      </c>
      <c r="D3590" s="2" t="s">
        <v>238</v>
      </c>
      <c r="E3590" s="1" t="s">
        <v>699</v>
      </c>
      <c r="F3590" s="14">
        <v>0.0</v>
      </c>
      <c r="G3590" s="15"/>
      <c r="H3590" s="16"/>
      <c r="I3590" s="14"/>
    </row>
    <row r="3591">
      <c r="A3591" s="14">
        <v>414.0</v>
      </c>
      <c r="B3591" s="14">
        <v>1.0764369E8</v>
      </c>
      <c r="C3591" s="14">
        <v>4.64631668E8</v>
      </c>
      <c r="D3591" s="2" t="s">
        <v>231</v>
      </c>
      <c r="E3591" s="1" t="s">
        <v>699</v>
      </c>
      <c r="F3591" s="14">
        <v>0.0</v>
      </c>
      <c r="G3591" s="15"/>
      <c r="H3591" s="16"/>
      <c r="I3591" s="14"/>
    </row>
    <row r="3592">
      <c r="A3592" s="14">
        <v>210.0</v>
      </c>
      <c r="B3592" s="14">
        <v>1.0809609E8</v>
      </c>
      <c r="C3592" s="14">
        <v>4.66956327E8</v>
      </c>
      <c r="D3592" s="2" t="s">
        <v>203</v>
      </c>
      <c r="E3592" s="1" t="s">
        <v>699</v>
      </c>
      <c r="F3592" s="14">
        <v>0.0</v>
      </c>
      <c r="G3592" s="15"/>
      <c r="H3592" s="16"/>
      <c r="I3592" s="14"/>
    </row>
    <row r="3593">
      <c r="A3593" s="14">
        <v>602.0</v>
      </c>
      <c r="B3593" s="14">
        <v>1.08109263E8</v>
      </c>
      <c r="C3593" s="14">
        <v>4.67327935E8</v>
      </c>
      <c r="D3593" s="2" t="s">
        <v>200</v>
      </c>
      <c r="E3593" s="1" t="s">
        <v>699</v>
      </c>
      <c r="F3593" s="14">
        <v>0.0</v>
      </c>
      <c r="G3593" s="15"/>
      <c r="H3593" s="16"/>
      <c r="I3593" s="14"/>
    </row>
    <row r="3594">
      <c r="A3594" s="14">
        <v>474.0</v>
      </c>
      <c r="B3594" s="14">
        <v>1.08220987E8</v>
      </c>
      <c r="C3594" s="14">
        <v>4.67680888E8</v>
      </c>
      <c r="D3594" s="2" t="s">
        <v>195</v>
      </c>
      <c r="E3594" s="1" t="s">
        <v>699</v>
      </c>
      <c r="F3594" s="14">
        <v>0.0</v>
      </c>
      <c r="G3594" s="15"/>
      <c r="H3594" s="16"/>
      <c r="I3594" s="14"/>
    </row>
    <row r="3595">
      <c r="A3595" s="14">
        <v>673.0</v>
      </c>
      <c r="B3595" s="14">
        <v>1.08267063E8</v>
      </c>
      <c r="C3595" s="14">
        <v>4.68507704E8</v>
      </c>
      <c r="D3595" s="2" t="s">
        <v>192</v>
      </c>
      <c r="E3595" s="1" t="s">
        <v>699</v>
      </c>
      <c r="F3595" s="14">
        <v>0.0</v>
      </c>
      <c r="G3595" s="15"/>
      <c r="H3595" s="16"/>
      <c r="I3595" s="14"/>
    </row>
    <row r="3596">
      <c r="A3596" s="14">
        <v>353.0</v>
      </c>
      <c r="B3596" s="14">
        <v>1.08270326E8</v>
      </c>
      <c r="C3596" s="14">
        <v>4.68165541E8</v>
      </c>
      <c r="D3596" s="2" t="s">
        <v>190</v>
      </c>
      <c r="E3596" s="1" t="s">
        <v>699</v>
      </c>
      <c r="F3596" s="14">
        <v>0.0</v>
      </c>
      <c r="G3596" s="15"/>
      <c r="H3596" s="16"/>
      <c r="I3596" s="14"/>
    </row>
    <row r="3597">
      <c r="A3597" s="14">
        <v>672.0</v>
      </c>
      <c r="B3597" s="14">
        <v>1.08326361E8</v>
      </c>
      <c r="C3597" s="14">
        <v>4.68141228E8</v>
      </c>
      <c r="D3597" s="2" t="s">
        <v>185</v>
      </c>
      <c r="E3597" s="1" t="s">
        <v>699</v>
      </c>
      <c r="F3597" s="14">
        <v>0.0</v>
      </c>
      <c r="G3597" s="15"/>
      <c r="H3597" s="16"/>
      <c r="I3597" s="14"/>
    </row>
    <row r="3598">
      <c r="A3598" s="14">
        <v>410.0</v>
      </c>
      <c r="B3598" s="14">
        <v>1.08441861E8</v>
      </c>
      <c r="C3598" s="14">
        <v>4.68563263E8</v>
      </c>
      <c r="D3598" s="2" t="s">
        <v>176</v>
      </c>
      <c r="E3598" s="1" t="s">
        <v>699</v>
      </c>
      <c r="F3598" s="14">
        <v>0.0</v>
      </c>
      <c r="G3598" s="15"/>
      <c r="H3598" s="16"/>
      <c r="I3598" s="14"/>
    </row>
    <row r="3599">
      <c r="A3599" s="14">
        <v>531.0</v>
      </c>
      <c r="B3599" s="14">
        <v>1.08656934E8</v>
      </c>
      <c r="C3599" s="14">
        <v>4.69879614E8</v>
      </c>
      <c r="D3599" s="2" t="s">
        <v>171</v>
      </c>
      <c r="E3599" s="1" t="s">
        <v>699</v>
      </c>
      <c r="F3599" s="14">
        <v>0.0</v>
      </c>
      <c r="G3599" s="15"/>
      <c r="H3599" s="16"/>
      <c r="I3599" s="14"/>
    </row>
    <row r="3600">
      <c r="A3600" s="14">
        <v>602.0</v>
      </c>
      <c r="B3600" s="14">
        <v>1.08921112E8</v>
      </c>
      <c r="C3600" s="14">
        <v>4.71101539E8</v>
      </c>
      <c r="D3600" s="2" t="s">
        <v>155</v>
      </c>
      <c r="E3600" s="1" t="s">
        <v>699</v>
      </c>
      <c r="F3600" s="14">
        <v>0.0</v>
      </c>
      <c r="G3600" s="15"/>
      <c r="H3600" s="16"/>
      <c r="I3600" s="14"/>
    </row>
    <row r="3601">
      <c r="A3601" s="14">
        <v>602.0</v>
      </c>
      <c r="B3601" s="14">
        <v>1.09134818E8</v>
      </c>
      <c r="C3601" s="14">
        <v>4.72072568E8</v>
      </c>
      <c r="D3601" s="2" t="s">
        <v>140</v>
      </c>
      <c r="E3601" s="1" t="s">
        <v>699</v>
      </c>
      <c r="F3601" s="14">
        <v>0.0</v>
      </c>
      <c r="G3601" s="15"/>
      <c r="H3601" s="16"/>
      <c r="I3601" s="14"/>
    </row>
    <row r="3602">
      <c r="A3602" s="14">
        <v>565.0</v>
      </c>
      <c r="B3602" s="14">
        <v>1.09536931E8</v>
      </c>
      <c r="C3602" s="14">
        <v>4.74008583E8</v>
      </c>
      <c r="D3602" s="2" t="s">
        <v>108</v>
      </c>
      <c r="E3602" s="1" t="s">
        <v>699</v>
      </c>
      <c r="F3602" s="14">
        <v>0.0</v>
      </c>
      <c r="G3602" s="15"/>
      <c r="H3602" s="16"/>
      <c r="I3602" s="14"/>
    </row>
    <row r="3603">
      <c r="A3603" s="14">
        <v>484.0</v>
      </c>
      <c r="B3603" s="14">
        <v>1.09998961E8</v>
      </c>
      <c r="C3603" s="14">
        <v>4.76230992E8</v>
      </c>
      <c r="D3603" s="2" t="s">
        <v>92</v>
      </c>
      <c r="E3603" s="1" t="s">
        <v>699</v>
      </c>
      <c r="F3603" s="14">
        <v>0.0</v>
      </c>
      <c r="G3603" s="15"/>
      <c r="H3603" s="16"/>
      <c r="I3603" s="14"/>
    </row>
    <row r="3604">
      <c r="A3604" s="14">
        <v>475.0</v>
      </c>
      <c r="B3604" s="14">
        <v>1.10188187E8</v>
      </c>
      <c r="C3604" s="14">
        <v>4.77285793E8</v>
      </c>
      <c r="D3604" s="2" t="s">
        <v>82</v>
      </c>
      <c r="E3604" s="1" t="s">
        <v>699</v>
      </c>
      <c r="F3604" s="14">
        <v>0.0</v>
      </c>
      <c r="G3604" s="15"/>
      <c r="H3604" s="16"/>
      <c r="I3604" s="14"/>
    </row>
    <row r="3605">
      <c r="A3605" s="14">
        <v>410.0</v>
      </c>
      <c r="B3605" s="14">
        <v>1.10243733E8</v>
      </c>
      <c r="C3605" s="14">
        <v>4.7770147E8</v>
      </c>
      <c r="D3605" s="2" t="s">
        <v>80</v>
      </c>
      <c r="E3605" s="1" t="s">
        <v>699</v>
      </c>
      <c r="F3605" s="14">
        <v>0.0</v>
      </c>
      <c r="G3605" s="15"/>
      <c r="H3605" s="16"/>
      <c r="I3605" s="14"/>
    </row>
    <row r="3606">
      <c r="A3606" s="14">
        <v>597.0</v>
      </c>
      <c r="B3606" s="14">
        <v>1.1063176E8</v>
      </c>
      <c r="C3606" s="14">
        <v>4.79464958E8</v>
      </c>
      <c r="D3606" s="2" t="s">
        <v>64</v>
      </c>
      <c r="E3606" s="1" t="s">
        <v>699</v>
      </c>
      <c r="F3606" s="14">
        <v>0.0</v>
      </c>
      <c r="G3606" s="15"/>
      <c r="H3606" s="16"/>
      <c r="I3606" s="14"/>
    </row>
    <row r="3607">
      <c r="A3607" s="14">
        <v>462.0</v>
      </c>
      <c r="B3607" s="14">
        <v>1.10663431E8</v>
      </c>
      <c r="C3607" s="14">
        <v>4.79499623E8</v>
      </c>
      <c r="D3607" s="2" t="s">
        <v>63</v>
      </c>
      <c r="E3607" s="1" t="s">
        <v>699</v>
      </c>
      <c r="F3607" s="14">
        <v>0.0</v>
      </c>
      <c r="G3607" s="15"/>
      <c r="H3607" s="16"/>
      <c r="I3607" s="14"/>
    </row>
    <row r="3608">
      <c r="A3608" s="14">
        <v>421.0</v>
      </c>
      <c r="B3608" s="14">
        <v>1.107938E8</v>
      </c>
      <c r="C3608" s="14">
        <v>4.80183175E8</v>
      </c>
      <c r="D3608" s="2" t="s">
        <v>62</v>
      </c>
      <c r="E3608" s="1" t="s">
        <v>699</v>
      </c>
      <c r="F3608" s="14">
        <v>0.0</v>
      </c>
      <c r="G3608" s="15"/>
      <c r="H3608" s="16"/>
      <c r="I3608" s="14"/>
    </row>
    <row r="3609">
      <c r="A3609" s="14">
        <v>410.0</v>
      </c>
      <c r="B3609" s="14">
        <v>1.10863928E8</v>
      </c>
      <c r="C3609" s="14">
        <v>4.80605861E8</v>
      </c>
      <c r="D3609" s="2" t="s">
        <v>58</v>
      </c>
      <c r="E3609" s="1" t="s">
        <v>699</v>
      </c>
      <c r="F3609" s="14">
        <v>0.0</v>
      </c>
      <c r="G3609" s="15"/>
      <c r="H3609" s="16"/>
      <c r="I3609" s="14"/>
    </row>
    <row r="3610">
      <c r="A3610" s="14">
        <v>571.0</v>
      </c>
      <c r="B3610" s="14">
        <v>1.10910703E8</v>
      </c>
      <c r="C3610" s="14">
        <v>4.81346712E8</v>
      </c>
      <c r="D3610" s="2" t="s">
        <v>56</v>
      </c>
      <c r="E3610" s="1" t="s">
        <v>699</v>
      </c>
      <c r="F3610" s="14">
        <v>0.0</v>
      </c>
      <c r="G3610" s="15"/>
      <c r="H3610" s="16"/>
      <c r="I3610" s="14"/>
    </row>
    <row r="3611">
      <c r="A3611" s="14">
        <v>630.0</v>
      </c>
      <c r="B3611" s="14">
        <v>1.10966805E8</v>
      </c>
      <c r="C3611" s="14">
        <v>4.82035305E8</v>
      </c>
      <c r="D3611" s="2" t="s">
        <v>55</v>
      </c>
      <c r="E3611" s="1" t="s">
        <v>699</v>
      </c>
      <c r="F3611" s="14">
        <v>0.0</v>
      </c>
      <c r="G3611" s="15"/>
      <c r="H3611" s="16"/>
      <c r="I3611" s="14"/>
    </row>
    <row r="3612">
      <c r="A3612" s="14">
        <v>571.0</v>
      </c>
      <c r="B3612" s="14">
        <v>1.11199175E8</v>
      </c>
      <c r="C3612" s="14">
        <v>4.82723896E8</v>
      </c>
      <c r="D3612" s="2" t="s">
        <v>48</v>
      </c>
      <c r="E3612" s="1" t="s">
        <v>699</v>
      </c>
      <c r="F3612" s="14">
        <v>0.0</v>
      </c>
      <c r="G3612" s="15"/>
      <c r="H3612" s="16"/>
      <c r="I3612" s="14"/>
    </row>
    <row r="3613">
      <c r="A3613" s="14">
        <v>504.0</v>
      </c>
      <c r="B3613" s="14">
        <v>1.11927754E8</v>
      </c>
      <c r="C3613" s="14">
        <v>4.85822341E8</v>
      </c>
      <c r="D3613" s="2" t="s">
        <v>40</v>
      </c>
      <c r="E3613" s="1" t="s">
        <v>699</v>
      </c>
      <c r="F3613" s="14">
        <v>0.0</v>
      </c>
      <c r="G3613" s="15"/>
      <c r="H3613" s="16"/>
      <c r="I3613" s="14"/>
    </row>
    <row r="3614">
      <c r="A3614" s="14">
        <v>492.0</v>
      </c>
      <c r="B3614" s="14">
        <v>1.12173021E8</v>
      </c>
      <c r="C3614" s="14">
        <v>4.87139911E8</v>
      </c>
      <c r="D3614" s="2" t="s">
        <v>36</v>
      </c>
      <c r="E3614" s="1" t="s">
        <v>699</v>
      </c>
      <c r="F3614" s="14">
        <v>0.0</v>
      </c>
      <c r="G3614" s="15"/>
      <c r="H3614" s="16"/>
      <c r="I3614" s="14"/>
    </row>
    <row r="3615">
      <c r="A3615" s="14">
        <v>671.0</v>
      </c>
      <c r="B3615" s="14">
        <v>1.13164967E8</v>
      </c>
      <c r="C3615" s="14">
        <v>4.91808169E8</v>
      </c>
      <c r="D3615" s="2" t="s">
        <v>6</v>
      </c>
      <c r="E3615" s="1" t="s">
        <v>699</v>
      </c>
      <c r="F3615" s="14">
        <v>0.0</v>
      </c>
      <c r="G3615" s="15"/>
      <c r="H3615" s="16"/>
      <c r="I3615" s="14"/>
    </row>
    <row r="3616">
      <c r="A3616" s="14">
        <v>107.0</v>
      </c>
      <c r="B3616" s="14">
        <v>52494.0</v>
      </c>
      <c r="C3616" s="14">
        <v>184240.0</v>
      </c>
      <c r="D3616" s="2" t="s">
        <v>77</v>
      </c>
      <c r="E3616" s="1" t="s">
        <v>121</v>
      </c>
      <c r="F3616" s="14">
        <v>0.0</v>
      </c>
      <c r="G3616" s="15"/>
      <c r="H3616" s="16"/>
      <c r="I3616" s="14"/>
    </row>
    <row r="3617">
      <c r="A3617" s="14">
        <v>120.0</v>
      </c>
      <c r="B3617" s="14">
        <v>310388.0</v>
      </c>
      <c r="C3617" s="14">
        <v>1.91841056E8</v>
      </c>
      <c r="D3617" s="2" t="s">
        <v>442</v>
      </c>
      <c r="E3617" s="1" t="s">
        <v>121</v>
      </c>
      <c r="F3617" s="14">
        <v>0.0</v>
      </c>
      <c r="G3617" s="15"/>
      <c r="H3617" s="16"/>
      <c r="I3617" s="14"/>
    </row>
    <row r="3618">
      <c r="A3618" s="14">
        <v>223.0</v>
      </c>
      <c r="B3618" s="14">
        <v>386338.0</v>
      </c>
      <c r="C3618" s="14">
        <v>1711043.0</v>
      </c>
      <c r="D3618" s="2" t="s">
        <v>88</v>
      </c>
      <c r="E3618" s="1" t="s">
        <v>121</v>
      </c>
      <c r="F3618" s="14">
        <v>0.0</v>
      </c>
      <c r="G3618" s="15"/>
      <c r="H3618" s="16"/>
      <c r="I3618" s="14"/>
    </row>
    <row r="3619">
      <c r="A3619" s="14">
        <v>173.0</v>
      </c>
      <c r="B3619" s="14">
        <v>432565.0</v>
      </c>
      <c r="C3619" s="14">
        <v>1979172.0</v>
      </c>
      <c r="D3619" s="2" t="s">
        <v>95</v>
      </c>
      <c r="E3619" s="1" t="s">
        <v>121</v>
      </c>
      <c r="F3619" s="14">
        <v>0.0</v>
      </c>
      <c r="G3619" s="15"/>
      <c r="H3619" s="16"/>
      <c r="I3619" s="14"/>
    </row>
    <row r="3620">
      <c r="A3620" s="14">
        <v>403.0</v>
      </c>
      <c r="B3620" s="14">
        <v>679370.0</v>
      </c>
      <c r="C3620" s="14">
        <v>3291340.0</v>
      </c>
      <c r="D3620" s="2" t="s">
        <v>102</v>
      </c>
      <c r="E3620" s="1" t="s">
        <v>121</v>
      </c>
      <c r="F3620" s="14">
        <v>0.0</v>
      </c>
      <c r="G3620" s="15"/>
      <c r="H3620" s="16"/>
      <c r="I3620" s="14"/>
    </row>
    <row r="3621">
      <c r="A3621" s="14">
        <v>340.0</v>
      </c>
      <c r="B3621" s="14">
        <v>692256.0</v>
      </c>
      <c r="C3621" s="14">
        <v>3375729.0</v>
      </c>
      <c r="D3621" s="2" t="s">
        <v>105</v>
      </c>
      <c r="E3621" s="1" t="s">
        <v>121</v>
      </c>
      <c r="F3621" s="14">
        <v>0.0</v>
      </c>
      <c r="G3621" s="15"/>
      <c r="H3621" s="16"/>
      <c r="I3621" s="14"/>
    </row>
    <row r="3622">
      <c r="A3622" s="14">
        <v>223.0</v>
      </c>
      <c r="B3622" s="14">
        <v>875223.0</v>
      </c>
      <c r="C3622" s="14">
        <v>4119396.0</v>
      </c>
      <c r="D3622" s="2" t="s">
        <v>114</v>
      </c>
      <c r="E3622" s="1" t="s">
        <v>121</v>
      </c>
      <c r="F3622" s="14">
        <v>0.0</v>
      </c>
      <c r="G3622" s="15"/>
      <c r="H3622" s="16"/>
      <c r="I3622" s="14"/>
    </row>
    <row r="3623">
      <c r="A3623" s="14">
        <v>285.0</v>
      </c>
      <c r="B3623" s="14">
        <v>880142.0</v>
      </c>
      <c r="C3623" s="14">
        <v>4129412.0</v>
      </c>
      <c r="D3623" s="2" t="s">
        <v>116</v>
      </c>
      <c r="E3623" s="1" t="s">
        <v>121</v>
      </c>
      <c r="F3623" s="14">
        <v>0.0</v>
      </c>
      <c r="G3623" s="15"/>
      <c r="H3623" s="16"/>
      <c r="I3623" s="14"/>
    </row>
    <row r="3624">
      <c r="A3624" s="14">
        <v>173.0</v>
      </c>
      <c r="B3624" s="14">
        <v>900136.0</v>
      </c>
      <c r="C3624" s="14">
        <v>4248588.0</v>
      </c>
      <c r="D3624" s="2" t="s">
        <v>118</v>
      </c>
      <c r="E3624" s="1" t="s">
        <v>121</v>
      </c>
      <c r="F3624" s="14">
        <v>0.0</v>
      </c>
      <c r="G3624" s="15"/>
      <c r="H3624" s="16"/>
      <c r="I3624" s="14"/>
    </row>
    <row r="3625">
      <c r="A3625" s="14">
        <v>488.0</v>
      </c>
      <c r="B3625" s="14">
        <v>924696.0</v>
      </c>
      <c r="C3625" s="14">
        <v>4.25421363E8</v>
      </c>
      <c r="D3625" s="2" t="s">
        <v>528</v>
      </c>
      <c r="E3625" s="1" t="s">
        <v>121</v>
      </c>
      <c r="F3625" s="14">
        <v>0.0</v>
      </c>
      <c r="G3625" s="15"/>
      <c r="H3625" s="16"/>
      <c r="I3625" s="14"/>
    </row>
    <row r="3626">
      <c r="A3626" s="14">
        <v>142.0</v>
      </c>
      <c r="B3626" s="14">
        <v>1118330.0</v>
      </c>
      <c r="C3626" s="14">
        <v>5067908.0</v>
      </c>
      <c r="D3626" s="2" t="s">
        <v>126</v>
      </c>
      <c r="E3626" s="1" t="s">
        <v>121</v>
      </c>
      <c r="F3626" s="14">
        <v>0.0</v>
      </c>
      <c r="G3626" s="15"/>
      <c r="H3626" s="16"/>
      <c r="I3626" s="14"/>
    </row>
    <row r="3627">
      <c r="A3627" s="14">
        <v>527.0</v>
      </c>
      <c r="B3627" s="14">
        <v>1145540.0</v>
      </c>
      <c r="C3627" s="14">
        <v>5153546.0</v>
      </c>
      <c r="D3627" s="2" t="s">
        <v>129</v>
      </c>
      <c r="E3627" s="1" t="s">
        <v>121</v>
      </c>
      <c r="F3627" s="14">
        <v>0.0</v>
      </c>
      <c r="G3627" s="15"/>
      <c r="H3627" s="16"/>
      <c r="I3627" s="14"/>
    </row>
    <row r="3628">
      <c r="A3628" s="14">
        <v>555.0</v>
      </c>
      <c r="B3628" s="14">
        <v>1207466.0</v>
      </c>
      <c r="C3628" s="14">
        <v>5409900.0</v>
      </c>
      <c r="D3628" s="2" t="s">
        <v>131</v>
      </c>
      <c r="E3628" s="1" t="s">
        <v>121</v>
      </c>
      <c r="F3628" s="14">
        <v>0.0</v>
      </c>
      <c r="G3628" s="15"/>
      <c r="H3628" s="16"/>
      <c r="I3628" s="14"/>
    </row>
    <row r="3629">
      <c r="A3629" s="14">
        <v>388.0</v>
      </c>
      <c r="B3629" s="14">
        <v>1287638.0</v>
      </c>
      <c r="C3629" s="14">
        <v>5743652.0</v>
      </c>
      <c r="D3629" s="2" t="s">
        <v>134</v>
      </c>
      <c r="E3629" s="1" t="s">
        <v>121</v>
      </c>
      <c r="F3629" s="14">
        <v>0.0</v>
      </c>
      <c r="G3629" s="15"/>
      <c r="H3629" s="16"/>
      <c r="I3629" s="14"/>
    </row>
    <row r="3630">
      <c r="A3630" s="14">
        <v>518.0</v>
      </c>
      <c r="B3630" s="14">
        <v>1354110.0</v>
      </c>
      <c r="C3630" s="14">
        <v>6014590.0</v>
      </c>
      <c r="D3630" s="2" t="s">
        <v>138</v>
      </c>
      <c r="E3630" s="1" t="s">
        <v>121</v>
      </c>
      <c r="F3630" s="14">
        <v>0.0</v>
      </c>
      <c r="G3630" s="15"/>
      <c r="H3630" s="16"/>
      <c r="I3630" s="14"/>
    </row>
    <row r="3631">
      <c r="A3631" s="14">
        <v>378.0</v>
      </c>
      <c r="B3631" s="14">
        <v>1388016.0</v>
      </c>
      <c r="C3631" s="14">
        <v>6152718.0</v>
      </c>
      <c r="D3631" s="2" t="s">
        <v>141</v>
      </c>
      <c r="E3631" s="1" t="s">
        <v>121</v>
      </c>
      <c r="F3631" s="14">
        <v>0.0</v>
      </c>
      <c r="G3631" s="15"/>
      <c r="H3631" s="16"/>
      <c r="I3631" s="14"/>
    </row>
    <row r="3632">
      <c r="A3632" s="14">
        <v>504.0</v>
      </c>
      <c r="B3632" s="14">
        <v>1446491.0</v>
      </c>
      <c r="C3632" s="14">
        <v>6395644.0</v>
      </c>
      <c r="D3632" s="2" t="s">
        <v>143</v>
      </c>
      <c r="E3632" s="1" t="s">
        <v>121</v>
      </c>
      <c r="F3632" s="14">
        <v>0.0</v>
      </c>
      <c r="G3632" s="15"/>
      <c r="H3632" s="16"/>
      <c r="I3632" s="14"/>
    </row>
    <row r="3633">
      <c r="A3633" s="14">
        <v>379.0</v>
      </c>
      <c r="B3633" s="14">
        <v>1680870.0</v>
      </c>
      <c r="C3633" s="14">
        <v>7353773.0</v>
      </c>
      <c r="D3633" s="2" t="s">
        <v>145</v>
      </c>
      <c r="E3633" s="1" t="s">
        <v>121</v>
      </c>
      <c r="F3633" s="14">
        <v>0.0</v>
      </c>
      <c r="G3633" s="15"/>
      <c r="H3633" s="16"/>
      <c r="I3633" s="14"/>
    </row>
    <row r="3634">
      <c r="A3634" s="14">
        <v>564.0</v>
      </c>
      <c r="B3634" s="14">
        <v>1753735.0</v>
      </c>
      <c r="C3634" s="14">
        <v>7656895.0</v>
      </c>
      <c r="D3634" s="2" t="s">
        <v>151</v>
      </c>
      <c r="E3634" s="1" t="s">
        <v>121</v>
      </c>
      <c r="F3634" s="14">
        <v>0.0</v>
      </c>
      <c r="G3634" s="15"/>
      <c r="H3634" s="16"/>
      <c r="I3634" s="14"/>
    </row>
    <row r="3635">
      <c r="A3635" s="14">
        <v>460.0</v>
      </c>
      <c r="B3635" s="14">
        <v>1773007.0</v>
      </c>
      <c r="C3635" s="14">
        <v>7732258.0</v>
      </c>
      <c r="D3635" s="2" t="s">
        <v>154</v>
      </c>
      <c r="E3635" s="1" t="s">
        <v>121</v>
      </c>
      <c r="F3635" s="14">
        <v>0.0</v>
      </c>
      <c r="G3635" s="15"/>
      <c r="H3635" s="16"/>
      <c r="I3635" s="14"/>
    </row>
    <row r="3636">
      <c r="A3636" s="14">
        <v>571.0</v>
      </c>
      <c r="B3636" s="14">
        <v>1835578.0</v>
      </c>
      <c r="C3636" s="14">
        <v>2.83138233E8</v>
      </c>
      <c r="D3636" s="2" t="s">
        <v>471</v>
      </c>
      <c r="E3636" s="1" t="s">
        <v>121</v>
      </c>
      <c r="F3636" s="14">
        <v>0.0</v>
      </c>
      <c r="G3636" s="15"/>
      <c r="H3636" s="16"/>
      <c r="I3636" s="14"/>
    </row>
    <row r="3637">
      <c r="A3637" s="14">
        <v>676.0</v>
      </c>
      <c r="B3637" s="14">
        <v>1887714.0</v>
      </c>
      <c r="C3637" s="14">
        <v>2.2876757E7</v>
      </c>
      <c r="D3637" s="2" t="s">
        <v>289</v>
      </c>
      <c r="E3637" s="1" t="s">
        <v>121</v>
      </c>
      <c r="F3637" s="14">
        <v>0.0</v>
      </c>
      <c r="G3637" s="15"/>
      <c r="H3637" s="16"/>
      <c r="I3637" s="14"/>
    </row>
    <row r="3638">
      <c r="A3638" s="14">
        <v>503.0</v>
      </c>
      <c r="B3638" s="14">
        <v>2107274.0</v>
      </c>
      <c r="C3638" s="14">
        <v>9102592.0</v>
      </c>
      <c r="D3638" s="2" t="s">
        <v>168</v>
      </c>
      <c r="E3638" s="1" t="s">
        <v>121</v>
      </c>
      <c r="F3638" s="14">
        <v>0.0</v>
      </c>
      <c r="G3638" s="15"/>
      <c r="H3638" s="16"/>
      <c r="I3638" s="14"/>
    </row>
    <row r="3639">
      <c r="A3639" s="14">
        <v>210.0</v>
      </c>
      <c r="B3639" s="14">
        <v>2145214.0</v>
      </c>
      <c r="C3639" s="14">
        <v>9211835.0</v>
      </c>
      <c r="D3639" s="2" t="s">
        <v>170</v>
      </c>
      <c r="E3639" s="1" t="s">
        <v>121</v>
      </c>
      <c r="F3639" s="14">
        <v>0.0</v>
      </c>
      <c r="G3639" s="15"/>
      <c r="H3639" s="16"/>
      <c r="I3639" s="14"/>
    </row>
    <row r="3640">
      <c r="A3640" s="14">
        <v>571.0</v>
      </c>
      <c r="B3640" s="14">
        <v>2264773.0</v>
      </c>
      <c r="C3640" s="14">
        <v>9728443.0</v>
      </c>
      <c r="D3640" s="2" t="s">
        <v>173</v>
      </c>
      <c r="E3640" s="1" t="s">
        <v>121</v>
      </c>
      <c r="F3640" s="14">
        <v>0.0</v>
      </c>
      <c r="G3640" s="15"/>
      <c r="H3640" s="16"/>
      <c r="I3640" s="14"/>
    </row>
    <row r="3641">
      <c r="A3641" s="14">
        <v>288.0</v>
      </c>
      <c r="B3641" s="14">
        <v>2350167.0</v>
      </c>
      <c r="C3641" s="14">
        <v>7.241262E7</v>
      </c>
      <c r="D3641" s="2" t="s">
        <v>380</v>
      </c>
      <c r="E3641" s="1" t="s">
        <v>121</v>
      </c>
      <c r="F3641" s="14">
        <v>0.0</v>
      </c>
      <c r="G3641" s="15"/>
      <c r="H3641" s="16"/>
      <c r="I3641" s="14"/>
    </row>
    <row r="3642">
      <c r="A3642" s="14">
        <v>475.0</v>
      </c>
      <c r="B3642" s="14">
        <v>2390070.0</v>
      </c>
      <c r="C3642" s="14">
        <v>1.0135648E7</v>
      </c>
      <c r="D3642" s="2" t="s">
        <v>178</v>
      </c>
      <c r="E3642" s="1" t="s">
        <v>121</v>
      </c>
      <c r="F3642" s="14">
        <v>0.0</v>
      </c>
      <c r="G3642" s="15"/>
      <c r="H3642" s="16"/>
      <c r="I3642" s="14"/>
    </row>
    <row r="3643">
      <c r="A3643" s="14">
        <v>571.0</v>
      </c>
      <c r="B3643" s="14">
        <v>2401612.0</v>
      </c>
      <c r="C3643" s="14">
        <v>4.55398434E8</v>
      </c>
      <c r="D3643" s="2" t="s">
        <v>542</v>
      </c>
      <c r="E3643" s="1" t="s">
        <v>121</v>
      </c>
      <c r="F3643" s="14">
        <v>0.0</v>
      </c>
      <c r="G3643" s="15"/>
      <c r="H3643" s="16"/>
      <c r="I3643" s="14"/>
    </row>
    <row r="3644">
      <c r="A3644" s="14">
        <v>203.0</v>
      </c>
      <c r="B3644" s="14">
        <v>2638590.0</v>
      </c>
      <c r="C3644" s="14">
        <v>1.2975626E7</v>
      </c>
      <c r="D3644" s="2" t="s">
        <v>207</v>
      </c>
      <c r="E3644" s="1" t="s">
        <v>121</v>
      </c>
      <c r="F3644" s="14">
        <v>0.0</v>
      </c>
      <c r="G3644" s="15"/>
      <c r="H3644" s="16"/>
      <c r="I3644" s="14"/>
    </row>
    <row r="3645">
      <c r="A3645" s="14">
        <v>410.0</v>
      </c>
      <c r="B3645" s="14">
        <v>2664244.0</v>
      </c>
      <c r="C3645" s="14">
        <v>1.1287397E7</v>
      </c>
      <c r="D3645" s="2" t="s">
        <v>189</v>
      </c>
      <c r="E3645" s="1" t="s">
        <v>121</v>
      </c>
      <c r="F3645" s="14">
        <v>0.0</v>
      </c>
      <c r="G3645" s="15"/>
      <c r="H3645" s="16"/>
      <c r="I3645" s="14"/>
    </row>
    <row r="3646">
      <c r="A3646" s="14">
        <v>401.0</v>
      </c>
      <c r="B3646" s="14">
        <v>2834692.0</v>
      </c>
      <c r="C3646" s="14">
        <v>1.1987739E7</v>
      </c>
      <c r="D3646" s="2" t="s">
        <v>4987</v>
      </c>
      <c r="E3646" s="1" t="s">
        <v>121</v>
      </c>
      <c r="F3646" s="14">
        <v>0.0</v>
      </c>
      <c r="G3646" s="15"/>
      <c r="H3646" s="16"/>
      <c r="I3646" s="14"/>
    </row>
    <row r="3647">
      <c r="A3647" s="14">
        <v>403.0</v>
      </c>
      <c r="B3647" s="14">
        <v>2838210.0</v>
      </c>
      <c r="C3647" s="14">
        <v>1.1991438E7</v>
      </c>
      <c r="D3647" s="2" t="s">
        <v>196</v>
      </c>
      <c r="E3647" s="1" t="s">
        <v>121</v>
      </c>
      <c r="F3647" s="14">
        <v>0.0</v>
      </c>
      <c r="G3647" s="15"/>
      <c r="H3647" s="16"/>
      <c r="I3647" s="14"/>
    </row>
    <row r="3648">
      <c r="A3648" s="14">
        <v>142.0</v>
      </c>
      <c r="B3648" s="14">
        <v>2881910.0</v>
      </c>
      <c r="C3648" s="14">
        <v>1.2261129E7</v>
      </c>
      <c r="D3648" s="2" t="s">
        <v>202</v>
      </c>
      <c r="E3648" s="1" t="s">
        <v>121</v>
      </c>
      <c r="F3648" s="14">
        <v>0.0</v>
      </c>
      <c r="G3648" s="15"/>
      <c r="H3648" s="16"/>
      <c r="I3648" s="14"/>
    </row>
    <row r="3649">
      <c r="A3649" s="14">
        <v>667.0</v>
      </c>
      <c r="B3649" s="14">
        <v>3116288.0</v>
      </c>
      <c r="C3649" s="14">
        <v>1.3192339E7</v>
      </c>
      <c r="D3649" s="2" t="s">
        <v>222</v>
      </c>
      <c r="E3649" s="1" t="s">
        <v>121</v>
      </c>
      <c r="F3649" s="14">
        <v>0.0</v>
      </c>
      <c r="G3649" s="15"/>
      <c r="H3649" s="16"/>
      <c r="I3649" s="14"/>
    </row>
    <row r="3650">
      <c r="A3650" s="14">
        <v>715.0</v>
      </c>
      <c r="B3650" s="14">
        <v>3158462.0</v>
      </c>
      <c r="C3650" s="14">
        <v>5.1668346E7</v>
      </c>
      <c r="D3650" s="2" t="s">
        <v>360</v>
      </c>
      <c r="E3650" s="1" t="s">
        <v>121</v>
      </c>
      <c r="F3650" s="14">
        <v>0.0</v>
      </c>
      <c r="G3650" s="15"/>
      <c r="H3650" s="16"/>
      <c r="I3650" s="14"/>
    </row>
    <row r="3651">
      <c r="A3651" s="14">
        <v>601.0</v>
      </c>
      <c r="B3651" s="14">
        <v>3345159.0</v>
      </c>
      <c r="C3651" s="14">
        <v>1.4214444E7</v>
      </c>
      <c r="D3651" s="2" t="s">
        <v>232</v>
      </c>
      <c r="E3651" s="1" t="s">
        <v>121</v>
      </c>
      <c r="F3651" s="14">
        <v>0.0</v>
      </c>
      <c r="G3651" s="15"/>
      <c r="H3651" s="16"/>
      <c r="I3651" s="14"/>
    </row>
    <row r="3652">
      <c r="A3652" s="14">
        <v>378.0</v>
      </c>
      <c r="B3652" s="14">
        <v>3556137.0</v>
      </c>
      <c r="C3652" s="14">
        <v>1.5085999E7</v>
      </c>
      <c r="D3652" s="2" t="s">
        <v>239</v>
      </c>
      <c r="E3652" s="1" t="s">
        <v>121</v>
      </c>
      <c r="F3652" s="14">
        <v>0.0</v>
      </c>
      <c r="G3652" s="15"/>
      <c r="H3652" s="16"/>
      <c r="I3652" s="14"/>
    </row>
    <row r="3653">
      <c r="A3653" s="14">
        <v>647.0</v>
      </c>
      <c r="B3653" s="14">
        <v>3592924.0</v>
      </c>
      <c r="C3653" s="14">
        <v>1.522508E7</v>
      </c>
      <c r="D3653" s="2" t="s">
        <v>240</v>
      </c>
      <c r="E3653" s="1" t="s">
        <v>121</v>
      </c>
      <c r="F3653" s="14">
        <v>0.0</v>
      </c>
      <c r="G3653" s="15"/>
      <c r="H3653" s="16"/>
      <c r="I3653" s="14"/>
    </row>
    <row r="3654">
      <c r="A3654" s="14">
        <v>504.0</v>
      </c>
      <c r="B3654" s="14">
        <v>3650581.0</v>
      </c>
      <c r="C3654" s="14">
        <v>5.1081349E7</v>
      </c>
      <c r="D3654" s="2" t="s">
        <v>353</v>
      </c>
      <c r="E3654" s="1" t="s">
        <v>121</v>
      </c>
      <c r="F3654" s="14">
        <v>0.0</v>
      </c>
      <c r="G3654" s="15"/>
      <c r="H3654" s="16"/>
      <c r="I3654" s="14"/>
    </row>
    <row r="3655">
      <c r="A3655" s="14">
        <v>225.0</v>
      </c>
      <c r="B3655" s="14">
        <v>3670236.0</v>
      </c>
      <c r="C3655" s="14">
        <v>1.5560185E7</v>
      </c>
      <c r="D3655" s="2" t="s">
        <v>4905</v>
      </c>
      <c r="E3655" s="1" t="s">
        <v>121</v>
      </c>
      <c r="F3655" s="14">
        <v>0.0</v>
      </c>
      <c r="G3655" s="15"/>
      <c r="H3655" s="16"/>
      <c r="I3655" s="14"/>
    </row>
    <row r="3656">
      <c r="A3656" s="14">
        <v>414.0</v>
      </c>
      <c r="B3656" s="14">
        <v>3786809.0</v>
      </c>
      <c r="C3656" s="14">
        <v>1.6042959E7</v>
      </c>
      <c r="D3656" s="2" t="s">
        <v>245</v>
      </c>
      <c r="E3656" s="1" t="s">
        <v>121</v>
      </c>
      <c r="F3656" s="14">
        <v>0.0</v>
      </c>
      <c r="G3656" s="15"/>
      <c r="H3656" s="16"/>
      <c r="I3656" s="14"/>
    </row>
    <row r="3657">
      <c r="A3657" s="14">
        <v>649.0</v>
      </c>
      <c r="B3657" s="14">
        <v>3866418.0</v>
      </c>
      <c r="C3657" s="14">
        <v>1.6366305E7</v>
      </c>
      <c r="D3657" s="2" t="s">
        <v>4891</v>
      </c>
      <c r="E3657" s="1" t="s">
        <v>121</v>
      </c>
      <c r="F3657" s="14">
        <v>0.0</v>
      </c>
      <c r="G3657" s="15"/>
      <c r="H3657" s="16"/>
      <c r="I3657" s="14"/>
    </row>
    <row r="3658">
      <c r="A3658" s="14">
        <v>378.0</v>
      </c>
      <c r="B3658" s="14">
        <v>3927883.0</v>
      </c>
      <c r="C3658" s="14">
        <v>1.6648949E7</v>
      </c>
      <c r="D3658" s="2" t="s">
        <v>251</v>
      </c>
      <c r="E3658" s="1" t="s">
        <v>121</v>
      </c>
      <c r="F3658" s="14">
        <v>0.0</v>
      </c>
      <c r="G3658" s="15"/>
      <c r="H3658" s="16"/>
      <c r="I3658" s="14"/>
    </row>
    <row r="3659">
      <c r="A3659" s="14">
        <v>571.0</v>
      </c>
      <c r="B3659" s="14">
        <v>4344359.0</v>
      </c>
      <c r="C3659" s="14">
        <v>1.8436915E7</v>
      </c>
      <c r="D3659" s="2" t="s">
        <v>260</v>
      </c>
      <c r="E3659" s="1" t="s">
        <v>121</v>
      </c>
      <c r="F3659" s="14">
        <v>0.0</v>
      </c>
      <c r="G3659" s="15"/>
      <c r="H3659" s="16"/>
      <c r="I3659" s="14"/>
    </row>
    <row r="3660">
      <c r="A3660" s="14">
        <v>678.0</v>
      </c>
      <c r="B3660" s="14">
        <v>4379776.0</v>
      </c>
      <c r="C3660" s="14">
        <v>1.8552945E7</v>
      </c>
      <c r="D3660" s="2" t="s">
        <v>263</v>
      </c>
      <c r="E3660" s="1" t="s">
        <v>121</v>
      </c>
      <c r="F3660" s="14">
        <v>0.0</v>
      </c>
      <c r="G3660" s="15"/>
      <c r="H3660" s="16"/>
      <c r="I3660" s="14"/>
    </row>
    <row r="3661">
      <c r="A3661" s="14">
        <v>379.0</v>
      </c>
      <c r="B3661" s="14">
        <v>4466735.0</v>
      </c>
      <c r="C3661" s="14">
        <v>1.8900773E7</v>
      </c>
      <c r="D3661" s="2" t="s">
        <v>265</v>
      </c>
      <c r="E3661" s="1" t="s">
        <v>121</v>
      </c>
      <c r="F3661" s="14">
        <v>0.0</v>
      </c>
      <c r="G3661" s="15"/>
      <c r="H3661" s="16"/>
      <c r="I3661" s="14"/>
    </row>
    <row r="3662">
      <c r="A3662" s="14">
        <v>504.0</v>
      </c>
      <c r="B3662" s="14">
        <v>4856049.0</v>
      </c>
      <c r="C3662" s="14">
        <v>1.13337306E8</v>
      </c>
      <c r="D3662" s="2" t="s">
        <v>416</v>
      </c>
      <c r="E3662" s="1" t="s">
        <v>121</v>
      </c>
      <c r="F3662" s="14">
        <v>0.0</v>
      </c>
      <c r="G3662" s="15"/>
      <c r="H3662" s="16"/>
      <c r="I3662" s="14"/>
    </row>
    <row r="3663">
      <c r="A3663" s="14">
        <v>501.0</v>
      </c>
      <c r="B3663" s="14">
        <v>4862365.0</v>
      </c>
      <c r="C3663" s="14">
        <v>2.0690536E7</v>
      </c>
      <c r="D3663" s="2" t="s">
        <v>272</v>
      </c>
      <c r="E3663" s="1" t="s">
        <v>121</v>
      </c>
      <c r="F3663" s="14">
        <v>0.0</v>
      </c>
      <c r="G3663" s="15"/>
      <c r="H3663" s="16"/>
      <c r="I3663" s="14"/>
    </row>
    <row r="3664">
      <c r="A3664" s="14">
        <v>395.0</v>
      </c>
      <c r="B3664" s="14">
        <v>4874242.0</v>
      </c>
      <c r="C3664" s="14">
        <v>2.0739235E7</v>
      </c>
      <c r="D3664" s="2" t="s">
        <v>276</v>
      </c>
      <c r="E3664" s="1" t="s">
        <v>121</v>
      </c>
      <c r="F3664" s="14">
        <v>0.0</v>
      </c>
      <c r="G3664" s="15"/>
      <c r="H3664" s="16"/>
      <c r="I3664" s="14"/>
    </row>
    <row r="3665">
      <c r="A3665" s="14">
        <v>597.0</v>
      </c>
      <c r="B3665" s="14">
        <v>4915118.0</v>
      </c>
      <c r="C3665" s="14">
        <v>2.701303E7</v>
      </c>
      <c r="D3665" s="2" t="s">
        <v>300</v>
      </c>
      <c r="E3665" s="1" t="s">
        <v>121</v>
      </c>
      <c r="F3665" s="14">
        <v>0.0</v>
      </c>
      <c r="G3665" s="15"/>
      <c r="H3665" s="16"/>
      <c r="I3665" s="14"/>
    </row>
    <row r="3666">
      <c r="A3666" s="14">
        <v>671.0</v>
      </c>
      <c r="B3666" s="14">
        <v>4998756.0</v>
      </c>
      <c r="C3666" s="14">
        <v>2.4125647E7</v>
      </c>
      <c r="D3666" s="2" t="s">
        <v>295</v>
      </c>
      <c r="E3666" s="1" t="s">
        <v>121</v>
      </c>
      <c r="F3666" s="14">
        <v>0.0</v>
      </c>
      <c r="G3666" s="15"/>
      <c r="H3666" s="16"/>
      <c r="I3666" s="14"/>
    </row>
    <row r="3667">
      <c r="A3667" s="14">
        <v>378.0</v>
      </c>
      <c r="B3667" s="14">
        <v>5004272.0</v>
      </c>
      <c r="C3667" s="14">
        <v>2.1304862E7</v>
      </c>
      <c r="D3667" s="2" t="s">
        <v>279</v>
      </c>
      <c r="E3667" s="1" t="s">
        <v>121</v>
      </c>
      <c r="F3667" s="14">
        <v>0.0</v>
      </c>
      <c r="G3667" s="15"/>
      <c r="H3667" s="16"/>
      <c r="I3667" s="14"/>
    </row>
    <row r="3668">
      <c r="A3668" s="14">
        <v>628.0</v>
      </c>
      <c r="B3668" s="14">
        <v>5057583.0</v>
      </c>
      <c r="C3668" s="14">
        <v>2.148886E7</v>
      </c>
      <c r="D3668" s="2" t="s">
        <v>4792</v>
      </c>
      <c r="E3668" s="1" t="s">
        <v>121</v>
      </c>
      <c r="F3668" s="14">
        <v>0.0</v>
      </c>
      <c r="G3668" s="15"/>
      <c r="H3668" s="16"/>
      <c r="I3668" s="14"/>
    </row>
    <row r="3669">
      <c r="A3669" s="14">
        <v>602.0</v>
      </c>
      <c r="B3669" s="14">
        <v>5309810.0</v>
      </c>
      <c r="C3669" s="14">
        <v>2.274084E7</v>
      </c>
      <c r="D3669" s="2" t="s">
        <v>4754</v>
      </c>
      <c r="E3669" s="1" t="s">
        <v>121</v>
      </c>
      <c r="F3669" s="14">
        <v>0.0</v>
      </c>
      <c r="G3669" s="15"/>
      <c r="H3669" s="16"/>
      <c r="I3669" s="14"/>
    </row>
    <row r="3670">
      <c r="A3670" s="14">
        <v>609.0</v>
      </c>
      <c r="B3670" s="14">
        <v>5361342.0</v>
      </c>
      <c r="C3670" s="14">
        <v>2.2930995E7</v>
      </c>
      <c r="D3670" s="2" t="s">
        <v>4752</v>
      </c>
      <c r="E3670" s="1" t="s">
        <v>121</v>
      </c>
      <c r="F3670" s="14">
        <v>0.0</v>
      </c>
      <c r="G3670" s="15"/>
      <c r="H3670" s="16"/>
      <c r="I3670" s="14"/>
    </row>
    <row r="3671">
      <c r="A3671" s="14">
        <v>526.0</v>
      </c>
      <c r="B3671" s="14">
        <v>5378972.0</v>
      </c>
      <c r="C3671" s="14">
        <v>5.414086E7</v>
      </c>
      <c r="D3671" s="2" t="s">
        <v>4748</v>
      </c>
      <c r="E3671" s="1" t="s">
        <v>121</v>
      </c>
      <c r="F3671" s="14">
        <v>0.0</v>
      </c>
      <c r="G3671" s="15"/>
      <c r="H3671" s="16"/>
      <c r="I3671" s="14"/>
    </row>
    <row r="3672">
      <c r="A3672" s="14">
        <v>380.0</v>
      </c>
      <c r="B3672" s="14">
        <v>5473814.0</v>
      </c>
      <c r="C3672" s="14">
        <v>2.3409173E7</v>
      </c>
      <c r="D3672" s="2" t="s">
        <v>4740</v>
      </c>
      <c r="E3672" s="1" t="s">
        <v>121</v>
      </c>
      <c r="F3672" s="14">
        <v>0.0</v>
      </c>
      <c r="G3672" s="15"/>
      <c r="H3672" s="16"/>
      <c r="I3672" s="14"/>
    </row>
    <row r="3673">
      <c r="A3673" s="14">
        <v>215.0</v>
      </c>
      <c r="B3673" s="14">
        <v>6128905.0</v>
      </c>
      <c r="C3673" s="14">
        <v>2.611075E7</v>
      </c>
      <c r="D3673" s="2" t="s">
        <v>4702</v>
      </c>
      <c r="E3673" s="1" t="s">
        <v>121</v>
      </c>
      <c r="F3673" s="14">
        <v>0.0</v>
      </c>
      <c r="G3673" s="15"/>
      <c r="H3673" s="16"/>
      <c r="I3673" s="14"/>
    </row>
    <row r="3674">
      <c r="A3674" s="14">
        <v>608.0</v>
      </c>
      <c r="B3674" s="14">
        <v>6294369.0</v>
      </c>
      <c r="C3674" s="14">
        <v>2.6759958E7</v>
      </c>
      <c r="D3674" s="2" t="s">
        <v>4688</v>
      </c>
      <c r="E3674" s="1" t="s">
        <v>121</v>
      </c>
      <c r="F3674" s="14">
        <v>0.0</v>
      </c>
      <c r="G3674" s="15"/>
      <c r="H3674" s="16"/>
      <c r="I3674" s="14"/>
    </row>
    <row r="3675">
      <c r="A3675" s="14">
        <v>630.0</v>
      </c>
      <c r="B3675" s="14">
        <v>6366578.0</v>
      </c>
      <c r="C3675" s="14">
        <v>2.7126056E7</v>
      </c>
      <c r="D3675" s="2" t="s">
        <v>4676</v>
      </c>
      <c r="E3675" s="1" t="s">
        <v>121</v>
      </c>
      <c r="F3675" s="14">
        <v>0.0</v>
      </c>
      <c r="G3675" s="15"/>
      <c r="H3675" s="16"/>
      <c r="I3675" s="14"/>
    </row>
    <row r="3676">
      <c r="A3676" s="14">
        <v>573.0</v>
      </c>
      <c r="B3676" s="14">
        <v>6386633.0</v>
      </c>
      <c r="C3676" s="14">
        <v>2.7179142E7</v>
      </c>
      <c r="D3676" s="2" t="s">
        <v>4673</v>
      </c>
      <c r="E3676" s="1" t="s">
        <v>121</v>
      </c>
      <c r="F3676" s="14">
        <v>0.0</v>
      </c>
      <c r="G3676" s="15"/>
      <c r="H3676" s="16"/>
      <c r="I3676" s="14"/>
    </row>
    <row r="3677">
      <c r="A3677" s="14">
        <v>173.0</v>
      </c>
      <c r="B3677" s="14">
        <v>6535673.0</v>
      </c>
      <c r="C3677" s="14">
        <v>2.7810305E7</v>
      </c>
      <c r="D3677" s="2" t="s">
        <v>4660</v>
      </c>
      <c r="E3677" s="1" t="s">
        <v>121</v>
      </c>
      <c r="F3677" s="14">
        <v>0.0</v>
      </c>
      <c r="G3677" s="15"/>
      <c r="H3677" s="16"/>
      <c r="I3677" s="14"/>
    </row>
    <row r="3678">
      <c r="A3678" s="14">
        <v>667.0</v>
      </c>
      <c r="B3678" s="14">
        <v>6683532.0</v>
      </c>
      <c r="C3678" s="14">
        <v>2.8432582E7</v>
      </c>
      <c r="D3678" s="2" t="s">
        <v>4645</v>
      </c>
      <c r="E3678" s="1" t="s">
        <v>121</v>
      </c>
      <c r="F3678" s="14">
        <v>0.0</v>
      </c>
      <c r="G3678" s="15"/>
      <c r="H3678" s="16"/>
      <c r="I3678" s="14"/>
    </row>
    <row r="3679">
      <c r="A3679" s="14">
        <v>395.0</v>
      </c>
      <c r="B3679" s="14">
        <v>6792864.0</v>
      </c>
      <c r="C3679" s="14">
        <v>2.8911042E7</v>
      </c>
      <c r="D3679" s="2" t="s">
        <v>4635</v>
      </c>
      <c r="E3679" s="1" t="s">
        <v>121</v>
      </c>
      <c r="F3679" s="14">
        <v>0.0</v>
      </c>
      <c r="G3679" s="15"/>
      <c r="H3679" s="16"/>
      <c r="I3679" s="14"/>
    </row>
    <row r="3680">
      <c r="A3680" s="14">
        <v>378.0</v>
      </c>
      <c r="B3680" s="14">
        <v>6902538.0</v>
      </c>
      <c r="C3680" s="14">
        <v>2.9359274E7</v>
      </c>
      <c r="D3680" s="2" t="s">
        <v>4625</v>
      </c>
      <c r="E3680" s="1" t="s">
        <v>121</v>
      </c>
      <c r="F3680" s="14">
        <v>0.0</v>
      </c>
      <c r="G3680" s="15"/>
      <c r="H3680" s="16"/>
      <c r="I3680" s="14"/>
    </row>
    <row r="3681">
      <c r="A3681" s="14">
        <v>578.0</v>
      </c>
      <c r="B3681" s="14">
        <v>6910716.0</v>
      </c>
      <c r="C3681" s="14">
        <v>2.9432051E7</v>
      </c>
      <c r="D3681" s="2" t="s">
        <v>4623</v>
      </c>
      <c r="E3681" s="1" t="s">
        <v>121</v>
      </c>
      <c r="F3681" s="14">
        <v>0.0</v>
      </c>
      <c r="G3681" s="15"/>
      <c r="H3681" s="16"/>
      <c r="I3681" s="14"/>
    </row>
    <row r="3682">
      <c r="A3682" s="14">
        <v>414.0</v>
      </c>
      <c r="B3682" s="14">
        <v>6915067.0</v>
      </c>
      <c r="C3682" s="14">
        <v>2.9421729E7</v>
      </c>
      <c r="D3682" s="2" t="s">
        <v>4621</v>
      </c>
      <c r="E3682" s="1" t="s">
        <v>121</v>
      </c>
      <c r="F3682" s="14">
        <v>0.0</v>
      </c>
      <c r="G3682" s="15"/>
      <c r="H3682" s="16"/>
      <c r="I3682" s="14"/>
    </row>
    <row r="3683">
      <c r="A3683" s="14">
        <v>492.0</v>
      </c>
      <c r="B3683" s="14">
        <v>7515624.0</v>
      </c>
      <c r="C3683" s="14">
        <v>3.1962943E7</v>
      </c>
      <c r="D3683" s="2" t="s">
        <v>4570</v>
      </c>
      <c r="E3683" s="1" t="s">
        <v>121</v>
      </c>
      <c r="F3683" s="14">
        <v>0.0</v>
      </c>
      <c r="G3683" s="15"/>
      <c r="H3683" s="16"/>
      <c r="I3683" s="14"/>
    </row>
    <row r="3684">
      <c r="A3684" s="14">
        <v>410.0</v>
      </c>
      <c r="B3684" s="14">
        <v>7646382.0</v>
      </c>
      <c r="C3684" s="14">
        <v>3.2493003E7</v>
      </c>
      <c r="D3684" s="2" t="s">
        <v>4563</v>
      </c>
      <c r="E3684" s="1" t="s">
        <v>121</v>
      </c>
      <c r="F3684" s="14">
        <v>0.0</v>
      </c>
      <c r="G3684" s="15"/>
      <c r="H3684" s="16"/>
      <c r="I3684" s="14"/>
    </row>
    <row r="3685">
      <c r="A3685" s="14">
        <v>661.0</v>
      </c>
      <c r="B3685" s="14">
        <v>7959129.0</v>
      </c>
      <c r="C3685" s="14">
        <v>1.87124904E8</v>
      </c>
      <c r="D3685" s="2" t="s">
        <v>4549</v>
      </c>
      <c r="E3685" s="1" t="s">
        <v>121</v>
      </c>
      <c r="F3685" s="14">
        <v>0.0</v>
      </c>
      <c r="G3685" s="15"/>
      <c r="H3685" s="16"/>
      <c r="I3685" s="14"/>
    </row>
    <row r="3686">
      <c r="A3686" s="14">
        <v>531.0</v>
      </c>
      <c r="B3686" s="14">
        <v>8151482.0</v>
      </c>
      <c r="C3686" s="14">
        <v>3.4671505E7</v>
      </c>
      <c r="D3686" s="2" t="s">
        <v>4530</v>
      </c>
      <c r="E3686" s="1" t="s">
        <v>121</v>
      </c>
      <c r="F3686" s="14">
        <v>0.0</v>
      </c>
      <c r="G3686" s="15"/>
      <c r="H3686" s="16"/>
      <c r="I3686" s="14"/>
    </row>
    <row r="3687">
      <c r="A3687" s="14">
        <v>571.0</v>
      </c>
      <c r="B3687" s="14">
        <v>8186580.0</v>
      </c>
      <c r="C3687" s="14">
        <v>3.4645937E7</v>
      </c>
      <c r="D3687" s="2" t="s">
        <v>4528</v>
      </c>
      <c r="E3687" s="1" t="s">
        <v>121</v>
      </c>
      <c r="F3687" s="14">
        <v>0.0</v>
      </c>
      <c r="G3687" s="15"/>
      <c r="H3687" s="16"/>
      <c r="I3687" s="14"/>
    </row>
    <row r="3688">
      <c r="A3688" s="14">
        <v>462.0</v>
      </c>
      <c r="B3688" s="14">
        <v>8196865.0</v>
      </c>
      <c r="C3688" s="14">
        <v>3.4782677E7</v>
      </c>
      <c r="D3688" s="2" t="s">
        <v>4527</v>
      </c>
      <c r="E3688" s="1" t="s">
        <v>121</v>
      </c>
      <c r="F3688" s="14">
        <v>0.0</v>
      </c>
      <c r="G3688" s="15"/>
      <c r="H3688" s="16"/>
      <c r="I3688" s="14"/>
    </row>
    <row r="3689">
      <c r="A3689" s="14">
        <v>531.0</v>
      </c>
      <c r="B3689" s="14">
        <v>8436332.0</v>
      </c>
      <c r="C3689" s="14">
        <v>3.5727041E7</v>
      </c>
      <c r="D3689" s="2" t="s">
        <v>4512</v>
      </c>
      <c r="E3689" s="1" t="s">
        <v>121</v>
      </c>
      <c r="F3689" s="14">
        <v>0.0</v>
      </c>
      <c r="G3689" s="15"/>
      <c r="H3689" s="16"/>
      <c r="I3689" s="14"/>
    </row>
    <row r="3690">
      <c r="A3690" s="14">
        <v>676.0</v>
      </c>
      <c r="B3690" s="14">
        <v>8474295.0</v>
      </c>
      <c r="C3690" s="14">
        <v>6.6296435E7</v>
      </c>
      <c r="D3690" s="2" t="s">
        <v>4508</v>
      </c>
      <c r="E3690" s="1" t="s">
        <v>121</v>
      </c>
      <c r="F3690" s="14">
        <v>0.0</v>
      </c>
      <c r="G3690" s="15"/>
      <c r="H3690" s="16"/>
      <c r="I3690" s="14"/>
    </row>
    <row r="3691">
      <c r="A3691" s="14">
        <v>667.0</v>
      </c>
      <c r="B3691" s="14">
        <v>8569804.0</v>
      </c>
      <c r="C3691" s="14">
        <v>3.633556E7</v>
      </c>
      <c r="D3691" s="2" t="s">
        <v>4504</v>
      </c>
      <c r="E3691" s="1" t="s">
        <v>121</v>
      </c>
      <c r="F3691" s="14">
        <v>0.0</v>
      </c>
      <c r="G3691" s="15"/>
      <c r="H3691" s="16"/>
      <c r="I3691" s="14"/>
    </row>
    <row r="3692">
      <c r="A3692" s="14">
        <v>597.0</v>
      </c>
      <c r="B3692" s="14">
        <v>8621399.0</v>
      </c>
      <c r="C3692" s="14">
        <v>3.6550696E7</v>
      </c>
      <c r="D3692" s="2" t="s">
        <v>4501</v>
      </c>
      <c r="E3692" s="1" t="s">
        <v>121</v>
      </c>
      <c r="F3692" s="14">
        <v>0.0</v>
      </c>
      <c r="G3692" s="15"/>
      <c r="H3692" s="16"/>
      <c r="I3692" s="14"/>
    </row>
    <row r="3693">
      <c r="A3693" s="14">
        <v>49.0</v>
      </c>
      <c r="B3693" s="14">
        <v>8722285.0</v>
      </c>
      <c r="C3693" s="14">
        <v>3.6972492E7</v>
      </c>
      <c r="D3693" s="2" t="s">
        <v>4496</v>
      </c>
      <c r="E3693" s="1" t="s">
        <v>121</v>
      </c>
      <c r="F3693" s="14">
        <v>0.0</v>
      </c>
      <c r="G3693" s="15"/>
      <c r="H3693" s="16"/>
      <c r="I3693" s="14"/>
    </row>
    <row r="3694">
      <c r="A3694" s="14">
        <v>410.0</v>
      </c>
      <c r="B3694" s="14">
        <v>8876061.0</v>
      </c>
      <c r="C3694" s="14">
        <v>3.7768994E7</v>
      </c>
      <c r="D3694" s="2" t="s">
        <v>4482</v>
      </c>
      <c r="E3694" s="1" t="s">
        <v>121</v>
      </c>
      <c r="F3694" s="14">
        <v>0.0</v>
      </c>
      <c r="G3694" s="15"/>
      <c r="H3694" s="16"/>
      <c r="I3694" s="14"/>
    </row>
    <row r="3695">
      <c r="A3695" s="14">
        <v>414.0</v>
      </c>
      <c r="B3695" s="14">
        <v>8943044.0</v>
      </c>
      <c r="C3695" s="14">
        <v>3.7847391E7</v>
      </c>
      <c r="D3695" s="2" t="s">
        <v>4475</v>
      </c>
      <c r="E3695" s="1" t="s">
        <v>121</v>
      </c>
      <c r="F3695" s="14">
        <v>0.0</v>
      </c>
      <c r="G3695" s="15"/>
      <c r="H3695" s="16"/>
      <c r="I3695" s="14"/>
    </row>
    <row r="3696">
      <c r="A3696" s="14">
        <v>716.0</v>
      </c>
      <c r="B3696" s="14">
        <v>9172976.0</v>
      </c>
      <c r="C3696" s="14">
        <v>3.8901797E7</v>
      </c>
      <c r="D3696" s="2" t="s">
        <v>4457</v>
      </c>
      <c r="E3696" s="1" t="s">
        <v>121</v>
      </c>
      <c r="F3696" s="14">
        <v>0.0</v>
      </c>
      <c r="G3696" s="15"/>
      <c r="H3696" s="16"/>
      <c r="I3696" s="14"/>
    </row>
    <row r="3697">
      <c r="A3697" s="14">
        <v>407.0</v>
      </c>
      <c r="B3697" s="14">
        <v>9310271.0</v>
      </c>
      <c r="C3697" s="14">
        <v>3.9483128E7</v>
      </c>
      <c r="D3697" s="2" t="s">
        <v>4445</v>
      </c>
      <c r="E3697" s="1" t="s">
        <v>121</v>
      </c>
      <c r="F3697" s="14">
        <v>0.0</v>
      </c>
      <c r="G3697" s="15"/>
      <c r="H3697" s="16"/>
      <c r="I3697" s="14"/>
    </row>
    <row r="3698">
      <c r="A3698" s="14">
        <v>546.0</v>
      </c>
      <c r="B3698" s="14">
        <v>9357469.0</v>
      </c>
      <c r="C3698" s="14">
        <v>3.9646182E7</v>
      </c>
      <c r="D3698" s="2" t="s">
        <v>4440</v>
      </c>
      <c r="E3698" s="1" t="s">
        <v>121</v>
      </c>
      <c r="F3698" s="14">
        <v>0.0</v>
      </c>
      <c r="G3698" s="15"/>
      <c r="H3698" s="16"/>
      <c r="I3698" s="14"/>
    </row>
    <row r="3699">
      <c r="A3699" s="14">
        <v>557.0</v>
      </c>
      <c r="B3699" s="14">
        <v>9453818.0</v>
      </c>
      <c r="C3699" s="14">
        <v>4.0111955E7</v>
      </c>
      <c r="D3699" s="2" t="s">
        <v>4434</v>
      </c>
      <c r="E3699" s="1" t="s">
        <v>121</v>
      </c>
      <c r="F3699" s="14">
        <v>0.0</v>
      </c>
      <c r="G3699" s="15"/>
      <c r="H3699" s="16"/>
      <c r="I3699" s="14"/>
    </row>
    <row r="3700">
      <c r="A3700" s="14">
        <v>225.0</v>
      </c>
      <c r="B3700" s="14">
        <v>9860005.0</v>
      </c>
      <c r="C3700" s="14">
        <v>4.1860235E7</v>
      </c>
      <c r="D3700" s="2" t="s">
        <v>4407</v>
      </c>
      <c r="E3700" s="1" t="s">
        <v>121</v>
      </c>
      <c r="F3700" s="14">
        <v>0.0</v>
      </c>
      <c r="G3700" s="15"/>
      <c r="H3700" s="16"/>
      <c r="I3700" s="14"/>
    </row>
    <row r="3701">
      <c r="A3701" s="14">
        <v>601.0</v>
      </c>
      <c r="B3701" s="14">
        <v>1.0155201E7</v>
      </c>
      <c r="C3701" s="14">
        <v>4.3212909E7</v>
      </c>
      <c r="D3701" s="2" t="s">
        <v>4386</v>
      </c>
      <c r="E3701" s="1" t="s">
        <v>121</v>
      </c>
      <c r="F3701" s="14">
        <v>0.0</v>
      </c>
      <c r="G3701" s="15"/>
      <c r="H3701" s="16"/>
      <c r="I3701" s="14"/>
    </row>
    <row r="3702">
      <c r="A3702" s="14">
        <v>715.0</v>
      </c>
      <c r="B3702" s="14">
        <v>1.0360431E7</v>
      </c>
      <c r="C3702" s="14">
        <v>4.3956231E7</v>
      </c>
      <c r="D3702" s="2" t="s">
        <v>4372</v>
      </c>
      <c r="E3702" s="1" t="s">
        <v>121</v>
      </c>
      <c r="F3702" s="14">
        <v>0.0</v>
      </c>
      <c r="G3702" s="15"/>
      <c r="H3702" s="16"/>
      <c r="I3702" s="14"/>
    </row>
    <row r="3703">
      <c r="A3703" s="14">
        <v>228.0</v>
      </c>
      <c r="B3703" s="14">
        <v>1.0390147E7</v>
      </c>
      <c r="C3703" s="14">
        <v>4.4112968E7</v>
      </c>
      <c r="D3703" s="2" t="s">
        <v>4369</v>
      </c>
      <c r="E3703" s="1" t="s">
        <v>121</v>
      </c>
      <c r="F3703" s="14">
        <v>0.0</v>
      </c>
      <c r="G3703" s="15"/>
      <c r="H3703" s="16"/>
      <c r="I3703" s="14"/>
    </row>
    <row r="3704">
      <c r="A3704" s="14">
        <v>586.0</v>
      </c>
      <c r="B3704" s="14">
        <v>1.062176E7</v>
      </c>
      <c r="C3704" s="14">
        <v>1.58216908E8</v>
      </c>
      <c r="D3704" s="2" t="s">
        <v>4347</v>
      </c>
      <c r="E3704" s="1" t="s">
        <v>121</v>
      </c>
      <c r="F3704" s="14">
        <v>0.0</v>
      </c>
      <c r="G3704" s="15"/>
      <c r="H3704" s="16"/>
      <c r="I3704" s="14"/>
    </row>
    <row r="3705">
      <c r="A3705" s="14">
        <v>244.0</v>
      </c>
      <c r="B3705" s="14">
        <v>1.0828019E7</v>
      </c>
      <c r="C3705" s="14">
        <v>4.6053551E7</v>
      </c>
      <c r="D3705" s="2" t="s">
        <v>4333</v>
      </c>
      <c r="E3705" s="1" t="s">
        <v>121</v>
      </c>
      <c r="F3705" s="14">
        <v>0.0</v>
      </c>
      <c r="G3705" s="15"/>
      <c r="H3705" s="16"/>
      <c r="I3705" s="14"/>
    </row>
    <row r="3706">
      <c r="A3706" s="14">
        <v>645.0</v>
      </c>
      <c r="B3706" s="14">
        <v>1.1039385E7</v>
      </c>
      <c r="C3706" s="14">
        <v>5.3472446E7</v>
      </c>
      <c r="D3706" s="2" t="s">
        <v>4315</v>
      </c>
      <c r="E3706" s="1" t="s">
        <v>121</v>
      </c>
      <c r="F3706" s="14">
        <v>0.0</v>
      </c>
      <c r="G3706" s="15"/>
      <c r="H3706" s="16"/>
      <c r="I3706" s="14"/>
    </row>
    <row r="3707">
      <c r="A3707" s="14">
        <v>667.0</v>
      </c>
      <c r="B3707" s="14">
        <v>1.1095278E7</v>
      </c>
      <c r="C3707" s="14">
        <v>4.722183E7</v>
      </c>
      <c r="D3707" s="2" t="s">
        <v>4311</v>
      </c>
      <c r="E3707" s="1" t="s">
        <v>121</v>
      </c>
      <c r="F3707" s="14">
        <v>0.0</v>
      </c>
      <c r="G3707" s="15"/>
      <c r="H3707" s="16"/>
      <c r="I3707" s="14"/>
    </row>
    <row r="3708">
      <c r="A3708" s="14">
        <v>473.0</v>
      </c>
      <c r="B3708" s="14">
        <v>1.1527825E7</v>
      </c>
      <c r="C3708" s="14">
        <v>4.8913586E7</v>
      </c>
      <c r="D3708" s="2" t="s">
        <v>4282</v>
      </c>
      <c r="E3708" s="1" t="s">
        <v>121</v>
      </c>
      <c r="F3708" s="14">
        <v>0.0</v>
      </c>
      <c r="G3708" s="15"/>
      <c r="H3708" s="16"/>
      <c r="I3708" s="14"/>
    </row>
    <row r="3709">
      <c r="A3709" s="14">
        <v>475.0</v>
      </c>
      <c r="B3709" s="14">
        <v>1.1619508E7</v>
      </c>
      <c r="C3709" s="14">
        <v>4.9400973E7</v>
      </c>
      <c r="D3709" s="2" t="s">
        <v>4277</v>
      </c>
      <c r="E3709" s="1" t="s">
        <v>121</v>
      </c>
      <c r="F3709" s="14">
        <v>0.0</v>
      </c>
      <c r="G3709" s="15"/>
      <c r="H3709" s="16"/>
      <c r="I3709" s="14"/>
    </row>
    <row r="3710">
      <c r="A3710" s="14">
        <v>720.0</v>
      </c>
      <c r="B3710" s="14">
        <v>1.1849103E7</v>
      </c>
      <c r="C3710" s="14">
        <v>5.0364657E7</v>
      </c>
      <c r="D3710" s="2" t="s">
        <v>4263</v>
      </c>
      <c r="E3710" s="1" t="s">
        <v>121</v>
      </c>
      <c r="F3710" s="14">
        <v>0.0</v>
      </c>
      <c r="G3710" s="15"/>
      <c r="H3710" s="16"/>
      <c r="I3710" s="14"/>
    </row>
    <row r="3711">
      <c r="A3711" s="14">
        <v>713.0</v>
      </c>
      <c r="B3711" s="14">
        <v>1.2055946E7</v>
      </c>
      <c r="C3711" s="14">
        <v>5.1212416E7</v>
      </c>
      <c r="D3711" s="2" t="s">
        <v>4255</v>
      </c>
      <c r="E3711" s="1" t="s">
        <v>121</v>
      </c>
      <c r="F3711" s="14">
        <v>0.0</v>
      </c>
      <c r="G3711" s="15"/>
      <c r="H3711" s="16"/>
      <c r="I3711" s="14"/>
    </row>
    <row r="3712">
      <c r="A3712" s="14">
        <v>353.0</v>
      </c>
      <c r="B3712" s="14">
        <v>1.3350016E7</v>
      </c>
      <c r="C3712" s="14">
        <v>5.6685979E7</v>
      </c>
      <c r="D3712" s="2" t="s">
        <v>4194</v>
      </c>
      <c r="E3712" s="1" t="s">
        <v>121</v>
      </c>
      <c r="F3712" s="14">
        <v>0.0</v>
      </c>
      <c r="G3712" s="15"/>
      <c r="H3712" s="16"/>
      <c r="I3712" s="14"/>
    </row>
    <row r="3713">
      <c r="A3713" s="14">
        <v>409.0</v>
      </c>
      <c r="B3713" s="14">
        <v>1.3437648E7</v>
      </c>
      <c r="C3713" s="14">
        <v>5.7025398E7</v>
      </c>
      <c r="D3713" s="2" t="s">
        <v>4187</v>
      </c>
      <c r="E3713" s="1" t="s">
        <v>121</v>
      </c>
      <c r="F3713" s="14">
        <v>0.0</v>
      </c>
      <c r="G3713" s="15"/>
      <c r="H3713" s="16"/>
      <c r="I3713" s="14"/>
    </row>
    <row r="3714">
      <c r="A3714" s="14">
        <v>571.0</v>
      </c>
      <c r="B3714" s="14">
        <v>1.3552614E7</v>
      </c>
      <c r="C3714" s="14">
        <v>5.750591E7</v>
      </c>
      <c r="D3714" s="2" t="s">
        <v>4184</v>
      </c>
      <c r="E3714" s="1" t="s">
        <v>121</v>
      </c>
      <c r="F3714" s="14">
        <v>0.0</v>
      </c>
      <c r="G3714" s="15"/>
      <c r="H3714" s="16"/>
      <c r="I3714" s="14"/>
    </row>
    <row r="3715">
      <c r="A3715" s="14">
        <v>526.0</v>
      </c>
      <c r="B3715" s="14">
        <v>1.3629312E7</v>
      </c>
      <c r="C3715" s="14">
        <v>5.7852351E7</v>
      </c>
      <c r="D3715" s="2" t="s">
        <v>4181</v>
      </c>
      <c r="E3715" s="1" t="s">
        <v>121</v>
      </c>
      <c r="F3715" s="14">
        <v>0.0</v>
      </c>
      <c r="G3715" s="15"/>
      <c r="H3715" s="16"/>
      <c r="I3715" s="14"/>
    </row>
    <row r="3716">
      <c r="A3716" s="14">
        <v>414.0</v>
      </c>
      <c r="B3716" s="14">
        <v>1.3648572E7</v>
      </c>
      <c r="C3716" s="14">
        <v>5.7913911E7</v>
      </c>
      <c r="D3716" s="2" t="s">
        <v>4180</v>
      </c>
      <c r="E3716" s="1" t="s">
        <v>121</v>
      </c>
      <c r="F3716" s="14">
        <v>0.0</v>
      </c>
      <c r="G3716" s="15"/>
      <c r="H3716" s="16"/>
      <c r="I3716" s="14"/>
    </row>
    <row r="3717">
      <c r="A3717" s="14">
        <v>504.0</v>
      </c>
      <c r="B3717" s="14">
        <v>1.4001411E7</v>
      </c>
      <c r="C3717" s="14">
        <v>1.31586605E8</v>
      </c>
      <c r="D3717" s="2" t="s">
        <v>4157</v>
      </c>
      <c r="E3717" s="1" t="s">
        <v>121</v>
      </c>
      <c r="F3717" s="14">
        <v>0.0</v>
      </c>
      <c r="G3717" s="15"/>
      <c r="H3717" s="16"/>
      <c r="I3717" s="14"/>
    </row>
    <row r="3718">
      <c r="A3718" s="14">
        <v>492.0</v>
      </c>
      <c r="B3718" s="14">
        <v>1.4344161E7</v>
      </c>
      <c r="C3718" s="14">
        <v>6.5556814E7</v>
      </c>
      <c r="D3718" s="2" t="s">
        <v>4136</v>
      </c>
      <c r="E3718" s="1" t="s">
        <v>121</v>
      </c>
      <c r="F3718" s="14">
        <v>0.0</v>
      </c>
      <c r="G3718" s="15"/>
      <c r="H3718" s="16"/>
      <c r="I3718" s="14"/>
    </row>
    <row r="3719">
      <c r="A3719" s="14">
        <v>395.0</v>
      </c>
      <c r="B3719" s="14">
        <v>1.4386025E7</v>
      </c>
      <c r="C3719" s="14">
        <v>6.1271775E7</v>
      </c>
      <c r="D3719" s="2" t="s">
        <v>4133</v>
      </c>
      <c r="E3719" s="1" t="s">
        <v>121</v>
      </c>
      <c r="F3719" s="14">
        <v>0.0</v>
      </c>
      <c r="G3719" s="15"/>
      <c r="H3719" s="16"/>
      <c r="I3719" s="14"/>
    </row>
    <row r="3720">
      <c r="A3720" s="14">
        <v>644.0</v>
      </c>
      <c r="B3720" s="14">
        <v>1.4454759E7</v>
      </c>
      <c r="C3720" s="14">
        <v>6.1527208E7</v>
      </c>
      <c r="D3720" s="2" t="s">
        <v>4131</v>
      </c>
      <c r="E3720" s="1" t="s">
        <v>121</v>
      </c>
      <c r="F3720" s="14">
        <v>0.0</v>
      </c>
      <c r="G3720" s="15"/>
      <c r="H3720" s="16"/>
      <c r="I3720" s="14"/>
    </row>
    <row r="3721">
      <c r="A3721" s="14">
        <v>577.0</v>
      </c>
      <c r="B3721" s="14">
        <v>1.4494609E7</v>
      </c>
      <c r="C3721" s="14">
        <v>6.1655259E7</v>
      </c>
      <c r="D3721" s="2" t="s">
        <v>4129</v>
      </c>
      <c r="E3721" s="1" t="s">
        <v>121</v>
      </c>
      <c r="F3721" s="14">
        <v>0.0</v>
      </c>
      <c r="G3721" s="15"/>
      <c r="H3721" s="16"/>
      <c r="I3721" s="14"/>
    </row>
    <row r="3722">
      <c r="A3722" s="14">
        <v>173.0</v>
      </c>
      <c r="B3722" s="14">
        <v>1.5021405E7</v>
      </c>
      <c r="C3722" s="14">
        <v>6.3826667E7</v>
      </c>
      <c r="D3722" s="2" t="s">
        <v>4101</v>
      </c>
      <c r="E3722" s="1" t="s">
        <v>121</v>
      </c>
      <c r="F3722" s="14">
        <v>0.0</v>
      </c>
      <c r="G3722" s="15"/>
      <c r="H3722" s="16"/>
      <c r="I3722" s="14"/>
    </row>
    <row r="3723">
      <c r="A3723" s="14">
        <v>609.0</v>
      </c>
      <c r="B3723" s="14">
        <v>1.5172617E7</v>
      </c>
      <c r="C3723" s="14">
        <v>6.4511935E7</v>
      </c>
      <c r="D3723" s="2" t="s">
        <v>4091</v>
      </c>
      <c r="E3723" s="1" t="s">
        <v>121</v>
      </c>
      <c r="F3723" s="14">
        <v>0.0</v>
      </c>
      <c r="G3723" s="15"/>
      <c r="H3723" s="16"/>
      <c r="I3723" s="14"/>
    </row>
    <row r="3724">
      <c r="A3724" s="14">
        <v>142.0</v>
      </c>
      <c r="B3724" s="14">
        <v>1.5181242E7</v>
      </c>
      <c r="C3724" s="14">
        <v>6.4538005E7</v>
      </c>
      <c r="D3724" s="2" t="s">
        <v>4090</v>
      </c>
      <c r="E3724" s="1" t="s">
        <v>121</v>
      </c>
      <c r="F3724" s="14">
        <v>0.0</v>
      </c>
      <c r="G3724" s="15"/>
      <c r="H3724" s="16"/>
      <c r="I3724" s="14"/>
    </row>
    <row r="3725">
      <c r="A3725" s="14">
        <v>609.0</v>
      </c>
      <c r="B3725" s="14">
        <v>1.5259827E7</v>
      </c>
      <c r="C3725" s="14">
        <v>6.5015645E7</v>
      </c>
      <c r="D3725" s="2" t="s">
        <v>4077</v>
      </c>
      <c r="E3725" s="1" t="s">
        <v>121</v>
      </c>
      <c r="F3725" s="14">
        <v>0.0</v>
      </c>
      <c r="G3725" s="15"/>
      <c r="H3725" s="16"/>
      <c r="I3725" s="14"/>
    </row>
    <row r="3726">
      <c r="A3726" s="14">
        <v>207.0</v>
      </c>
      <c r="B3726" s="14">
        <v>1.5458143E7</v>
      </c>
      <c r="C3726" s="14">
        <v>6.5687006E7</v>
      </c>
      <c r="D3726" s="2" t="s">
        <v>4070</v>
      </c>
      <c r="E3726" s="1" t="s">
        <v>121</v>
      </c>
      <c r="F3726" s="14">
        <v>0.0</v>
      </c>
      <c r="G3726" s="15"/>
      <c r="H3726" s="16"/>
      <c r="I3726" s="14"/>
    </row>
    <row r="3727">
      <c r="A3727" s="14">
        <v>573.0</v>
      </c>
      <c r="B3727" s="14">
        <v>1.5801355E7</v>
      </c>
      <c r="C3727" s="14">
        <v>6.7158746E7</v>
      </c>
      <c r="D3727" s="2" t="s">
        <v>4047</v>
      </c>
      <c r="E3727" s="1" t="s">
        <v>121</v>
      </c>
      <c r="F3727" s="14">
        <v>0.0</v>
      </c>
      <c r="G3727" s="15"/>
      <c r="H3727" s="16"/>
      <c r="I3727" s="14"/>
    </row>
    <row r="3728">
      <c r="A3728" s="14">
        <v>531.0</v>
      </c>
      <c r="B3728" s="14">
        <v>1.6058907E7</v>
      </c>
      <c r="C3728" s="14">
        <v>6.8199078E7</v>
      </c>
      <c r="D3728" s="2" t="s">
        <v>4028</v>
      </c>
      <c r="E3728" s="1" t="s">
        <v>121</v>
      </c>
      <c r="F3728" s="14">
        <v>0.0</v>
      </c>
      <c r="G3728" s="15"/>
      <c r="H3728" s="16"/>
      <c r="I3728" s="14"/>
    </row>
    <row r="3729">
      <c r="A3729" s="14">
        <v>694.0</v>
      </c>
      <c r="B3729" s="14">
        <v>1.6078244E7</v>
      </c>
      <c r="C3729" s="14">
        <v>6.8193905E7</v>
      </c>
      <c r="D3729" s="2" t="s">
        <v>4024</v>
      </c>
      <c r="E3729" s="1" t="s">
        <v>121</v>
      </c>
      <c r="F3729" s="14">
        <v>0.0</v>
      </c>
      <c r="G3729" s="15"/>
      <c r="H3729" s="16"/>
      <c r="I3729" s="14"/>
    </row>
    <row r="3730">
      <c r="A3730" s="14">
        <v>414.0</v>
      </c>
      <c r="B3730" s="14">
        <v>1.6599224E7</v>
      </c>
      <c r="C3730" s="14">
        <v>7.0340317E7</v>
      </c>
      <c r="D3730" s="2" t="s">
        <v>3991</v>
      </c>
      <c r="E3730" s="1" t="s">
        <v>121</v>
      </c>
      <c r="F3730" s="14">
        <v>0.0</v>
      </c>
      <c r="G3730" s="15"/>
      <c r="H3730" s="16"/>
      <c r="I3730" s="14"/>
    </row>
    <row r="3731">
      <c r="A3731" s="14">
        <v>671.0</v>
      </c>
      <c r="B3731" s="14">
        <v>1.6738837E7</v>
      </c>
      <c r="C3731" s="14">
        <v>7.1145104E7</v>
      </c>
      <c r="D3731" s="2" t="s">
        <v>3988</v>
      </c>
      <c r="E3731" s="1" t="s">
        <v>121</v>
      </c>
      <c r="F3731" s="14">
        <v>0.0</v>
      </c>
      <c r="G3731" s="15"/>
      <c r="H3731" s="16"/>
      <c r="I3731" s="14"/>
    </row>
    <row r="3732">
      <c r="A3732" s="14">
        <v>378.0</v>
      </c>
      <c r="B3732" s="14">
        <v>1.7252762E7</v>
      </c>
      <c r="C3732" s="14">
        <v>7.3017699E7</v>
      </c>
      <c r="D3732" s="2" t="s">
        <v>3966</v>
      </c>
      <c r="E3732" s="1" t="s">
        <v>121</v>
      </c>
      <c r="F3732" s="14">
        <v>0.0</v>
      </c>
      <c r="G3732" s="15"/>
      <c r="H3732" s="16"/>
      <c r="I3732" s="14"/>
    </row>
    <row r="3733">
      <c r="A3733" s="14">
        <v>525.0</v>
      </c>
      <c r="B3733" s="14">
        <v>1.7517529E7</v>
      </c>
      <c r="C3733" s="14">
        <v>9.6908058E7</v>
      </c>
      <c r="D3733" s="2" t="s">
        <v>3961</v>
      </c>
      <c r="E3733" s="1" t="s">
        <v>121</v>
      </c>
      <c r="F3733" s="14">
        <v>0.0</v>
      </c>
      <c r="G3733" s="15"/>
      <c r="H3733" s="16"/>
      <c r="I3733" s="14"/>
    </row>
    <row r="3734">
      <c r="A3734" s="14">
        <v>414.0</v>
      </c>
      <c r="B3734" s="14">
        <v>1.7691547E7</v>
      </c>
      <c r="C3734" s="14">
        <v>7.4594779E7</v>
      </c>
      <c r="D3734" s="2" t="s">
        <v>3948</v>
      </c>
      <c r="E3734" s="1" t="s">
        <v>121</v>
      </c>
      <c r="F3734" s="14">
        <v>0.0</v>
      </c>
      <c r="G3734" s="15"/>
      <c r="H3734" s="16"/>
      <c r="I3734" s="14"/>
    </row>
    <row r="3735">
      <c r="A3735" s="14">
        <v>392.0</v>
      </c>
      <c r="B3735" s="14">
        <v>1.801067E7</v>
      </c>
      <c r="C3735" s="14">
        <v>7.5747843E7</v>
      </c>
      <c r="D3735" s="2" t="s">
        <v>3938</v>
      </c>
      <c r="E3735" s="1" t="s">
        <v>121</v>
      </c>
      <c r="F3735" s="14">
        <v>0.0</v>
      </c>
      <c r="G3735" s="15"/>
      <c r="H3735" s="16"/>
      <c r="I3735" s="14"/>
    </row>
    <row r="3736">
      <c r="A3736" s="14">
        <v>531.0</v>
      </c>
      <c r="B3736" s="14">
        <v>1.9878675E7</v>
      </c>
      <c r="C3736" s="14">
        <v>8.2899203E7</v>
      </c>
      <c r="D3736" s="2" t="s">
        <v>3882</v>
      </c>
      <c r="E3736" s="1" t="s">
        <v>121</v>
      </c>
      <c r="F3736" s="14">
        <v>0.0</v>
      </c>
      <c r="G3736" s="15"/>
      <c r="H3736" s="16"/>
      <c r="I3736" s="14"/>
    </row>
    <row r="3737">
      <c r="A3737" s="14">
        <v>668.0</v>
      </c>
      <c r="B3737" s="14">
        <v>2.0285268E7</v>
      </c>
      <c r="C3737" s="14">
        <v>8.4499394E7</v>
      </c>
      <c r="D3737" s="2" t="s">
        <v>3874</v>
      </c>
      <c r="E3737" s="1" t="s">
        <v>121</v>
      </c>
      <c r="F3737" s="14">
        <v>0.0</v>
      </c>
      <c r="G3737" s="15"/>
      <c r="H3737" s="16"/>
      <c r="I3737" s="14"/>
    </row>
    <row r="3738">
      <c r="A3738" s="14">
        <v>378.0</v>
      </c>
      <c r="B3738" s="14">
        <v>2.0314157E7</v>
      </c>
      <c r="C3738" s="14">
        <v>8.4471716E7</v>
      </c>
      <c r="D3738" s="2" t="s">
        <v>3873</v>
      </c>
      <c r="E3738" s="1" t="s">
        <v>121</v>
      </c>
      <c r="F3738" s="14">
        <v>0.0</v>
      </c>
      <c r="G3738" s="15"/>
      <c r="H3738" s="16"/>
      <c r="I3738" s="14"/>
    </row>
    <row r="3739">
      <c r="A3739" s="14">
        <v>716.0</v>
      </c>
      <c r="B3739" s="14">
        <v>2.1080321E7</v>
      </c>
      <c r="C3739" s="14">
        <v>8.7472319E7</v>
      </c>
      <c r="D3739" s="2" t="s">
        <v>3829</v>
      </c>
      <c r="E3739" s="1" t="s">
        <v>121</v>
      </c>
      <c r="F3739" s="14">
        <v>0.0</v>
      </c>
      <c r="G3739" s="15"/>
      <c r="H3739" s="16"/>
      <c r="I3739" s="14"/>
    </row>
    <row r="3740">
      <c r="A3740" s="14">
        <v>571.0</v>
      </c>
      <c r="B3740" s="14">
        <v>2.2402368E7</v>
      </c>
      <c r="C3740" s="14">
        <v>4.40606039E8</v>
      </c>
      <c r="D3740" s="2" t="s">
        <v>3793</v>
      </c>
      <c r="E3740" s="1" t="s">
        <v>121</v>
      </c>
      <c r="F3740" s="14">
        <v>0.0</v>
      </c>
      <c r="G3740" s="15"/>
      <c r="H3740" s="16"/>
      <c r="I3740" s="14"/>
    </row>
    <row r="3741">
      <c r="A3741" s="14">
        <v>337.0</v>
      </c>
      <c r="B3741" s="14">
        <v>2.2466768E7</v>
      </c>
      <c r="C3741" s="14">
        <v>9.2717759E7</v>
      </c>
      <c r="D3741" s="2" t="s">
        <v>3791</v>
      </c>
      <c r="E3741" s="1" t="s">
        <v>121</v>
      </c>
      <c r="F3741" s="14">
        <v>0.0</v>
      </c>
      <c r="G3741" s="15"/>
      <c r="H3741" s="16"/>
      <c r="I3741" s="14"/>
    </row>
    <row r="3742">
      <c r="A3742" s="14">
        <v>716.0</v>
      </c>
      <c r="B3742" s="14">
        <v>2.2754366E7</v>
      </c>
      <c r="C3742" s="14">
        <v>9.3859609E7</v>
      </c>
      <c r="D3742" s="2" t="s">
        <v>3782</v>
      </c>
      <c r="E3742" s="1" t="s">
        <v>121</v>
      </c>
      <c r="F3742" s="14">
        <v>0.0</v>
      </c>
      <c r="G3742" s="15"/>
      <c r="H3742" s="16"/>
      <c r="I3742" s="14"/>
    </row>
    <row r="3743">
      <c r="A3743" s="14">
        <v>609.0</v>
      </c>
      <c r="B3743" s="14">
        <v>2.3831123E7</v>
      </c>
      <c r="C3743" s="14">
        <v>9.801903E7</v>
      </c>
      <c r="D3743" s="2" t="s">
        <v>3756</v>
      </c>
      <c r="E3743" s="1" t="s">
        <v>121</v>
      </c>
      <c r="F3743" s="14">
        <v>0.0</v>
      </c>
      <c r="G3743" s="15"/>
      <c r="H3743" s="16"/>
      <c r="I3743" s="14"/>
    </row>
    <row r="3744">
      <c r="A3744" s="14">
        <v>414.0</v>
      </c>
      <c r="B3744" s="14">
        <v>2.5449217E7</v>
      </c>
      <c r="C3744" s="14">
        <v>1.03352405E8</v>
      </c>
      <c r="D3744" s="2" t="s">
        <v>3717</v>
      </c>
      <c r="E3744" s="1" t="s">
        <v>121</v>
      </c>
      <c r="F3744" s="14">
        <v>0.0</v>
      </c>
      <c r="G3744" s="15"/>
      <c r="H3744" s="16"/>
      <c r="I3744" s="14"/>
    </row>
    <row r="3745">
      <c r="A3745" s="14">
        <v>379.0</v>
      </c>
      <c r="B3745" s="14">
        <v>2.652693E7</v>
      </c>
      <c r="C3745" s="14">
        <v>1.07365928E8</v>
      </c>
      <c r="D3745" s="2" t="s">
        <v>3692</v>
      </c>
      <c r="E3745" s="1" t="s">
        <v>121</v>
      </c>
      <c r="F3745" s="14">
        <v>0.0</v>
      </c>
      <c r="G3745" s="15"/>
      <c r="H3745" s="16"/>
      <c r="I3745" s="14"/>
    </row>
    <row r="3746">
      <c r="A3746" s="14">
        <v>644.0</v>
      </c>
      <c r="B3746" s="14">
        <v>2.7150439E7</v>
      </c>
      <c r="C3746" s="14">
        <v>1.0969626E8</v>
      </c>
      <c r="D3746" s="2" t="s">
        <v>3672</v>
      </c>
      <c r="E3746" s="1" t="s">
        <v>121</v>
      </c>
      <c r="F3746" s="14">
        <v>0.0</v>
      </c>
      <c r="G3746" s="15"/>
      <c r="H3746" s="16"/>
      <c r="I3746" s="14"/>
    </row>
    <row r="3747">
      <c r="A3747" s="14">
        <v>475.0</v>
      </c>
      <c r="B3747" s="14">
        <v>2.7385487E7</v>
      </c>
      <c r="C3747" s="14">
        <v>1.10661244E8</v>
      </c>
      <c r="D3747" s="2" t="s">
        <v>3668</v>
      </c>
      <c r="E3747" s="1" t="s">
        <v>121</v>
      </c>
      <c r="F3747" s="14">
        <v>0.0</v>
      </c>
      <c r="G3747" s="15"/>
      <c r="H3747" s="16"/>
      <c r="I3747" s="14"/>
    </row>
    <row r="3748">
      <c r="A3748" s="14">
        <v>713.0</v>
      </c>
      <c r="B3748" s="14">
        <v>2.7455621E7</v>
      </c>
      <c r="C3748" s="14">
        <v>1.92089387E8</v>
      </c>
      <c r="D3748" s="2" t="s">
        <v>3662</v>
      </c>
      <c r="E3748" s="1" t="s">
        <v>121</v>
      </c>
      <c r="F3748" s="14">
        <v>0.0</v>
      </c>
      <c r="G3748" s="15"/>
      <c r="H3748" s="16"/>
      <c r="I3748" s="14"/>
    </row>
    <row r="3749">
      <c r="A3749" s="14">
        <v>571.0</v>
      </c>
      <c r="B3749" s="14">
        <v>2.8591321E7</v>
      </c>
      <c r="C3749" s="14">
        <v>1.15426151E8</v>
      </c>
      <c r="D3749" s="2" t="s">
        <v>3625</v>
      </c>
      <c r="E3749" s="1" t="s">
        <v>121</v>
      </c>
      <c r="F3749" s="14">
        <v>0.0</v>
      </c>
      <c r="G3749" s="15"/>
      <c r="H3749" s="16"/>
      <c r="I3749" s="14"/>
    </row>
    <row r="3750">
      <c r="A3750" s="14">
        <v>602.0</v>
      </c>
      <c r="B3750" s="14">
        <v>2.9621844E7</v>
      </c>
      <c r="C3750" s="14">
        <v>3.89520462E8</v>
      </c>
      <c r="D3750" s="2" t="s">
        <v>3600</v>
      </c>
      <c r="E3750" s="1" t="s">
        <v>121</v>
      </c>
      <c r="F3750" s="14">
        <v>0.0</v>
      </c>
      <c r="G3750" s="15"/>
      <c r="H3750" s="16"/>
      <c r="I3750" s="14"/>
    </row>
    <row r="3751">
      <c r="A3751" s="14">
        <v>656.0</v>
      </c>
      <c r="B3751" s="14">
        <v>3.0381683E7</v>
      </c>
      <c r="C3751" s="14">
        <v>1.21905226E8</v>
      </c>
      <c r="D3751" s="2" t="s">
        <v>3576</v>
      </c>
      <c r="E3751" s="1" t="s">
        <v>121</v>
      </c>
      <c r="F3751" s="14">
        <v>0.0</v>
      </c>
      <c r="G3751" s="15"/>
      <c r="H3751" s="16"/>
      <c r="I3751" s="14"/>
    </row>
    <row r="3752">
      <c r="A3752" s="14">
        <v>680.0</v>
      </c>
      <c r="B3752" s="14">
        <v>3.1561128E7</v>
      </c>
      <c r="C3752" s="14">
        <v>1.26452502E8</v>
      </c>
      <c r="D3752" s="2" t="s">
        <v>3551</v>
      </c>
      <c r="E3752" s="1" t="s">
        <v>121</v>
      </c>
      <c r="F3752" s="14">
        <v>0.0</v>
      </c>
      <c r="G3752" s="15"/>
      <c r="H3752" s="16"/>
      <c r="I3752" s="14"/>
    </row>
    <row r="3753">
      <c r="A3753" s="14">
        <v>173.0</v>
      </c>
      <c r="B3753" s="14">
        <v>3.2136452E7</v>
      </c>
      <c r="C3753" s="14">
        <v>1.28856113E8</v>
      </c>
      <c r="D3753" s="2" t="s">
        <v>3538</v>
      </c>
      <c r="E3753" s="1" t="s">
        <v>121</v>
      </c>
      <c r="F3753" s="14">
        <v>0.0</v>
      </c>
      <c r="G3753" s="15"/>
      <c r="H3753" s="16"/>
      <c r="I3753" s="14"/>
    </row>
    <row r="3754">
      <c r="A3754" s="14">
        <v>570.0</v>
      </c>
      <c r="B3754" s="14">
        <v>3.2446449E7</v>
      </c>
      <c r="C3754" s="14">
        <v>2.14434853E8</v>
      </c>
      <c r="D3754" s="2" t="s">
        <v>3527</v>
      </c>
      <c r="E3754" s="1" t="s">
        <v>121</v>
      </c>
      <c r="F3754" s="14">
        <v>0.0</v>
      </c>
      <c r="G3754" s="15"/>
      <c r="H3754" s="16"/>
      <c r="I3754" s="14"/>
    </row>
    <row r="3755">
      <c r="A3755" s="14">
        <v>571.0</v>
      </c>
      <c r="B3755" s="14">
        <v>3.2942103E7</v>
      </c>
      <c r="C3755" s="14">
        <v>4.30683003E8</v>
      </c>
      <c r="D3755" s="2" t="s">
        <v>3517</v>
      </c>
      <c r="E3755" s="1" t="s">
        <v>121</v>
      </c>
      <c r="F3755" s="14">
        <v>0.0</v>
      </c>
      <c r="G3755" s="15"/>
      <c r="H3755" s="16"/>
      <c r="I3755" s="14"/>
    </row>
    <row r="3756">
      <c r="A3756" s="14">
        <v>244.0</v>
      </c>
      <c r="B3756" s="14">
        <v>3.3090482E7</v>
      </c>
      <c r="C3756" s="14">
        <v>1.32462389E8</v>
      </c>
      <c r="D3756" s="2" t="s">
        <v>3515</v>
      </c>
      <c r="E3756" s="1" t="s">
        <v>121</v>
      </c>
      <c r="F3756" s="14">
        <v>0.0</v>
      </c>
      <c r="G3756" s="15"/>
      <c r="H3756" s="16"/>
      <c r="I3756" s="14"/>
    </row>
    <row r="3757">
      <c r="A3757" s="14">
        <v>571.0</v>
      </c>
      <c r="B3757" s="14">
        <v>3.3487705E7</v>
      </c>
      <c r="C3757" s="14">
        <v>1.33756262E8</v>
      </c>
      <c r="D3757" s="2" t="s">
        <v>3510</v>
      </c>
      <c r="E3757" s="1" t="s">
        <v>121</v>
      </c>
      <c r="F3757" s="14">
        <v>0.0</v>
      </c>
      <c r="G3757" s="15"/>
      <c r="H3757" s="16"/>
      <c r="I3757" s="14"/>
    </row>
    <row r="3758">
      <c r="A3758" s="14">
        <v>210.0</v>
      </c>
      <c r="B3758" s="14">
        <v>3.412124E7</v>
      </c>
      <c r="C3758" s="14">
        <v>2.15333028E8</v>
      </c>
      <c r="D3758" s="2" t="s">
        <v>3498</v>
      </c>
      <c r="E3758" s="1" t="s">
        <v>121</v>
      </c>
      <c r="F3758" s="14">
        <v>0.0</v>
      </c>
      <c r="G3758" s="15"/>
      <c r="H3758" s="16"/>
      <c r="I3758" s="14"/>
    </row>
    <row r="3759">
      <c r="A3759" s="14">
        <v>601.0</v>
      </c>
      <c r="B3759" s="14">
        <v>3.4839569E7</v>
      </c>
      <c r="C3759" s="14">
        <v>1.40043731E8</v>
      </c>
      <c r="D3759" s="2" t="s">
        <v>3486</v>
      </c>
      <c r="E3759" s="1" t="s">
        <v>121</v>
      </c>
      <c r="F3759" s="14">
        <v>0.0</v>
      </c>
      <c r="G3759" s="15"/>
      <c r="H3759" s="16"/>
      <c r="I3759" s="14"/>
    </row>
    <row r="3760">
      <c r="A3760" s="14">
        <v>410.0</v>
      </c>
      <c r="B3760" s="14">
        <v>3.4934624E7</v>
      </c>
      <c r="C3760" s="14">
        <v>1.39423595E8</v>
      </c>
      <c r="D3760" s="2" t="s">
        <v>3483</v>
      </c>
      <c r="E3760" s="1" t="s">
        <v>121</v>
      </c>
      <c r="F3760" s="14">
        <v>0.0</v>
      </c>
      <c r="G3760" s="15"/>
      <c r="H3760" s="16"/>
      <c r="I3760" s="14"/>
    </row>
    <row r="3761">
      <c r="A3761" s="14">
        <v>670.0</v>
      </c>
      <c r="B3761" s="14">
        <v>3.5832767E7</v>
      </c>
      <c r="C3761" s="14">
        <v>1.42879613E8</v>
      </c>
      <c r="D3761" s="2" t="s">
        <v>3470</v>
      </c>
      <c r="E3761" s="1" t="s">
        <v>121</v>
      </c>
      <c r="F3761" s="14">
        <v>0.0</v>
      </c>
      <c r="G3761" s="15"/>
      <c r="H3761" s="16"/>
      <c r="I3761" s="14"/>
    </row>
    <row r="3762">
      <c r="A3762" s="14">
        <v>410.0</v>
      </c>
      <c r="B3762" s="14">
        <v>3.62694E7</v>
      </c>
      <c r="C3762" s="14">
        <v>1.44491237E8</v>
      </c>
      <c r="D3762" s="2" t="s">
        <v>3463</v>
      </c>
      <c r="E3762" s="1" t="s">
        <v>121</v>
      </c>
      <c r="F3762" s="14">
        <v>0.0</v>
      </c>
      <c r="G3762" s="15"/>
      <c r="H3762" s="16"/>
      <c r="I3762" s="14"/>
    </row>
    <row r="3763">
      <c r="A3763" s="14">
        <v>531.0</v>
      </c>
      <c r="B3763" s="14">
        <v>3.6835717E7</v>
      </c>
      <c r="C3763" s="14">
        <v>1.46898298E8</v>
      </c>
      <c r="D3763" s="2" t="s">
        <v>3450</v>
      </c>
      <c r="E3763" s="1" t="s">
        <v>121</v>
      </c>
      <c r="F3763" s="14">
        <v>0.0</v>
      </c>
      <c r="G3763" s="15"/>
      <c r="H3763" s="16"/>
      <c r="I3763" s="14"/>
    </row>
    <row r="3764">
      <c r="A3764" s="14">
        <v>504.0</v>
      </c>
      <c r="B3764" s="14">
        <v>3.7532239E7</v>
      </c>
      <c r="C3764" s="14">
        <v>1.49170384E8</v>
      </c>
      <c r="D3764" s="2" t="s">
        <v>3439</v>
      </c>
      <c r="E3764" s="1" t="s">
        <v>121</v>
      </c>
      <c r="F3764" s="14">
        <v>0.0</v>
      </c>
      <c r="G3764" s="15"/>
      <c r="H3764" s="16"/>
      <c r="I3764" s="14"/>
    </row>
    <row r="3765">
      <c r="A3765" s="14">
        <v>587.0</v>
      </c>
      <c r="B3765" s="14">
        <v>3.7738511E7</v>
      </c>
      <c r="C3765" s="14">
        <v>2.95448759E8</v>
      </c>
      <c r="D3765" s="2" t="s">
        <v>3435</v>
      </c>
      <c r="E3765" s="1" t="s">
        <v>121</v>
      </c>
      <c r="F3765" s="14">
        <v>0.0</v>
      </c>
      <c r="G3765" s="15"/>
      <c r="H3765" s="16"/>
      <c r="I3765" s="14"/>
    </row>
    <row r="3766">
      <c r="A3766" s="14">
        <v>410.0</v>
      </c>
      <c r="B3766" s="14">
        <v>3.8693577E7</v>
      </c>
      <c r="C3766" s="14">
        <v>1.5348472E8</v>
      </c>
      <c r="D3766" s="2" t="s">
        <v>3422</v>
      </c>
      <c r="E3766" s="1" t="s">
        <v>121</v>
      </c>
      <c r="F3766" s="14">
        <v>0.0</v>
      </c>
      <c r="G3766" s="15"/>
      <c r="H3766" s="16"/>
      <c r="I3766" s="14"/>
    </row>
    <row r="3767">
      <c r="A3767" s="14">
        <v>597.0</v>
      </c>
      <c r="B3767" s="14">
        <v>3.9456791E7</v>
      </c>
      <c r="C3767" s="14">
        <v>1.56549676E8</v>
      </c>
      <c r="D3767" s="2" t="s">
        <v>3393</v>
      </c>
      <c r="E3767" s="1" t="s">
        <v>121</v>
      </c>
      <c r="F3767" s="14">
        <v>0.0</v>
      </c>
      <c r="G3767" s="15"/>
      <c r="H3767" s="16"/>
      <c r="I3767" s="14"/>
    </row>
    <row r="3768">
      <c r="A3768" s="14">
        <v>488.0</v>
      </c>
      <c r="B3768" s="14">
        <v>4.1211549E7</v>
      </c>
      <c r="C3768" s="14">
        <v>1.63183915E8</v>
      </c>
      <c r="D3768" s="2" t="s">
        <v>3350</v>
      </c>
      <c r="E3768" s="1" t="s">
        <v>121</v>
      </c>
      <c r="F3768" s="14">
        <v>0.0</v>
      </c>
      <c r="G3768" s="15"/>
      <c r="H3768" s="16"/>
      <c r="I3768" s="14"/>
    </row>
    <row r="3769">
      <c r="A3769" s="14">
        <v>665.0</v>
      </c>
      <c r="B3769" s="14">
        <v>4.1290539E7</v>
      </c>
      <c r="C3769" s="14">
        <v>1.63458283E8</v>
      </c>
      <c r="D3769" s="2" t="s">
        <v>3348</v>
      </c>
      <c r="E3769" s="1" t="s">
        <v>121</v>
      </c>
      <c r="F3769" s="14">
        <v>0.0</v>
      </c>
      <c r="G3769" s="15"/>
      <c r="H3769" s="16"/>
      <c r="I3769" s="14"/>
    </row>
    <row r="3770">
      <c r="A3770" s="14">
        <v>671.0</v>
      </c>
      <c r="B3770" s="14">
        <v>4.2197437E7</v>
      </c>
      <c r="C3770" s="14">
        <v>3.63780334E8</v>
      </c>
      <c r="D3770" s="2" t="s">
        <v>3315</v>
      </c>
      <c r="E3770" s="1" t="s">
        <v>121</v>
      </c>
      <c r="F3770" s="14">
        <v>0.0</v>
      </c>
      <c r="G3770" s="15"/>
      <c r="H3770" s="16"/>
      <c r="I3770" s="14"/>
    </row>
    <row r="3771">
      <c r="A3771" s="14">
        <v>419.0</v>
      </c>
      <c r="B3771" s="14">
        <v>4.3657935E7</v>
      </c>
      <c r="C3771" s="14">
        <v>1.72684844E8</v>
      </c>
      <c r="D3771" s="2" t="s">
        <v>3281</v>
      </c>
      <c r="E3771" s="1" t="s">
        <v>121</v>
      </c>
      <c r="F3771" s="14">
        <v>0.0</v>
      </c>
      <c r="G3771" s="15"/>
      <c r="H3771" s="16"/>
      <c r="I3771" s="14"/>
    </row>
    <row r="3772">
      <c r="A3772" s="14">
        <v>616.0</v>
      </c>
      <c r="B3772" s="14">
        <v>4.3765733E7</v>
      </c>
      <c r="C3772" s="14">
        <v>1.7299444E8</v>
      </c>
      <c r="D3772" s="2" t="s">
        <v>3279</v>
      </c>
      <c r="E3772" s="1" t="s">
        <v>121</v>
      </c>
      <c r="F3772" s="14">
        <v>0.0</v>
      </c>
      <c r="G3772" s="15"/>
      <c r="H3772" s="16"/>
      <c r="I3772" s="14"/>
    </row>
    <row r="3773">
      <c r="A3773" s="14">
        <v>461.0</v>
      </c>
      <c r="B3773" s="14">
        <v>4.3838431E7</v>
      </c>
      <c r="C3773" s="14">
        <v>1.73232874E8</v>
      </c>
      <c r="D3773" s="2" t="s">
        <v>3272</v>
      </c>
      <c r="E3773" s="1" t="s">
        <v>121</v>
      </c>
      <c r="F3773" s="14">
        <v>0.0</v>
      </c>
      <c r="G3773" s="15"/>
      <c r="H3773" s="16"/>
      <c r="I3773" s="14"/>
    </row>
    <row r="3774">
      <c r="A3774" s="14">
        <v>565.0</v>
      </c>
      <c r="B3774" s="14">
        <v>4.4231994E7</v>
      </c>
      <c r="C3774" s="14">
        <v>1.74914164E8</v>
      </c>
      <c r="D3774" s="2" t="s">
        <v>3262</v>
      </c>
      <c r="E3774" s="1" t="s">
        <v>121</v>
      </c>
      <c r="F3774" s="14">
        <v>0.0</v>
      </c>
      <c r="G3774" s="15"/>
      <c r="H3774" s="16"/>
      <c r="I3774" s="14"/>
    </row>
    <row r="3775">
      <c r="A3775" s="14">
        <v>414.0</v>
      </c>
      <c r="B3775" s="14">
        <v>4.47558E7</v>
      </c>
      <c r="C3775" s="14">
        <v>1.76692987E8</v>
      </c>
      <c r="D3775" s="2" t="s">
        <v>3255</v>
      </c>
      <c r="E3775" s="1" t="s">
        <v>121</v>
      </c>
      <c r="F3775" s="14">
        <v>0.0</v>
      </c>
      <c r="G3775" s="15"/>
      <c r="H3775" s="16"/>
      <c r="I3775" s="14"/>
    </row>
    <row r="3776">
      <c r="A3776" s="14">
        <v>475.0</v>
      </c>
      <c r="B3776" s="14">
        <v>4.4781078E7</v>
      </c>
      <c r="C3776" s="14">
        <v>1.7674902E8</v>
      </c>
      <c r="D3776" s="2" t="s">
        <v>3254</v>
      </c>
      <c r="E3776" s="1" t="s">
        <v>121</v>
      </c>
      <c r="F3776" s="14">
        <v>0.0</v>
      </c>
      <c r="G3776" s="15"/>
      <c r="H3776" s="16"/>
      <c r="I3776" s="14"/>
    </row>
    <row r="3777">
      <c r="A3777" s="14">
        <v>401.0</v>
      </c>
      <c r="B3777" s="14">
        <v>4.5273875E7</v>
      </c>
      <c r="C3777" s="14">
        <v>1.79069089E8</v>
      </c>
      <c r="D3777" s="2" t="s">
        <v>3240</v>
      </c>
      <c r="E3777" s="1" t="s">
        <v>121</v>
      </c>
      <c r="F3777" s="14">
        <v>0.0</v>
      </c>
      <c r="G3777" s="15"/>
      <c r="H3777" s="16"/>
      <c r="I3777" s="14"/>
    </row>
    <row r="3778">
      <c r="A3778" s="14">
        <v>353.0</v>
      </c>
      <c r="B3778" s="14">
        <v>4.5542679E7</v>
      </c>
      <c r="C3778" s="14">
        <v>1.79818762E8</v>
      </c>
      <c r="D3778" s="2" t="s">
        <v>3233</v>
      </c>
      <c r="E3778" s="1" t="s">
        <v>121</v>
      </c>
      <c r="F3778" s="14">
        <v>0.0</v>
      </c>
      <c r="G3778" s="15"/>
      <c r="H3778" s="16"/>
      <c r="I3778" s="14"/>
    </row>
    <row r="3779">
      <c r="A3779" s="14">
        <v>664.0</v>
      </c>
      <c r="B3779" s="14">
        <v>4.5874829E7</v>
      </c>
      <c r="C3779" s="14">
        <v>1.8122981E8</v>
      </c>
      <c r="D3779" s="2" t="s">
        <v>3219</v>
      </c>
      <c r="E3779" s="1" t="s">
        <v>121</v>
      </c>
      <c r="F3779" s="14">
        <v>0.0</v>
      </c>
      <c r="G3779" s="15"/>
      <c r="H3779" s="16"/>
      <c r="I3779" s="14"/>
    </row>
    <row r="3780">
      <c r="A3780" s="14">
        <v>669.0</v>
      </c>
      <c r="B3780" s="14">
        <v>4.6348761E7</v>
      </c>
      <c r="C3780" s="14">
        <v>2.11724418E8</v>
      </c>
      <c r="D3780" s="2" t="s">
        <v>3197</v>
      </c>
      <c r="E3780" s="1" t="s">
        <v>121</v>
      </c>
      <c r="F3780" s="14">
        <v>0.0</v>
      </c>
      <c r="G3780" s="15"/>
      <c r="H3780" s="16"/>
      <c r="I3780" s="14"/>
    </row>
    <row r="3781">
      <c r="A3781" s="14">
        <v>414.0</v>
      </c>
      <c r="B3781" s="14">
        <v>4.6429871E7</v>
      </c>
      <c r="C3781" s="14">
        <v>1.83282341E8</v>
      </c>
      <c r="D3781" s="2" t="s">
        <v>3190</v>
      </c>
      <c r="E3781" s="1" t="s">
        <v>121</v>
      </c>
      <c r="F3781" s="14">
        <v>0.0</v>
      </c>
      <c r="G3781" s="15"/>
      <c r="H3781" s="16"/>
      <c r="I3781" s="14"/>
    </row>
    <row r="3782">
      <c r="A3782" s="14">
        <v>458.0</v>
      </c>
      <c r="B3782" s="14">
        <v>4.6538661E7</v>
      </c>
      <c r="C3782" s="14">
        <v>1.83801931E8</v>
      </c>
      <c r="D3782" s="2" t="s">
        <v>3185</v>
      </c>
      <c r="E3782" s="1" t="s">
        <v>121</v>
      </c>
      <c r="F3782" s="14">
        <v>0.0</v>
      </c>
      <c r="G3782" s="15"/>
      <c r="H3782" s="16"/>
      <c r="I3782" s="14"/>
    </row>
    <row r="3783">
      <c r="A3783" s="14">
        <v>663.0</v>
      </c>
      <c r="B3783" s="14">
        <v>4.7040752E7</v>
      </c>
      <c r="C3783" s="14">
        <v>1.85848991E8</v>
      </c>
      <c r="D3783" s="2" t="s">
        <v>3154</v>
      </c>
      <c r="E3783" s="1" t="s">
        <v>121</v>
      </c>
      <c r="F3783" s="14">
        <v>0.0</v>
      </c>
      <c r="G3783" s="15"/>
      <c r="H3783" s="16"/>
      <c r="I3783" s="14"/>
    </row>
    <row r="3784">
      <c r="A3784" s="14">
        <v>601.0</v>
      </c>
      <c r="B3784" s="14">
        <v>4.7197982E7</v>
      </c>
      <c r="C3784" s="14">
        <v>3.38374684E8</v>
      </c>
      <c r="D3784" s="2" t="s">
        <v>3144</v>
      </c>
      <c r="E3784" s="1" t="s">
        <v>121</v>
      </c>
      <c r="F3784" s="14">
        <v>0.0</v>
      </c>
      <c r="G3784" s="15"/>
      <c r="H3784" s="16"/>
      <c r="I3784" s="14"/>
    </row>
    <row r="3785">
      <c r="A3785" s="14">
        <v>522.0</v>
      </c>
      <c r="B3785" s="14">
        <v>4.7568429E7</v>
      </c>
      <c r="C3785" s="14">
        <v>1.88029009E8</v>
      </c>
      <c r="D3785" s="2" t="s">
        <v>3130</v>
      </c>
      <c r="E3785" s="1" t="s">
        <v>121</v>
      </c>
      <c r="F3785" s="14">
        <v>0.0</v>
      </c>
      <c r="G3785" s="15"/>
      <c r="H3785" s="16"/>
      <c r="I3785" s="14"/>
    </row>
    <row r="3786">
      <c r="A3786" s="14">
        <v>410.0</v>
      </c>
      <c r="B3786" s="14">
        <v>4.7728001E7</v>
      </c>
      <c r="C3786" s="14">
        <v>1.89058153E8</v>
      </c>
      <c r="D3786" s="2" t="s">
        <v>3124</v>
      </c>
      <c r="E3786" s="1" t="s">
        <v>121</v>
      </c>
      <c r="F3786" s="14">
        <v>0.0</v>
      </c>
      <c r="G3786" s="15"/>
      <c r="H3786" s="16"/>
      <c r="I3786" s="14"/>
    </row>
    <row r="3787">
      <c r="A3787" s="14">
        <v>355.0</v>
      </c>
      <c r="B3787" s="14">
        <v>4.8562279E7</v>
      </c>
      <c r="C3787" s="14">
        <v>1.91919361E8</v>
      </c>
      <c r="D3787" s="2" t="s">
        <v>3076</v>
      </c>
      <c r="E3787" s="1" t="s">
        <v>121</v>
      </c>
      <c r="F3787" s="14">
        <v>0.0</v>
      </c>
      <c r="G3787" s="15"/>
      <c r="H3787" s="16"/>
      <c r="I3787" s="14"/>
    </row>
    <row r="3788">
      <c r="A3788" s="14">
        <v>379.0</v>
      </c>
      <c r="B3788" s="14">
        <v>4.95165E7</v>
      </c>
      <c r="C3788" s="14">
        <v>1.95797842E8</v>
      </c>
      <c r="D3788" s="2" t="s">
        <v>3035</v>
      </c>
      <c r="E3788" s="1" t="s">
        <v>121</v>
      </c>
      <c r="F3788" s="14">
        <v>0.0</v>
      </c>
      <c r="G3788" s="15"/>
      <c r="H3788" s="16"/>
      <c r="I3788" s="14"/>
    </row>
    <row r="3789">
      <c r="A3789" s="14">
        <v>461.0</v>
      </c>
      <c r="B3789" s="14">
        <v>5.0208533E7</v>
      </c>
      <c r="C3789" s="14">
        <v>4.52811676E8</v>
      </c>
      <c r="D3789" s="2" t="s">
        <v>3013</v>
      </c>
      <c r="E3789" s="1" t="s">
        <v>121</v>
      </c>
      <c r="F3789" s="14">
        <v>0.0</v>
      </c>
      <c r="G3789" s="15"/>
      <c r="H3789" s="16"/>
      <c r="I3789" s="14"/>
    </row>
    <row r="3790">
      <c r="A3790" s="14">
        <v>522.0</v>
      </c>
      <c r="B3790" s="14">
        <v>5.0401817E7</v>
      </c>
      <c r="C3790" s="14">
        <v>1.99425971E8</v>
      </c>
      <c r="D3790" s="2" t="s">
        <v>3006</v>
      </c>
      <c r="E3790" s="1" t="s">
        <v>121</v>
      </c>
      <c r="F3790" s="14">
        <v>0.0</v>
      </c>
      <c r="G3790" s="15"/>
      <c r="H3790" s="16"/>
      <c r="I3790" s="14"/>
    </row>
    <row r="3791">
      <c r="A3791" s="14">
        <v>379.0</v>
      </c>
      <c r="B3791" s="14">
        <v>5.0487941E7</v>
      </c>
      <c r="C3791" s="14">
        <v>1.99827039E8</v>
      </c>
      <c r="D3791" s="2" t="s">
        <v>3002</v>
      </c>
      <c r="E3791" s="1" t="s">
        <v>121</v>
      </c>
      <c r="F3791" s="14">
        <v>0.0</v>
      </c>
      <c r="G3791" s="15"/>
      <c r="H3791" s="16"/>
      <c r="I3791" s="14"/>
    </row>
    <row r="3792">
      <c r="A3792" s="14">
        <v>671.0</v>
      </c>
      <c r="B3792" s="14">
        <v>5.1016879E7</v>
      </c>
      <c r="C3792" s="14">
        <v>2.02432059E8</v>
      </c>
      <c r="D3792" s="2" t="s">
        <v>2987</v>
      </c>
      <c r="E3792" s="1" t="s">
        <v>121</v>
      </c>
      <c r="F3792" s="14">
        <v>0.0</v>
      </c>
      <c r="G3792" s="15"/>
      <c r="H3792" s="16"/>
      <c r="I3792" s="14"/>
    </row>
    <row r="3793">
      <c r="A3793" s="14">
        <v>696.0</v>
      </c>
      <c r="B3793" s="14">
        <v>5.1731587E7</v>
      </c>
      <c r="C3793" s="14">
        <v>2.05193112E8</v>
      </c>
      <c r="D3793" s="2" t="s">
        <v>2955</v>
      </c>
      <c r="E3793" s="1" t="s">
        <v>121</v>
      </c>
      <c r="F3793" s="14">
        <v>0.0</v>
      </c>
      <c r="G3793" s="15"/>
      <c r="H3793" s="16"/>
      <c r="I3793" s="14"/>
    </row>
    <row r="3794">
      <c r="A3794" s="14">
        <v>414.0</v>
      </c>
      <c r="B3794" s="14">
        <v>5.4345639E7</v>
      </c>
      <c r="C3794" s="14">
        <v>2.15544833E8</v>
      </c>
      <c r="D3794" s="2" t="s">
        <v>2867</v>
      </c>
      <c r="E3794" s="1" t="s">
        <v>121</v>
      </c>
      <c r="F3794" s="14">
        <v>0.0</v>
      </c>
      <c r="G3794" s="15"/>
      <c r="H3794" s="16"/>
      <c r="I3794" s="14"/>
    </row>
    <row r="3795">
      <c r="A3795" s="14">
        <v>320.0</v>
      </c>
      <c r="B3795" s="14">
        <v>5.4406118E7</v>
      </c>
      <c r="C3795" s="14">
        <v>2.15768292E8</v>
      </c>
      <c r="D3795" s="2" t="s">
        <v>2863</v>
      </c>
      <c r="E3795" s="1" t="s">
        <v>121</v>
      </c>
      <c r="F3795" s="14">
        <v>0.0</v>
      </c>
      <c r="G3795" s="15"/>
      <c r="H3795" s="16"/>
      <c r="I3795" s="14"/>
    </row>
    <row r="3796">
      <c r="A3796" s="14">
        <v>610.0</v>
      </c>
      <c r="B3796" s="14">
        <v>5.4425974E7</v>
      </c>
      <c r="C3796" s="14">
        <v>2.16010694E8</v>
      </c>
      <c r="D3796" s="2" t="s">
        <v>2862</v>
      </c>
      <c r="E3796" s="1" t="s">
        <v>121</v>
      </c>
      <c r="F3796" s="14">
        <v>0.0</v>
      </c>
      <c r="G3796" s="15"/>
      <c r="H3796" s="16"/>
      <c r="I3796" s="14"/>
    </row>
    <row r="3797">
      <c r="A3797" s="14">
        <v>669.0</v>
      </c>
      <c r="B3797" s="14">
        <v>5.4632774E7</v>
      </c>
      <c r="C3797" s="14">
        <v>2.16677208E8</v>
      </c>
      <c r="D3797" s="2" t="s">
        <v>2856</v>
      </c>
      <c r="E3797" s="1" t="s">
        <v>121</v>
      </c>
      <c r="F3797" s="14">
        <v>0.0</v>
      </c>
      <c r="G3797" s="15"/>
      <c r="H3797" s="16"/>
      <c r="I3797" s="14"/>
    </row>
    <row r="3798">
      <c r="A3798" s="14">
        <v>492.0</v>
      </c>
      <c r="B3798" s="14">
        <v>5.5209396E7</v>
      </c>
      <c r="C3798" s="14">
        <v>2.19146167E8</v>
      </c>
      <c r="D3798" s="2" t="s">
        <v>2836</v>
      </c>
      <c r="E3798" s="1" t="s">
        <v>121</v>
      </c>
      <c r="F3798" s="14">
        <v>0.0</v>
      </c>
      <c r="G3798" s="15"/>
      <c r="H3798" s="16"/>
      <c r="I3798" s="14"/>
    </row>
    <row r="3799">
      <c r="A3799" s="14">
        <v>672.0</v>
      </c>
      <c r="B3799" s="14">
        <v>5.5511884E7</v>
      </c>
      <c r="C3799" s="14">
        <v>2.20511437E8</v>
      </c>
      <c r="D3799" s="2" t="s">
        <v>2826</v>
      </c>
      <c r="E3799" s="1" t="s">
        <v>121</v>
      </c>
      <c r="F3799" s="14">
        <v>0.0</v>
      </c>
      <c r="G3799" s="15"/>
      <c r="H3799" s="16"/>
      <c r="I3799" s="14"/>
    </row>
    <row r="3800">
      <c r="A3800" s="14">
        <v>649.0</v>
      </c>
      <c r="B3800" s="14">
        <v>5.5913066E7</v>
      </c>
      <c r="C3800" s="14">
        <v>2.2212214E8</v>
      </c>
      <c r="D3800" s="2" t="s">
        <v>2818</v>
      </c>
      <c r="E3800" s="1" t="s">
        <v>121</v>
      </c>
      <c r="F3800" s="14">
        <v>0.0</v>
      </c>
      <c r="G3800" s="15"/>
      <c r="H3800" s="16"/>
      <c r="I3800" s="14"/>
    </row>
    <row r="3801">
      <c r="A3801" s="14">
        <v>498.0</v>
      </c>
      <c r="B3801" s="14">
        <v>5.6006085E7</v>
      </c>
      <c r="C3801" s="14">
        <v>2.2255059E8</v>
      </c>
      <c r="D3801" s="2" t="s">
        <v>2814</v>
      </c>
      <c r="E3801" s="1" t="s">
        <v>121</v>
      </c>
      <c r="F3801" s="14">
        <v>0.0</v>
      </c>
      <c r="G3801" s="15"/>
      <c r="H3801" s="16"/>
      <c r="I3801" s="14"/>
    </row>
    <row r="3802">
      <c r="A3802" s="14">
        <v>378.0</v>
      </c>
      <c r="B3802" s="14">
        <v>5.6300362E7</v>
      </c>
      <c r="C3802" s="14">
        <v>2.23719626E8</v>
      </c>
      <c r="D3802" s="2" t="s">
        <v>2808</v>
      </c>
      <c r="E3802" s="1" t="s">
        <v>121</v>
      </c>
      <c r="F3802" s="14">
        <v>0.0</v>
      </c>
      <c r="G3802" s="15"/>
      <c r="H3802" s="16"/>
      <c r="I3802" s="14"/>
    </row>
    <row r="3803">
      <c r="A3803" s="14">
        <v>610.0</v>
      </c>
      <c r="B3803" s="14">
        <v>5.6557214E7</v>
      </c>
      <c r="C3803" s="14">
        <v>2.24954202E8</v>
      </c>
      <c r="D3803" s="2" t="s">
        <v>2803</v>
      </c>
      <c r="E3803" s="1" t="s">
        <v>121</v>
      </c>
      <c r="F3803" s="14">
        <v>0.0</v>
      </c>
      <c r="G3803" s="15"/>
      <c r="H3803" s="16"/>
      <c r="I3803" s="14"/>
    </row>
    <row r="3804">
      <c r="A3804" s="14">
        <v>492.0</v>
      </c>
      <c r="B3804" s="14">
        <v>6.0028751E7</v>
      </c>
      <c r="C3804" s="14">
        <v>2.40630112E8</v>
      </c>
      <c r="D3804" s="2" t="s">
        <v>2692</v>
      </c>
      <c r="E3804" s="1" t="s">
        <v>121</v>
      </c>
      <c r="F3804" s="14">
        <v>0.0</v>
      </c>
      <c r="G3804" s="15"/>
      <c r="H3804" s="16"/>
      <c r="I3804" s="14"/>
    </row>
    <row r="3805">
      <c r="A3805" s="14">
        <v>571.0</v>
      </c>
      <c r="B3805" s="14">
        <v>6.0237768E7</v>
      </c>
      <c r="C3805" s="14">
        <v>4.07019279E8</v>
      </c>
      <c r="D3805" s="2" t="s">
        <v>2678</v>
      </c>
      <c r="E3805" s="1" t="s">
        <v>121</v>
      </c>
      <c r="F3805" s="14">
        <v>0.0</v>
      </c>
      <c r="G3805" s="15"/>
      <c r="H3805" s="16"/>
      <c r="I3805" s="14"/>
    </row>
    <row r="3806">
      <c r="A3806" s="14">
        <v>661.0</v>
      </c>
      <c r="B3806" s="14">
        <v>6.1535301E7</v>
      </c>
      <c r="C3806" s="14">
        <v>2.48017067E8</v>
      </c>
      <c r="D3806" s="2" t="s">
        <v>2631</v>
      </c>
      <c r="E3806" s="1" t="s">
        <v>121</v>
      </c>
      <c r="F3806" s="14">
        <v>0.0</v>
      </c>
      <c r="G3806" s="15"/>
      <c r="H3806" s="16"/>
      <c r="I3806" s="14"/>
    </row>
    <row r="3807">
      <c r="A3807" s="14">
        <v>716.0</v>
      </c>
      <c r="B3807" s="14">
        <v>6.2990777E7</v>
      </c>
      <c r="C3807" s="14">
        <v>2.55149736E8</v>
      </c>
      <c r="D3807" s="2" t="s">
        <v>2572</v>
      </c>
      <c r="E3807" s="1" t="s">
        <v>121</v>
      </c>
      <c r="F3807" s="14">
        <v>0.0</v>
      </c>
      <c r="G3807" s="15"/>
      <c r="H3807" s="16"/>
      <c r="I3807" s="14"/>
    </row>
    <row r="3808">
      <c r="A3808" s="14">
        <v>215.0</v>
      </c>
      <c r="B3808" s="14">
        <v>6.3458599E7</v>
      </c>
      <c r="C3808" s="14">
        <v>2.57460103E8</v>
      </c>
      <c r="D3808" s="2" t="s">
        <v>2550</v>
      </c>
      <c r="E3808" s="1" t="s">
        <v>121</v>
      </c>
      <c r="F3808" s="14">
        <v>0.0</v>
      </c>
      <c r="G3808" s="15"/>
      <c r="H3808" s="16"/>
      <c r="I3808" s="14"/>
    </row>
    <row r="3809">
      <c r="A3809" s="14">
        <v>679.0</v>
      </c>
      <c r="B3809" s="14">
        <v>6.5399268E7</v>
      </c>
      <c r="C3809" s="14">
        <v>2.66490248E8</v>
      </c>
      <c r="D3809" s="2" t="s">
        <v>2472</v>
      </c>
      <c r="E3809" s="1" t="s">
        <v>121</v>
      </c>
      <c r="F3809" s="14">
        <v>0.0</v>
      </c>
      <c r="G3809" s="15"/>
      <c r="H3809" s="16"/>
      <c r="I3809" s="14"/>
    </row>
    <row r="3810">
      <c r="A3810" s="14">
        <v>484.0</v>
      </c>
      <c r="B3810" s="14">
        <v>6.6107367E7</v>
      </c>
      <c r="C3810" s="14">
        <v>2.69806105E8</v>
      </c>
      <c r="D3810" s="2" t="s">
        <v>2427</v>
      </c>
      <c r="E3810" s="1" t="s">
        <v>121</v>
      </c>
      <c r="F3810" s="14">
        <v>0.0</v>
      </c>
      <c r="G3810" s="15"/>
      <c r="H3810" s="16"/>
      <c r="I3810" s="14"/>
    </row>
    <row r="3811">
      <c r="A3811" s="14">
        <v>355.0</v>
      </c>
      <c r="B3811" s="14">
        <v>6.6300816E7</v>
      </c>
      <c r="C3811" s="14">
        <v>2.70729471E8</v>
      </c>
      <c r="D3811" s="2" t="s">
        <v>2420</v>
      </c>
      <c r="E3811" s="1" t="s">
        <v>121</v>
      </c>
      <c r="F3811" s="14">
        <v>0.0</v>
      </c>
      <c r="G3811" s="15"/>
      <c r="H3811" s="16"/>
      <c r="I3811" s="14"/>
    </row>
    <row r="3812">
      <c r="A3812" s="14">
        <v>672.0</v>
      </c>
      <c r="B3812" s="14">
        <v>6.6537054E7</v>
      </c>
      <c r="C3812" s="14">
        <v>2.71859252E8</v>
      </c>
      <c r="D3812" s="2" t="s">
        <v>2414</v>
      </c>
      <c r="E3812" s="1" t="s">
        <v>121</v>
      </c>
      <c r="F3812" s="14">
        <v>0.0</v>
      </c>
      <c r="G3812" s="15"/>
      <c r="H3812" s="16"/>
      <c r="I3812" s="14"/>
    </row>
    <row r="3813">
      <c r="A3813" s="14">
        <v>492.0</v>
      </c>
      <c r="B3813" s="14">
        <v>6.6796359E7</v>
      </c>
      <c r="C3813" s="14">
        <v>2.73333338E8</v>
      </c>
      <c r="D3813" s="2" t="s">
        <v>2400</v>
      </c>
      <c r="E3813" s="1" t="s">
        <v>121</v>
      </c>
      <c r="F3813" s="14">
        <v>0.0</v>
      </c>
      <c r="G3813" s="15"/>
      <c r="H3813" s="16"/>
      <c r="I3813" s="14"/>
    </row>
    <row r="3814">
      <c r="A3814" s="14">
        <v>409.0</v>
      </c>
      <c r="B3814" s="14">
        <v>6.6816738E7</v>
      </c>
      <c r="C3814" s="14">
        <v>2.7343198E8</v>
      </c>
      <c r="D3814" s="2" t="s">
        <v>2398</v>
      </c>
      <c r="E3814" s="1" t="s">
        <v>121</v>
      </c>
      <c r="F3814" s="14">
        <v>0.0</v>
      </c>
      <c r="G3814" s="15"/>
      <c r="H3814" s="16"/>
      <c r="I3814" s="14"/>
    </row>
    <row r="3815">
      <c r="A3815" s="14">
        <v>403.0</v>
      </c>
      <c r="B3815" s="14">
        <v>6.8014991E7</v>
      </c>
      <c r="C3815" s="14">
        <v>2.79151817E8</v>
      </c>
      <c r="D3815" s="2" t="s">
        <v>2337</v>
      </c>
      <c r="E3815" s="1" t="s">
        <v>121</v>
      </c>
      <c r="F3815" s="14">
        <v>0.0</v>
      </c>
      <c r="G3815" s="15"/>
      <c r="H3815" s="16"/>
      <c r="I3815" s="14"/>
    </row>
    <row r="3816">
      <c r="A3816" s="14">
        <v>677.0</v>
      </c>
      <c r="B3816" s="14">
        <v>6.9142844E7</v>
      </c>
      <c r="C3816" s="14">
        <v>2.84592129E8</v>
      </c>
      <c r="D3816" s="2" t="s">
        <v>2275</v>
      </c>
      <c r="E3816" s="1" t="s">
        <v>121</v>
      </c>
      <c r="F3816" s="14">
        <v>0.0</v>
      </c>
      <c r="G3816" s="15"/>
      <c r="H3816" s="16"/>
      <c r="I3816" s="14"/>
    </row>
    <row r="3817">
      <c r="A3817" s="14">
        <v>602.0</v>
      </c>
      <c r="B3817" s="14">
        <v>6.932167E7</v>
      </c>
      <c r="C3817" s="14">
        <v>2.8535913E8</v>
      </c>
      <c r="D3817" s="2" t="s">
        <v>2267</v>
      </c>
      <c r="E3817" s="1" t="s">
        <v>121</v>
      </c>
      <c r="F3817" s="14">
        <v>0.0</v>
      </c>
      <c r="G3817" s="15"/>
      <c r="H3817" s="16"/>
      <c r="I3817" s="14"/>
    </row>
    <row r="3818">
      <c r="A3818" s="14">
        <v>664.0</v>
      </c>
      <c r="B3818" s="14">
        <v>6.9429524E7</v>
      </c>
      <c r="C3818" s="14">
        <v>2.85957104E8</v>
      </c>
      <c r="D3818" s="2" t="s">
        <v>2262</v>
      </c>
      <c r="E3818" s="1" t="s">
        <v>121</v>
      </c>
      <c r="F3818" s="14">
        <v>0.0</v>
      </c>
      <c r="G3818" s="15"/>
      <c r="H3818" s="16"/>
      <c r="I3818" s="14"/>
    </row>
    <row r="3819">
      <c r="A3819" s="14">
        <v>586.0</v>
      </c>
      <c r="B3819" s="14">
        <v>6.9666978E7</v>
      </c>
      <c r="C3819" s="14">
        <v>2.87056605E8</v>
      </c>
      <c r="D3819" s="2" t="s">
        <v>2245</v>
      </c>
      <c r="E3819" s="1" t="s">
        <v>121</v>
      </c>
      <c r="F3819" s="14">
        <v>0.0</v>
      </c>
      <c r="G3819" s="15"/>
      <c r="H3819" s="16"/>
      <c r="I3819" s="14"/>
    </row>
    <row r="3820">
      <c r="A3820" s="14">
        <v>587.0</v>
      </c>
      <c r="B3820" s="14">
        <v>7.074655E7</v>
      </c>
      <c r="C3820" s="14">
        <v>2.9172879E8</v>
      </c>
      <c r="D3820" s="2" t="s">
        <v>2182</v>
      </c>
      <c r="E3820" s="1" t="s">
        <v>121</v>
      </c>
      <c r="F3820" s="14">
        <v>0.0</v>
      </c>
      <c r="G3820" s="15"/>
      <c r="H3820" s="16"/>
      <c r="I3820" s="14"/>
    </row>
    <row r="3821">
      <c r="A3821" s="14">
        <v>173.0</v>
      </c>
      <c r="B3821" s="14">
        <v>7.098856E7</v>
      </c>
      <c r="C3821" s="14">
        <v>2.92777477E8</v>
      </c>
      <c r="D3821" s="2" t="s">
        <v>2173</v>
      </c>
      <c r="E3821" s="1" t="s">
        <v>121</v>
      </c>
      <c r="F3821" s="14">
        <v>0.0</v>
      </c>
      <c r="G3821" s="15"/>
      <c r="H3821" s="16"/>
      <c r="I3821" s="14"/>
    </row>
    <row r="3822">
      <c r="A3822" s="14">
        <v>571.0</v>
      </c>
      <c r="B3822" s="14">
        <v>7.1590036E7</v>
      </c>
      <c r="C3822" s="14">
        <v>4.31001901E8</v>
      </c>
      <c r="D3822" s="2" t="s">
        <v>2151</v>
      </c>
      <c r="E3822" s="1" t="s">
        <v>121</v>
      </c>
      <c r="F3822" s="14">
        <v>0.0</v>
      </c>
      <c r="G3822" s="15"/>
      <c r="H3822" s="16"/>
      <c r="I3822" s="14"/>
    </row>
    <row r="3823">
      <c r="A3823" s="14">
        <v>671.0</v>
      </c>
      <c r="B3823" s="14">
        <v>7.1620252E7</v>
      </c>
      <c r="C3823" s="14">
        <v>2.95835601E8</v>
      </c>
      <c r="D3823" s="2" t="s">
        <v>2149</v>
      </c>
      <c r="E3823" s="1" t="s">
        <v>121</v>
      </c>
      <c r="F3823" s="14">
        <v>0.0</v>
      </c>
      <c r="G3823" s="15"/>
      <c r="H3823" s="16"/>
      <c r="I3823" s="14"/>
    </row>
    <row r="3824">
      <c r="A3824" s="14">
        <v>586.0</v>
      </c>
      <c r="B3824" s="14">
        <v>7.2151541E7</v>
      </c>
      <c r="C3824" s="14">
        <v>2.98051323E8</v>
      </c>
      <c r="D3824" s="2" t="s">
        <v>2125</v>
      </c>
      <c r="E3824" s="1" t="s">
        <v>121</v>
      </c>
      <c r="F3824" s="14">
        <v>0.0</v>
      </c>
      <c r="G3824" s="15"/>
      <c r="H3824" s="16"/>
      <c r="I3824" s="14"/>
    </row>
    <row r="3825">
      <c r="A3825" s="14">
        <v>644.0</v>
      </c>
      <c r="B3825" s="14">
        <v>7.2579688E7</v>
      </c>
      <c r="C3825" s="14">
        <v>3.00548195E8</v>
      </c>
      <c r="D3825" s="2" t="s">
        <v>2105</v>
      </c>
      <c r="E3825" s="1" t="s">
        <v>121</v>
      </c>
      <c r="F3825" s="14">
        <v>0.0</v>
      </c>
      <c r="G3825" s="15"/>
      <c r="H3825" s="16"/>
      <c r="I3825" s="14"/>
    </row>
    <row r="3826">
      <c r="A3826" s="14">
        <v>409.0</v>
      </c>
      <c r="B3826" s="14">
        <v>7.3713999E7</v>
      </c>
      <c r="C3826" s="14">
        <v>4.31303701E8</v>
      </c>
      <c r="D3826" s="2" t="s">
        <v>2070</v>
      </c>
      <c r="E3826" s="1" t="s">
        <v>121</v>
      </c>
      <c r="F3826" s="14">
        <v>0.0</v>
      </c>
      <c r="G3826" s="15"/>
      <c r="H3826" s="16"/>
      <c r="I3826" s="14"/>
    </row>
    <row r="3827">
      <c r="A3827" s="14">
        <v>571.0</v>
      </c>
      <c r="B3827" s="14">
        <v>7.5318344E7</v>
      </c>
      <c r="C3827" s="14">
        <v>3.40951725E8</v>
      </c>
      <c r="D3827" s="2" t="s">
        <v>2009</v>
      </c>
      <c r="E3827" s="1" t="s">
        <v>121</v>
      </c>
      <c r="F3827" s="14">
        <v>0.0</v>
      </c>
      <c r="G3827" s="15"/>
      <c r="H3827" s="16"/>
      <c r="I3827" s="14"/>
    </row>
    <row r="3828">
      <c r="A3828" s="14">
        <v>671.0</v>
      </c>
      <c r="B3828" s="14">
        <v>7.7140836E7</v>
      </c>
      <c r="C3828" s="14">
        <v>3.20746793E8</v>
      </c>
      <c r="D3828" s="2" t="s">
        <v>1909</v>
      </c>
      <c r="E3828" s="1" t="s">
        <v>121</v>
      </c>
      <c r="F3828" s="14">
        <v>0.0</v>
      </c>
      <c r="G3828" s="15"/>
      <c r="H3828" s="16"/>
      <c r="I3828" s="14"/>
    </row>
    <row r="3829">
      <c r="A3829" s="14">
        <v>664.0</v>
      </c>
      <c r="B3829" s="14">
        <v>7.9192505E7</v>
      </c>
      <c r="C3829" s="14">
        <v>3.30321658E8</v>
      </c>
      <c r="D3829" s="2" t="s">
        <v>1788</v>
      </c>
      <c r="E3829" s="1" t="s">
        <v>121</v>
      </c>
      <c r="F3829" s="14">
        <v>0.0</v>
      </c>
      <c r="G3829" s="15"/>
      <c r="H3829" s="16"/>
      <c r="I3829" s="14"/>
    </row>
    <row r="3830">
      <c r="A3830" s="14">
        <v>215.0</v>
      </c>
      <c r="B3830" s="14">
        <v>8.0970711E7</v>
      </c>
      <c r="C3830" s="14">
        <v>3.3916553E8</v>
      </c>
      <c r="D3830" s="2" t="s">
        <v>1697</v>
      </c>
      <c r="E3830" s="1" t="s">
        <v>121</v>
      </c>
      <c r="F3830" s="14">
        <v>0.0</v>
      </c>
      <c r="G3830" s="15"/>
      <c r="H3830" s="16"/>
      <c r="I3830" s="14"/>
    </row>
    <row r="3831">
      <c r="A3831" s="14">
        <v>712.0</v>
      </c>
      <c r="B3831" s="14">
        <v>8.1030165E7</v>
      </c>
      <c r="C3831" s="14">
        <v>3.38975479E8</v>
      </c>
      <c r="D3831" s="2" t="s">
        <v>1694</v>
      </c>
      <c r="E3831" s="1" t="s">
        <v>121</v>
      </c>
      <c r="F3831" s="14">
        <v>0.0</v>
      </c>
      <c r="G3831" s="15"/>
      <c r="H3831" s="16"/>
      <c r="I3831" s="14"/>
    </row>
    <row r="3832">
      <c r="A3832" s="14">
        <v>654.0</v>
      </c>
      <c r="B3832" s="14">
        <v>8.1036936E7</v>
      </c>
      <c r="C3832" s="14">
        <v>3.39017741E8</v>
      </c>
      <c r="D3832" s="2" t="s">
        <v>1692</v>
      </c>
      <c r="E3832" s="1" t="s">
        <v>121</v>
      </c>
      <c r="F3832" s="14">
        <v>0.0</v>
      </c>
      <c r="G3832" s="15"/>
      <c r="H3832" s="16"/>
      <c r="I3832" s="14"/>
    </row>
    <row r="3833">
      <c r="A3833" s="14">
        <v>602.0</v>
      </c>
      <c r="B3833" s="14">
        <v>8.1185806E7</v>
      </c>
      <c r="C3833" s="14">
        <v>3.39810261E8</v>
      </c>
      <c r="D3833" s="2" t="s">
        <v>1687</v>
      </c>
      <c r="E3833" s="1" t="s">
        <v>121</v>
      </c>
      <c r="F3833" s="14">
        <v>0.0</v>
      </c>
      <c r="G3833" s="15"/>
      <c r="H3833" s="16"/>
      <c r="I3833" s="14"/>
    </row>
    <row r="3834">
      <c r="A3834" s="14">
        <v>664.0</v>
      </c>
      <c r="B3834" s="14">
        <v>8.1533622E7</v>
      </c>
      <c r="C3834" s="14">
        <v>3.41325109E8</v>
      </c>
      <c r="D3834" s="2" t="s">
        <v>1666</v>
      </c>
      <c r="E3834" s="1" t="s">
        <v>121</v>
      </c>
      <c r="F3834" s="14">
        <v>0.0</v>
      </c>
      <c r="G3834" s="15"/>
      <c r="H3834" s="16"/>
      <c r="I3834" s="14"/>
    </row>
    <row r="3835">
      <c r="A3835" s="14">
        <v>353.0</v>
      </c>
      <c r="B3835" s="14">
        <v>8.1791846E7</v>
      </c>
      <c r="C3835" s="14">
        <v>3.42722682E8</v>
      </c>
      <c r="D3835" s="2" t="s">
        <v>1651</v>
      </c>
      <c r="E3835" s="1" t="s">
        <v>121</v>
      </c>
      <c r="F3835" s="14">
        <v>0.0</v>
      </c>
      <c r="G3835" s="15"/>
      <c r="H3835" s="16"/>
      <c r="I3835" s="14"/>
    </row>
    <row r="3836">
      <c r="A3836" s="14">
        <v>719.0</v>
      </c>
      <c r="B3836" s="14">
        <v>8.1998643E7</v>
      </c>
      <c r="C3836" s="14">
        <v>3.43502752E8</v>
      </c>
      <c r="D3836" s="2" t="s">
        <v>1632</v>
      </c>
      <c r="E3836" s="1" t="s">
        <v>121</v>
      </c>
      <c r="F3836" s="14">
        <v>0.0</v>
      </c>
      <c r="G3836" s="15"/>
      <c r="H3836" s="16"/>
      <c r="I3836" s="14"/>
    </row>
    <row r="3837">
      <c r="A3837" s="14">
        <v>571.0</v>
      </c>
      <c r="B3837" s="14">
        <v>8.296701E7</v>
      </c>
      <c r="C3837" s="14">
        <v>3.48258526E8</v>
      </c>
      <c r="D3837" s="2" t="s">
        <v>1568</v>
      </c>
      <c r="E3837" s="1" t="s">
        <v>121</v>
      </c>
      <c r="F3837" s="14">
        <v>0.0</v>
      </c>
      <c r="G3837" s="15"/>
      <c r="H3837" s="16"/>
      <c r="I3837" s="14"/>
    </row>
    <row r="3838">
      <c r="A3838" s="14">
        <v>672.0</v>
      </c>
      <c r="B3838" s="14">
        <v>8.381569E7</v>
      </c>
      <c r="C3838" s="14">
        <v>3.53359736E8</v>
      </c>
      <c r="D3838" s="2" t="s">
        <v>1524</v>
      </c>
      <c r="E3838" s="1" t="s">
        <v>121</v>
      </c>
      <c r="F3838" s="14">
        <v>0.0</v>
      </c>
      <c r="G3838" s="15"/>
      <c r="H3838" s="16"/>
      <c r="I3838" s="14"/>
    </row>
    <row r="3839">
      <c r="A3839" s="14">
        <v>671.0</v>
      </c>
      <c r="B3839" s="14">
        <v>8.3828253E7</v>
      </c>
      <c r="C3839" s="14">
        <v>3.52160678E8</v>
      </c>
      <c r="D3839" s="2" t="s">
        <v>1521</v>
      </c>
      <c r="E3839" s="1" t="s">
        <v>121</v>
      </c>
      <c r="F3839" s="14">
        <v>0.0</v>
      </c>
      <c r="G3839" s="15"/>
      <c r="H3839" s="16"/>
      <c r="I3839" s="14"/>
    </row>
    <row r="3840">
      <c r="A3840" s="14">
        <v>546.0</v>
      </c>
      <c r="B3840" s="14">
        <v>8.3962846E7</v>
      </c>
      <c r="C3840" s="14">
        <v>3.55479553E8</v>
      </c>
      <c r="D3840" s="2" t="s">
        <v>1515</v>
      </c>
      <c r="E3840" s="1" t="s">
        <v>121</v>
      </c>
      <c r="F3840" s="14">
        <v>0.0</v>
      </c>
      <c r="G3840" s="15"/>
      <c r="H3840" s="16"/>
      <c r="I3840" s="14"/>
    </row>
    <row r="3841">
      <c r="A3841" s="14">
        <v>601.0</v>
      </c>
      <c r="B3841" s="14">
        <v>8.4001841E7</v>
      </c>
      <c r="C3841" s="14">
        <v>3.53625173E8</v>
      </c>
      <c r="D3841" s="2" t="s">
        <v>1512</v>
      </c>
      <c r="E3841" s="1" t="s">
        <v>121</v>
      </c>
      <c r="F3841" s="14">
        <v>0.0</v>
      </c>
      <c r="G3841" s="15"/>
      <c r="H3841" s="16"/>
      <c r="I3841" s="14"/>
    </row>
    <row r="3842">
      <c r="A3842" s="14">
        <v>697.0</v>
      </c>
      <c r="B3842" s="14">
        <v>8.4118447E7</v>
      </c>
      <c r="C3842" s="14">
        <v>3.53868384E8</v>
      </c>
      <c r="D3842" s="2" t="s">
        <v>1502</v>
      </c>
      <c r="E3842" s="1" t="s">
        <v>121</v>
      </c>
      <c r="F3842" s="14">
        <v>0.0</v>
      </c>
      <c r="G3842" s="15"/>
      <c r="H3842" s="16"/>
      <c r="I3842" s="14"/>
    </row>
    <row r="3843">
      <c r="A3843" s="14">
        <v>713.0</v>
      </c>
      <c r="B3843" s="14">
        <v>8.4718082E7</v>
      </c>
      <c r="C3843" s="14">
        <v>3.56662059E8</v>
      </c>
      <c r="D3843" s="2" t="s">
        <v>1451</v>
      </c>
      <c r="E3843" s="1" t="s">
        <v>121</v>
      </c>
      <c r="F3843" s="14">
        <v>0.0</v>
      </c>
      <c r="G3843" s="15"/>
      <c r="H3843" s="16"/>
      <c r="I3843" s="14"/>
    </row>
    <row r="3844">
      <c r="A3844" s="14">
        <v>571.0</v>
      </c>
      <c r="B3844" s="14">
        <v>8.5316743E7</v>
      </c>
      <c r="C3844" s="14">
        <v>3.59888183E8</v>
      </c>
      <c r="D3844" s="2" t="s">
        <v>1410</v>
      </c>
      <c r="E3844" s="1" t="s">
        <v>121</v>
      </c>
      <c r="F3844" s="14">
        <v>0.0</v>
      </c>
      <c r="G3844" s="15"/>
      <c r="H3844" s="16"/>
      <c r="I3844" s="14"/>
    </row>
    <row r="3845">
      <c r="A3845" s="14">
        <v>194.0</v>
      </c>
      <c r="B3845" s="14">
        <v>8.5922051E7</v>
      </c>
      <c r="C3845" s="14">
        <v>3.62882429E8</v>
      </c>
      <c r="D3845" s="2" t="s">
        <v>1375</v>
      </c>
      <c r="E3845" s="1" t="s">
        <v>121</v>
      </c>
      <c r="F3845" s="14">
        <v>0.0</v>
      </c>
      <c r="G3845" s="15"/>
      <c r="H3845" s="16"/>
      <c r="I3845" s="14"/>
    </row>
    <row r="3846">
      <c r="A3846" s="14">
        <v>337.0</v>
      </c>
      <c r="B3846" s="14">
        <v>8.6560733E7</v>
      </c>
      <c r="C3846" s="14">
        <v>3.66105213E8</v>
      </c>
      <c r="D3846" s="2" t="s">
        <v>1318</v>
      </c>
      <c r="E3846" s="1" t="s">
        <v>121</v>
      </c>
      <c r="F3846" s="14">
        <v>0.0</v>
      </c>
      <c r="G3846" s="15"/>
      <c r="H3846" s="16"/>
      <c r="I3846" s="14"/>
    </row>
    <row r="3847">
      <c r="A3847" s="14">
        <v>531.0</v>
      </c>
      <c r="B3847" s="14">
        <v>8.6585383E7</v>
      </c>
      <c r="C3847" s="14">
        <v>3.65563244E8</v>
      </c>
      <c r="D3847" s="2" t="s">
        <v>1315</v>
      </c>
      <c r="E3847" s="1" t="s">
        <v>121</v>
      </c>
      <c r="F3847" s="14">
        <v>0.0</v>
      </c>
      <c r="G3847" s="15"/>
      <c r="H3847" s="16"/>
      <c r="I3847" s="14"/>
    </row>
    <row r="3848">
      <c r="A3848" s="14">
        <v>676.0</v>
      </c>
      <c r="B3848" s="14">
        <v>8.7065976E7</v>
      </c>
      <c r="C3848" s="14">
        <v>3.68142979E8</v>
      </c>
      <c r="D3848" s="2" t="s">
        <v>1292</v>
      </c>
      <c r="E3848" s="1" t="s">
        <v>121</v>
      </c>
      <c r="F3848" s="14">
        <v>0.0</v>
      </c>
      <c r="G3848" s="15"/>
      <c r="H3848" s="16"/>
      <c r="I3848" s="14"/>
    </row>
    <row r="3849">
      <c r="A3849" s="14">
        <v>565.0</v>
      </c>
      <c r="B3849" s="14">
        <v>8.7430462E7</v>
      </c>
      <c r="C3849" s="14">
        <v>3.69838905E8</v>
      </c>
      <c r="D3849" s="2" t="s">
        <v>1274</v>
      </c>
      <c r="E3849" s="1" t="s">
        <v>121</v>
      </c>
      <c r="F3849" s="14">
        <v>0.0</v>
      </c>
      <c r="G3849" s="15"/>
      <c r="H3849" s="16"/>
      <c r="I3849" s="14"/>
    </row>
    <row r="3850">
      <c r="A3850" s="14">
        <v>667.0</v>
      </c>
      <c r="B3850" s="14">
        <v>8.7634123E7</v>
      </c>
      <c r="C3850" s="14">
        <v>3.70644721E8</v>
      </c>
      <c r="D3850" s="2" t="s">
        <v>1256</v>
      </c>
      <c r="E3850" s="1" t="s">
        <v>121</v>
      </c>
      <c r="F3850" s="14">
        <v>0.0</v>
      </c>
      <c r="G3850" s="15"/>
      <c r="H3850" s="16"/>
      <c r="I3850" s="14"/>
    </row>
    <row r="3851">
      <c r="A3851" s="14">
        <v>173.0</v>
      </c>
      <c r="B3851" s="14">
        <v>8.7945768E7</v>
      </c>
      <c r="C3851" s="14">
        <v>3.71916312E8</v>
      </c>
      <c r="D3851" s="2" t="s">
        <v>1243</v>
      </c>
      <c r="E3851" s="1" t="s">
        <v>121</v>
      </c>
      <c r="F3851" s="14">
        <v>0.0</v>
      </c>
      <c r="G3851" s="15"/>
      <c r="H3851" s="16"/>
      <c r="I3851" s="14"/>
    </row>
    <row r="3852">
      <c r="A3852" s="14">
        <v>602.0</v>
      </c>
      <c r="B3852" s="14">
        <v>8.9765063E7</v>
      </c>
      <c r="C3852" s="14">
        <v>3.80343902E8</v>
      </c>
      <c r="D3852" s="2" t="s">
        <v>1153</v>
      </c>
      <c r="E3852" s="1" t="s">
        <v>121</v>
      </c>
      <c r="F3852" s="14">
        <v>0.0</v>
      </c>
      <c r="G3852" s="15"/>
      <c r="H3852" s="16"/>
      <c r="I3852" s="14"/>
    </row>
    <row r="3853">
      <c r="A3853" s="14">
        <v>215.0</v>
      </c>
      <c r="B3853" s="14">
        <v>9.0011127E7</v>
      </c>
      <c r="C3853" s="14">
        <v>3.81923805E8</v>
      </c>
      <c r="D3853" s="2" t="s">
        <v>1140</v>
      </c>
      <c r="E3853" s="1" t="s">
        <v>121</v>
      </c>
      <c r="F3853" s="14">
        <v>0.0</v>
      </c>
      <c r="G3853" s="15"/>
      <c r="H3853" s="16"/>
      <c r="I3853" s="14"/>
    </row>
    <row r="3854">
      <c r="A3854" s="14">
        <v>630.0</v>
      </c>
      <c r="B3854" s="14">
        <v>9.0155405E7</v>
      </c>
      <c r="C3854" s="14">
        <v>3.83023783E8</v>
      </c>
      <c r="D3854" s="2" t="s">
        <v>1131</v>
      </c>
      <c r="E3854" s="1" t="s">
        <v>121</v>
      </c>
      <c r="F3854" s="14">
        <v>0.0</v>
      </c>
      <c r="G3854" s="15"/>
      <c r="H3854" s="16"/>
      <c r="I3854" s="14"/>
    </row>
    <row r="3855">
      <c r="A3855" s="14">
        <v>698.0</v>
      </c>
      <c r="B3855" s="14">
        <v>9.0604742E7</v>
      </c>
      <c r="C3855" s="14">
        <v>3.84484981E8</v>
      </c>
      <c r="D3855" s="2" t="s">
        <v>1101</v>
      </c>
      <c r="E3855" s="1" t="s">
        <v>121</v>
      </c>
      <c r="F3855" s="14">
        <v>0.0</v>
      </c>
      <c r="G3855" s="15"/>
      <c r="H3855" s="16"/>
      <c r="I3855" s="14"/>
    </row>
    <row r="3856">
      <c r="A3856" s="14">
        <v>712.0</v>
      </c>
      <c r="B3856" s="14">
        <v>9.1155405E7</v>
      </c>
      <c r="C3856" s="14">
        <v>3.86637969E8</v>
      </c>
      <c r="D3856" s="2" t="s">
        <v>1071</v>
      </c>
      <c r="E3856" s="1" t="s">
        <v>121</v>
      </c>
      <c r="F3856" s="14">
        <v>0.0</v>
      </c>
      <c r="G3856" s="15"/>
      <c r="H3856" s="16"/>
      <c r="I3856" s="14"/>
    </row>
    <row r="3857">
      <c r="A3857" s="14">
        <v>677.0</v>
      </c>
      <c r="B3857" s="14">
        <v>9.142617E7</v>
      </c>
      <c r="C3857" s="14">
        <v>3.88244744E8</v>
      </c>
      <c r="D3857" s="2" t="s">
        <v>1057</v>
      </c>
      <c r="E3857" s="1" t="s">
        <v>121</v>
      </c>
      <c r="F3857" s="14">
        <v>0.0</v>
      </c>
      <c r="G3857" s="15"/>
      <c r="H3857" s="16"/>
      <c r="I3857" s="14"/>
    </row>
    <row r="3858">
      <c r="A3858" s="14">
        <v>671.0</v>
      </c>
      <c r="B3858" s="14">
        <v>9.151914E7</v>
      </c>
      <c r="C3858" s="14">
        <v>3.88268587E8</v>
      </c>
      <c r="D3858" s="2" t="s">
        <v>1055</v>
      </c>
      <c r="E3858" s="1" t="s">
        <v>121</v>
      </c>
      <c r="F3858" s="14">
        <v>0.0</v>
      </c>
      <c r="G3858" s="15"/>
      <c r="H3858" s="16"/>
      <c r="I3858" s="14"/>
    </row>
    <row r="3859">
      <c r="A3859" s="14">
        <v>715.0</v>
      </c>
      <c r="B3859" s="14">
        <v>9.2309986E7</v>
      </c>
      <c r="C3859" s="14">
        <v>3.91728868E8</v>
      </c>
      <c r="D3859" s="2" t="s">
        <v>1017</v>
      </c>
      <c r="E3859" s="1" t="s">
        <v>121</v>
      </c>
      <c r="F3859" s="14">
        <v>0.0</v>
      </c>
      <c r="G3859" s="15"/>
      <c r="H3859" s="16"/>
      <c r="I3859" s="14"/>
    </row>
    <row r="3860">
      <c r="A3860" s="14">
        <v>671.0</v>
      </c>
      <c r="B3860" s="14">
        <v>9.2541487E7</v>
      </c>
      <c r="C3860" s="14">
        <v>3.92835781E8</v>
      </c>
      <c r="D3860" s="2" t="s">
        <v>1004</v>
      </c>
      <c r="E3860" s="1" t="s">
        <v>121</v>
      </c>
      <c r="F3860" s="14">
        <v>0.0</v>
      </c>
      <c r="G3860" s="15"/>
      <c r="H3860" s="16"/>
      <c r="I3860" s="14"/>
    </row>
    <row r="3861">
      <c r="A3861" s="14">
        <v>578.0</v>
      </c>
      <c r="B3861" s="14">
        <v>9.2655154E7</v>
      </c>
      <c r="C3861" s="14">
        <v>3.93423919E8</v>
      </c>
      <c r="D3861" s="2" t="s">
        <v>995</v>
      </c>
      <c r="E3861" s="1" t="s">
        <v>121</v>
      </c>
      <c r="F3861" s="14">
        <v>0.0</v>
      </c>
      <c r="G3861" s="15"/>
      <c r="H3861" s="16"/>
      <c r="I3861" s="14"/>
    </row>
    <row r="3862">
      <c r="A3862" s="14">
        <v>715.0</v>
      </c>
      <c r="B3862" s="14">
        <v>9.2926316E7</v>
      </c>
      <c r="C3862" s="14">
        <v>3.94545343E8</v>
      </c>
      <c r="D3862" s="2" t="s">
        <v>984</v>
      </c>
      <c r="E3862" s="1" t="s">
        <v>121</v>
      </c>
      <c r="F3862" s="14">
        <v>0.0</v>
      </c>
      <c r="G3862" s="15"/>
      <c r="H3862" s="16"/>
      <c r="I3862" s="14"/>
    </row>
    <row r="3863">
      <c r="A3863" s="14">
        <v>462.0</v>
      </c>
      <c r="B3863" s="14">
        <v>9.2985982E7</v>
      </c>
      <c r="C3863" s="14">
        <v>3.94960677E8</v>
      </c>
      <c r="D3863" s="2" t="s">
        <v>983</v>
      </c>
      <c r="E3863" s="1" t="s">
        <v>121</v>
      </c>
      <c r="F3863" s="14">
        <v>0.0</v>
      </c>
      <c r="G3863" s="15"/>
      <c r="H3863" s="16"/>
      <c r="I3863" s="14"/>
    </row>
    <row r="3864">
      <c r="A3864" s="14">
        <v>484.0</v>
      </c>
      <c r="B3864" s="14">
        <v>9.3335417E7</v>
      </c>
      <c r="C3864" s="14">
        <v>3.9635577E8</v>
      </c>
      <c r="D3864" s="2" t="s">
        <v>971</v>
      </c>
      <c r="E3864" s="1" t="s">
        <v>121</v>
      </c>
      <c r="F3864" s="14">
        <v>0.0</v>
      </c>
      <c r="G3864" s="15"/>
      <c r="H3864" s="16"/>
      <c r="I3864" s="14"/>
    </row>
    <row r="3865">
      <c r="A3865" s="14">
        <v>129.0</v>
      </c>
      <c r="B3865" s="14">
        <v>9.4541712E7</v>
      </c>
      <c r="C3865" s="14">
        <v>4.01918931E8</v>
      </c>
      <c r="D3865" s="2" t="s">
        <v>907</v>
      </c>
      <c r="E3865" s="1" t="s">
        <v>121</v>
      </c>
      <c r="F3865" s="14">
        <v>0.0</v>
      </c>
      <c r="G3865" s="15"/>
      <c r="H3865" s="16"/>
      <c r="I3865" s="14"/>
    </row>
    <row r="3866">
      <c r="A3866" s="14">
        <v>394.0</v>
      </c>
      <c r="B3866" s="14">
        <v>9.5354477E7</v>
      </c>
      <c r="C3866" s="14">
        <v>4.05828293E8</v>
      </c>
      <c r="D3866" s="2" t="s">
        <v>864</v>
      </c>
      <c r="E3866" s="1" t="s">
        <v>121</v>
      </c>
      <c r="F3866" s="14">
        <v>0.0</v>
      </c>
      <c r="G3866" s="15"/>
      <c r="H3866" s="16"/>
      <c r="I3866" s="14"/>
    </row>
    <row r="3867">
      <c r="A3867" s="14">
        <v>571.0</v>
      </c>
      <c r="B3867" s="14">
        <v>9.5735E7</v>
      </c>
      <c r="C3867" s="14">
        <v>4.08146569E8</v>
      </c>
      <c r="D3867" s="2" t="s">
        <v>835</v>
      </c>
      <c r="E3867" s="1" t="s">
        <v>121</v>
      </c>
      <c r="F3867" s="14">
        <v>0.0</v>
      </c>
      <c r="G3867" s="15"/>
      <c r="H3867" s="16"/>
      <c r="I3867" s="14"/>
    </row>
    <row r="3868">
      <c r="A3868" s="14">
        <v>224.0</v>
      </c>
      <c r="B3868" s="14">
        <v>9.5924679E7</v>
      </c>
      <c r="C3868" s="14">
        <v>4.09210096E8</v>
      </c>
      <c r="D3868" s="2" t="s">
        <v>825</v>
      </c>
      <c r="E3868" s="1" t="s">
        <v>121</v>
      </c>
      <c r="F3868" s="14">
        <v>0.0</v>
      </c>
      <c r="G3868" s="15"/>
      <c r="H3868" s="16"/>
      <c r="I3868" s="14"/>
    </row>
    <row r="3869">
      <c r="A3869" s="14">
        <v>210.0</v>
      </c>
      <c r="B3869" s="14">
        <v>9.6226883E7</v>
      </c>
      <c r="C3869" s="14">
        <v>4.10462011E8</v>
      </c>
      <c r="D3869" s="2" t="s">
        <v>811</v>
      </c>
      <c r="E3869" s="1" t="s">
        <v>121</v>
      </c>
      <c r="F3869" s="14">
        <v>0.0</v>
      </c>
      <c r="G3869" s="15"/>
      <c r="H3869" s="16"/>
      <c r="I3869" s="14"/>
    </row>
    <row r="3870">
      <c r="A3870" s="14">
        <v>244.0</v>
      </c>
      <c r="B3870" s="14">
        <v>9.7426842E7</v>
      </c>
      <c r="C3870" s="14">
        <v>4.16182092E8</v>
      </c>
      <c r="D3870" s="2" t="s">
        <v>747</v>
      </c>
      <c r="E3870" s="1" t="s">
        <v>121</v>
      </c>
      <c r="F3870" s="14">
        <v>0.0</v>
      </c>
      <c r="G3870" s="15"/>
      <c r="H3870" s="16"/>
      <c r="I3870" s="14"/>
    </row>
    <row r="3871">
      <c r="A3871" s="14">
        <v>671.0</v>
      </c>
      <c r="B3871" s="14">
        <v>9.7707203E7</v>
      </c>
      <c r="C3871" s="14">
        <v>4.17337589E8</v>
      </c>
      <c r="D3871" s="2" t="s">
        <v>732</v>
      </c>
      <c r="E3871" s="1" t="s">
        <v>121</v>
      </c>
      <c r="F3871" s="14">
        <v>0.0</v>
      </c>
      <c r="G3871" s="15"/>
      <c r="H3871" s="16"/>
      <c r="I3871" s="14"/>
    </row>
    <row r="3872">
      <c r="A3872" s="14">
        <v>215.0</v>
      </c>
      <c r="B3872" s="14">
        <v>9.7810993E7</v>
      </c>
      <c r="C3872" s="14">
        <v>4.18206787E8</v>
      </c>
      <c r="D3872" s="2" t="s">
        <v>719</v>
      </c>
      <c r="E3872" s="1" t="s">
        <v>121</v>
      </c>
      <c r="F3872" s="14">
        <v>0.0</v>
      </c>
      <c r="G3872" s="15"/>
      <c r="H3872" s="16"/>
      <c r="I3872" s="14"/>
    </row>
    <row r="3873">
      <c r="A3873" s="14">
        <v>492.0</v>
      </c>
      <c r="B3873" s="14">
        <v>9.9089518E7</v>
      </c>
      <c r="C3873" s="14">
        <v>4.24070702E8</v>
      </c>
      <c r="D3873" s="2" t="s">
        <v>647</v>
      </c>
      <c r="E3873" s="1" t="s">
        <v>121</v>
      </c>
      <c r="F3873" s="14">
        <v>0.0</v>
      </c>
      <c r="G3873" s="15"/>
      <c r="H3873" s="16"/>
      <c r="I3873" s="14"/>
    </row>
    <row r="3874">
      <c r="A3874" s="14">
        <v>204.0</v>
      </c>
      <c r="B3874" s="14">
        <v>9.9247294E7</v>
      </c>
      <c r="C3874" s="14">
        <v>4.24813479E8</v>
      </c>
      <c r="D3874" s="2" t="s">
        <v>630</v>
      </c>
      <c r="E3874" s="1" t="s">
        <v>121</v>
      </c>
      <c r="F3874" s="14">
        <v>0.0</v>
      </c>
      <c r="G3874" s="15"/>
      <c r="H3874" s="16"/>
      <c r="I3874" s="14"/>
    </row>
    <row r="3875">
      <c r="A3875" s="14">
        <v>244.0</v>
      </c>
      <c r="B3875" s="14">
        <v>1.00149076E8</v>
      </c>
      <c r="C3875" s="14">
        <v>4.2965865E8</v>
      </c>
      <c r="D3875" s="2" t="s">
        <v>583</v>
      </c>
      <c r="E3875" s="1" t="s">
        <v>121</v>
      </c>
      <c r="F3875" s="14">
        <v>0.0</v>
      </c>
      <c r="G3875" s="15"/>
      <c r="H3875" s="16"/>
      <c r="I3875" s="14"/>
    </row>
    <row r="3876">
      <c r="A3876" s="14">
        <v>602.0</v>
      </c>
      <c r="B3876" s="14">
        <v>1.00438431E8</v>
      </c>
      <c r="C3876" s="14">
        <v>4.30258698E8</v>
      </c>
      <c r="D3876" s="2" t="s">
        <v>567</v>
      </c>
      <c r="E3876" s="1" t="s">
        <v>121</v>
      </c>
      <c r="F3876" s="14">
        <v>0.0</v>
      </c>
      <c r="G3876" s="15"/>
      <c r="H3876" s="16"/>
      <c r="I3876" s="14"/>
    </row>
    <row r="3877">
      <c r="A3877" s="14">
        <v>546.0</v>
      </c>
      <c r="B3877" s="14">
        <v>1.00556912E8</v>
      </c>
      <c r="C3877" s="14">
        <v>4.30980283E8</v>
      </c>
      <c r="D3877" s="2" t="s">
        <v>558</v>
      </c>
      <c r="E3877" s="1" t="s">
        <v>121</v>
      </c>
      <c r="F3877" s="14">
        <v>0.0</v>
      </c>
      <c r="G3877" s="15"/>
      <c r="H3877" s="16"/>
      <c r="I3877" s="14"/>
    </row>
    <row r="3878">
      <c r="A3878" s="14">
        <v>674.0</v>
      </c>
      <c r="B3878" s="14">
        <v>1.01154334E8</v>
      </c>
      <c r="C3878" s="14">
        <v>4.34109822E8</v>
      </c>
      <c r="D3878" s="2" t="s">
        <v>519</v>
      </c>
      <c r="E3878" s="1" t="s">
        <v>121</v>
      </c>
      <c r="F3878" s="14">
        <v>0.0</v>
      </c>
      <c r="G3878" s="15"/>
      <c r="H3878" s="16"/>
      <c r="I3878" s="14"/>
    </row>
    <row r="3879">
      <c r="A3879" s="14">
        <v>129.0</v>
      </c>
      <c r="B3879" s="14">
        <v>1.01777756E8</v>
      </c>
      <c r="C3879" s="14">
        <v>4.36908499E8</v>
      </c>
      <c r="D3879" s="2" t="s">
        <v>483</v>
      </c>
      <c r="E3879" s="1" t="s">
        <v>121</v>
      </c>
      <c r="F3879" s="14">
        <v>0.0</v>
      </c>
      <c r="G3879" s="15"/>
      <c r="H3879" s="16"/>
      <c r="I3879" s="14"/>
    </row>
    <row r="3880">
      <c r="A3880" s="14">
        <v>602.0</v>
      </c>
      <c r="B3880" s="14">
        <v>1.01869033E8</v>
      </c>
      <c r="C3880" s="14">
        <v>4.37514465E8</v>
      </c>
      <c r="D3880" s="2" t="s">
        <v>478</v>
      </c>
      <c r="E3880" s="1" t="s">
        <v>121</v>
      </c>
      <c r="F3880" s="14">
        <v>0.0</v>
      </c>
      <c r="G3880" s="15"/>
      <c r="H3880" s="16"/>
      <c r="I3880" s="14"/>
    </row>
    <row r="3881">
      <c r="A3881" s="14">
        <v>671.0</v>
      </c>
      <c r="B3881" s="14">
        <v>1.01876514E8</v>
      </c>
      <c r="C3881" s="14">
        <v>4.37315317E8</v>
      </c>
      <c r="D3881" s="2" t="s">
        <v>476</v>
      </c>
      <c r="E3881" s="1" t="s">
        <v>121</v>
      </c>
      <c r="F3881" s="14">
        <v>0.0</v>
      </c>
      <c r="G3881" s="15"/>
      <c r="H3881" s="16"/>
      <c r="I3881" s="14"/>
    </row>
    <row r="3882">
      <c r="A3882" s="14">
        <v>484.0</v>
      </c>
      <c r="B3882" s="14">
        <v>1.0199042E8</v>
      </c>
      <c r="C3882" s="14">
        <v>4.38148936E8</v>
      </c>
      <c r="D3882" s="2" t="s">
        <v>464</v>
      </c>
      <c r="E3882" s="1" t="s">
        <v>121</v>
      </c>
      <c r="F3882" s="14">
        <v>0.0</v>
      </c>
      <c r="G3882" s="15"/>
      <c r="H3882" s="16"/>
      <c r="I3882" s="14"/>
    </row>
    <row r="3883">
      <c r="A3883" s="14">
        <v>597.0</v>
      </c>
      <c r="B3883" s="14">
        <v>1.02897522E8</v>
      </c>
      <c r="C3883" s="14">
        <v>4.84361485E8</v>
      </c>
      <c r="D3883" s="2" t="s">
        <v>428</v>
      </c>
      <c r="E3883" s="1" t="s">
        <v>121</v>
      </c>
      <c r="F3883" s="14">
        <v>0.0</v>
      </c>
      <c r="G3883" s="15"/>
      <c r="H3883" s="16"/>
      <c r="I3883" s="14"/>
    </row>
    <row r="3884">
      <c r="A3884" s="14">
        <v>602.0</v>
      </c>
      <c r="B3884" s="14">
        <v>1.03786711E8</v>
      </c>
      <c r="C3884" s="14">
        <v>4.46489676E8</v>
      </c>
      <c r="D3884" s="2" t="s">
        <v>390</v>
      </c>
      <c r="E3884" s="1" t="s">
        <v>121</v>
      </c>
      <c r="F3884" s="14">
        <v>0.0</v>
      </c>
      <c r="G3884" s="15"/>
      <c r="H3884" s="16"/>
      <c r="I3884" s="14"/>
    </row>
    <row r="3885">
      <c r="A3885" s="14">
        <v>630.0</v>
      </c>
      <c r="B3885" s="14">
        <v>1.03990593E8</v>
      </c>
      <c r="C3885" s="14">
        <v>4.47836709E8</v>
      </c>
      <c r="D3885" s="2" t="s">
        <v>381</v>
      </c>
      <c r="E3885" s="1" t="s">
        <v>121</v>
      </c>
      <c r="F3885" s="14">
        <v>0.0</v>
      </c>
      <c r="G3885" s="15"/>
      <c r="H3885" s="16"/>
      <c r="I3885" s="14"/>
    </row>
    <row r="3886">
      <c r="A3886" s="14">
        <v>353.0</v>
      </c>
      <c r="B3886" s="14">
        <v>1.04059988E8</v>
      </c>
      <c r="C3886" s="14">
        <v>4.47768944E8</v>
      </c>
      <c r="D3886" s="2" t="s">
        <v>379</v>
      </c>
      <c r="E3886" s="1" t="s">
        <v>121</v>
      </c>
      <c r="F3886" s="14">
        <v>0.0</v>
      </c>
      <c r="G3886" s="15"/>
      <c r="H3886" s="16"/>
      <c r="I3886" s="14"/>
    </row>
    <row r="3887">
      <c r="A3887" s="14">
        <v>654.0</v>
      </c>
      <c r="B3887" s="14">
        <v>1.04173575E8</v>
      </c>
      <c r="C3887" s="14">
        <v>4.48474079E8</v>
      </c>
      <c r="D3887" s="2" t="s">
        <v>372</v>
      </c>
      <c r="E3887" s="1" t="s">
        <v>121</v>
      </c>
      <c r="F3887" s="14">
        <v>0.0</v>
      </c>
      <c r="G3887" s="15"/>
      <c r="H3887" s="16"/>
      <c r="I3887" s="14"/>
    </row>
    <row r="3888">
      <c r="A3888" s="14">
        <v>380.0</v>
      </c>
      <c r="B3888" s="14">
        <v>1.0582749E8</v>
      </c>
      <c r="C3888" s="14">
        <v>4.56564118E8</v>
      </c>
      <c r="D3888" s="2" t="s">
        <v>316</v>
      </c>
      <c r="E3888" s="1" t="s">
        <v>121</v>
      </c>
      <c r="F3888" s="14">
        <v>0.0</v>
      </c>
      <c r="G3888" s="15"/>
      <c r="H3888" s="16"/>
      <c r="I3888" s="14"/>
    </row>
    <row r="3889">
      <c r="A3889" s="14">
        <v>455.0</v>
      </c>
      <c r="B3889" s="14">
        <v>1.06388682E8</v>
      </c>
      <c r="C3889" s="14">
        <v>4.58825578E8</v>
      </c>
      <c r="D3889" s="2" t="s">
        <v>290</v>
      </c>
      <c r="E3889" s="1" t="s">
        <v>121</v>
      </c>
      <c r="F3889" s="14">
        <v>0.0</v>
      </c>
      <c r="G3889" s="15"/>
      <c r="H3889" s="16"/>
      <c r="I3889" s="14"/>
    </row>
    <row r="3890">
      <c r="A3890" s="14">
        <v>504.0</v>
      </c>
      <c r="B3890" s="14">
        <v>1.06438029E8</v>
      </c>
      <c r="C3890" s="14">
        <v>4.58813501E8</v>
      </c>
      <c r="D3890" s="2" t="s">
        <v>288</v>
      </c>
      <c r="E3890" s="1" t="s">
        <v>121</v>
      </c>
      <c r="F3890" s="14">
        <v>0.0</v>
      </c>
      <c r="G3890" s="15"/>
      <c r="H3890" s="16"/>
      <c r="I3890" s="14"/>
    </row>
    <row r="3891">
      <c r="A3891" s="14">
        <v>671.0</v>
      </c>
      <c r="B3891" s="14">
        <v>1.07140147E8</v>
      </c>
      <c r="C3891" s="14">
        <v>4.63351563E8</v>
      </c>
      <c r="D3891" s="2" t="s">
        <v>264</v>
      </c>
      <c r="E3891" s="1" t="s">
        <v>121</v>
      </c>
      <c r="F3891" s="14">
        <v>0.0</v>
      </c>
      <c r="G3891" s="15"/>
      <c r="H3891" s="16"/>
      <c r="I3891" s="14"/>
    </row>
    <row r="3892">
      <c r="A3892" s="14">
        <v>129.0</v>
      </c>
      <c r="B3892" s="14">
        <v>1.07188323E8</v>
      </c>
      <c r="C3892" s="14">
        <v>4.62578419E8</v>
      </c>
      <c r="D3892" s="2" t="s">
        <v>261</v>
      </c>
      <c r="E3892" s="1" t="s">
        <v>121</v>
      </c>
      <c r="F3892" s="14">
        <v>0.0</v>
      </c>
      <c r="G3892" s="15"/>
      <c r="H3892" s="16"/>
      <c r="I3892" s="14"/>
    </row>
    <row r="3893">
      <c r="A3893" s="14">
        <v>671.0</v>
      </c>
      <c r="B3893" s="14">
        <v>1.0730292E8</v>
      </c>
      <c r="C3893" s="14">
        <v>4.63303879E8</v>
      </c>
      <c r="D3893" s="2" t="s">
        <v>257</v>
      </c>
      <c r="E3893" s="1" t="s">
        <v>121</v>
      </c>
      <c r="F3893" s="14">
        <v>0.0</v>
      </c>
      <c r="G3893" s="15"/>
      <c r="H3893" s="16"/>
      <c r="I3893" s="14"/>
    </row>
    <row r="3894">
      <c r="A3894" s="14">
        <v>671.0</v>
      </c>
      <c r="B3894" s="14">
        <v>1.07574957E8</v>
      </c>
      <c r="C3894" s="14">
        <v>4.64371033E8</v>
      </c>
      <c r="D3894" s="2" t="s">
        <v>233</v>
      </c>
      <c r="E3894" s="1" t="s">
        <v>121</v>
      </c>
      <c r="F3894" s="14">
        <v>0.0</v>
      </c>
      <c r="G3894" s="15"/>
      <c r="H3894" s="16"/>
      <c r="I3894" s="14"/>
    </row>
    <row r="3895">
      <c r="A3895" s="14">
        <v>571.0</v>
      </c>
      <c r="B3895" s="14">
        <v>1.0787441E8</v>
      </c>
      <c r="C3895" s="14">
        <v>4.66215642E8</v>
      </c>
      <c r="D3895" s="2" t="s">
        <v>214</v>
      </c>
      <c r="E3895" s="1" t="s">
        <v>121</v>
      </c>
      <c r="F3895" s="14">
        <v>0.0</v>
      </c>
      <c r="G3895" s="15"/>
      <c r="H3895" s="16"/>
      <c r="I3895" s="14"/>
    </row>
    <row r="3896">
      <c r="A3896" s="14">
        <v>570.0</v>
      </c>
      <c r="B3896" s="14">
        <v>1.09354757E8</v>
      </c>
      <c r="C3896" s="14">
        <v>4.73605402E8</v>
      </c>
      <c r="D3896" s="2" t="s">
        <v>117</v>
      </c>
      <c r="E3896" s="1" t="s">
        <v>121</v>
      </c>
      <c r="F3896" s="14">
        <v>0.0</v>
      </c>
      <c r="G3896" s="15"/>
      <c r="H3896" s="16"/>
      <c r="I3896" s="14"/>
    </row>
    <row r="3897">
      <c r="A3897" s="14">
        <v>671.0</v>
      </c>
      <c r="B3897" s="14">
        <v>1.0945217E8</v>
      </c>
      <c r="C3897" s="14">
        <v>4.7559412E8</v>
      </c>
      <c r="D3897" s="2" t="s">
        <v>110</v>
      </c>
      <c r="E3897" s="1" t="s">
        <v>121</v>
      </c>
      <c r="F3897" s="14">
        <v>0.0</v>
      </c>
      <c r="G3897" s="15"/>
      <c r="H3897" s="16"/>
      <c r="I3897" s="14"/>
    </row>
    <row r="3898">
      <c r="A3898" s="14">
        <v>421.0</v>
      </c>
      <c r="B3898" s="14">
        <v>1.12028709E8</v>
      </c>
      <c r="C3898" s="14">
        <v>4.86144072E8</v>
      </c>
      <c r="D3898" s="2" t="s">
        <v>37</v>
      </c>
      <c r="E3898" s="1" t="s">
        <v>121</v>
      </c>
      <c r="F3898" s="14">
        <v>0.0</v>
      </c>
      <c r="G3898" s="15"/>
      <c r="H3898" s="16"/>
      <c r="I3898" s="14"/>
    </row>
    <row r="3899">
      <c r="A3899" s="14">
        <v>353.0</v>
      </c>
      <c r="B3899" s="14">
        <v>1.12387945E8</v>
      </c>
      <c r="C3899" s="14">
        <v>4.87876372E8</v>
      </c>
      <c r="D3899" s="2" t="s">
        <v>27</v>
      </c>
      <c r="E3899" s="1" t="s">
        <v>121</v>
      </c>
      <c r="F3899" s="14">
        <v>0.0</v>
      </c>
      <c r="G3899" s="15"/>
      <c r="H3899" s="16"/>
      <c r="I3899" s="14"/>
    </row>
    <row r="3900">
      <c r="A3900" s="14">
        <v>403.0</v>
      </c>
      <c r="B3900" s="14">
        <v>879627.0</v>
      </c>
      <c r="C3900" s="14">
        <v>3.19015915E8</v>
      </c>
      <c r="D3900" s="2" t="s">
        <v>5143</v>
      </c>
      <c r="E3900" s="1" t="s">
        <v>121</v>
      </c>
      <c r="F3900" s="14">
        <v>-0.0015</v>
      </c>
      <c r="G3900" s="15"/>
      <c r="H3900" s="16"/>
      <c r="I3900" s="14"/>
    </row>
    <row r="3901">
      <c r="A3901" s="14">
        <v>609.0</v>
      </c>
      <c r="B3901" s="14">
        <v>9240787.0</v>
      </c>
      <c r="C3901" s="14">
        <v>3.9250269E7</v>
      </c>
      <c r="D3901" s="2" t="s">
        <v>4452</v>
      </c>
      <c r="E3901" s="1" t="s">
        <v>121</v>
      </c>
      <c r="F3901" s="14">
        <v>-0.0018</v>
      </c>
      <c r="G3901" s="15"/>
      <c r="H3901" s="16"/>
      <c r="I3901" s="14"/>
    </row>
    <row r="3902">
      <c r="A3902" s="14">
        <v>395.0</v>
      </c>
      <c r="B3902" s="14">
        <v>1.0440603E7</v>
      </c>
      <c r="C3902" s="14">
        <v>4.4389057E7</v>
      </c>
      <c r="D3902" s="2" t="s">
        <v>4365</v>
      </c>
      <c r="E3902" s="1" t="s">
        <v>121</v>
      </c>
      <c r="F3902" s="14">
        <v>-0.0018</v>
      </c>
      <c r="G3902" s="15"/>
      <c r="H3902" s="16"/>
      <c r="I3902" s="14"/>
    </row>
    <row r="3903">
      <c r="A3903" s="14">
        <v>601.0</v>
      </c>
      <c r="B3903" s="14">
        <v>1.0177493E7</v>
      </c>
      <c r="C3903" s="14">
        <v>2.26476139E8</v>
      </c>
      <c r="D3903" s="2" t="s">
        <v>4384</v>
      </c>
      <c r="E3903" s="1" t="s">
        <v>121</v>
      </c>
      <c r="F3903" s="14">
        <v>-0.0031</v>
      </c>
      <c r="G3903" s="15"/>
      <c r="H3903" s="16"/>
      <c r="I3903" s="14"/>
    </row>
    <row r="3904">
      <c r="A3904" s="14">
        <v>694.0</v>
      </c>
      <c r="B3904" s="14">
        <v>1.6522156E7</v>
      </c>
      <c r="C3904" s="14">
        <v>7.0029947E7</v>
      </c>
      <c r="D3904" s="2" t="s">
        <v>4001</v>
      </c>
      <c r="E3904" s="1" t="s">
        <v>121</v>
      </c>
      <c r="F3904" s="14">
        <v>-0.0056</v>
      </c>
      <c r="G3904" s="15"/>
      <c r="H3904" s="16"/>
      <c r="I3904" s="14"/>
    </row>
    <row r="3905">
      <c r="A3905" s="14">
        <v>601.0</v>
      </c>
      <c r="B3905" s="14">
        <v>9524883.0</v>
      </c>
      <c r="C3905" s="14">
        <v>4.0449279E7</v>
      </c>
      <c r="D3905" s="2" t="s">
        <v>4430</v>
      </c>
      <c r="E3905" s="1" t="s">
        <v>121</v>
      </c>
      <c r="F3905" s="14">
        <v>-0.0235</v>
      </c>
      <c r="G3905" s="15"/>
      <c r="H3905" s="16"/>
      <c r="I3905" s="14"/>
    </row>
    <row r="3906">
      <c r="A3906" s="14">
        <v>380.0</v>
      </c>
      <c r="B3906" s="14">
        <v>3569416.0</v>
      </c>
      <c r="C3906" s="14">
        <v>1.5134194E7</v>
      </c>
      <c r="D3906" s="2" t="s">
        <v>4913</v>
      </c>
      <c r="E3906" s="1" t="s">
        <v>121</v>
      </c>
      <c r="F3906" s="14">
        <v>-0.0258</v>
      </c>
      <c r="G3906" s="15"/>
      <c r="H3906" s="16"/>
      <c r="I3906" s="14"/>
    </row>
    <row r="3907">
      <c r="A3907" s="14">
        <v>571.0</v>
      </c>
      <c r="B3907" s="14">
        <v>5.111982E7</v>
      </c>
      <c r="C3907" s="14">
        <v>2.02691386E8</v>
      </c>
      <c r="D3907" s="2" t="s">
        <v>2983</v>
      </c>
      <c r="E3907" s="1" t="s">
        <v>121</v>
      </c>
      <c r="F3907" s="14">
        <v>-0.0258</v>
      </c>
      <c r="G3907" s="15"/>
      <c r="H3907" s="16"/>
      <c r="I3907" s="14"/>
    </row>
    <row r="3908">
      <c r="A3908" s="14">
        <v>571.0</v>
      </c>
      <c r="B3908" s="14">
        <v>6.1365708E7</v>
      </c>
      <c r="C3908" s="14">
        <v>2.46946693E8</v>
      </c>
      <c r="D3908" s="2" t="s">
        <v>2637</v>
      </c>
      <c r="E3908" s="1" t="s">
        <v>121</v>
      </c>
      <c r="F3908" s="14">
        <v>-0.0258</v>
      </c>
      <c r="G3908" s="15"/>
      <c r="H3908" s="16"/>
      <c r="I3908" s="14"/>
    </row>
    <row r="3909">
      <c r="A3909" s="14">
        <v>215.0</v>
      </c>
      <c r="B3909" s="14">
        <v>6.6707488E7</v>
      </c>
      <c r="C3909" s="14">
        <v>2.72813413E8</v>
      </c>
      <c r="D3909" s="2" t="s">
        <v>2406</v>
      </c>
      <c r="E3909" s="1" t="s">
        <v>121</v>
      </c>
      <c r="F3909" s="14">
        <v>-0.0258</v>
      </c>
      <c r="G3909" s="15"/>
      <c r="H3909" s="16"/>
      <c r="I3909" s="14"/>
    </row>
    <row r="3910">
      <c r="A3910" s="14">
        <v>674.0</v>
      </c>
      <c r="B3910" s="14">
        <v>9.4604032E7</v>
      </c>
      <c r="C3910" s="14">
        <v>4.0241336E8</v>
      </c>
      <c r="D3910" s="2" t="s">
        <v>901</v>
      </c>
      <c r="E3910" s="1" t="s">
        <v>121</v>
      </c>
      <c r="F3910" s="14">
        <v>-0.0258</v>
      </c>
      <c r="G3910" s="15"/>
      <c r="H3910" s="16"/>
      <c r="I3910" s="14"/>
    </row>
    <row r="3911">
      <c r="A3911" s="14">
        <v>571.0</v>
      </c>
      <c r="B3911" s="14">
        <v>1.00179615E8</v>
      </c>
      <c r="C3911" s="14">
        <v>4.29948581E8</v>
      </c>
      <c r="D3911" s="2" t="s">
        <v>578</v>
      </c>
      <c r="E3911" s="1" t="s">
        <v>121</v>
      </c>
      <c r="F3911" s="14">
        <v>-0.0258</v>
      </c>
      <c r="G3911" s="15"/>
      <c r="H3911" s="16"/>
      <c r="I3911" s="14"/>
    </row>
    <row r="3912">
      <c r="A3912" s="14">
        <v>173.0</v>
      </c>
      <c r="B3912" s="14">
        <v>8.4089426E7</v>
      </c>
      <c r="C3912" s="14">
        <v>3.53661468E8</v>
      </c>
      <c r="D3912" s="2" t="s">
        <v>1505</v>
      </c>
      <c r="E3912" s="1" t="s">
        <v>121</v>
      </c>
      <c r="F3912" s="14">
        <v>-0.0286</v>
      </c>
      <c r="G3912" s="15"/>
      <c r="H3912" s="16"/>
      <c r="I3912" s="14"/>
    </row>
    <row r="3913">
      <c r="A3913" s="14">
        <v>504.0</v>
      </c>
      <c r="B3913" s="14">
        <v>9.0247598E7</v>
      </c>
      <c r="C3913" s="14">
        <v>3.82864575E8</v>
      </c>
      <c r="D3913" s="2" t="s">
        <v>1127</v>
      </c>
      <c r="E3913" s="1" t="s">
        <v>121</v>
      </c>
      <c r="F3913" s="14">
        <v>-0.0364</v>
      </c>
      <c r="G3913" s="15"/>
      <c r="H3913" s="16"/>
      <c r="I3913" s="14"/>
    </row>
    <row r="3914">
      <c r="A3914" s="14">
        <v>671.0</v>
      </c>
      <c r="B3914" s="14">
        <v>1.4239983E7</v>
      </c>
      <c r="C3914" s="14">
        <v>6.0602196E7</v>
      </c>
      <c r="D3914" s="2" t="s">
        <v>4144</v>
      </c>
      <c r="E3914" s="1" t="s">
        <v>699</v>
      </c>
      <c r="F3914" s="14">
        <v>-0.0387</v>
      </c>
      <c r="G3914" s="15"/>
      <c r="H3914" s="16"/>
      <c r="I3914" s="14"/>
    </row>
    <row r="3915">
      <c r="A3915" s="14">
        <v>557.0</v>
      </c>
      <c r="B3915" s="14">
        <v>9.4996479E7</v>
      </c>
      <c r="C3915" s="14">
        <v>4.04109567E8</v>
      </c>
      <c r="D3915" s="2" t="s">
        <v>878</v>
      </c>
      <c r="E3915" s="1" t="s">
        <v>121</v>
      </c>
      <c r="F3915" s="14">
        <v>-0.0387</v>
      </c>
      <c r="G3915" s="15"/>
      <c r="H3915" s="16"/>
      <c r="I3915" s="14"/>
    </row>
    <row r="3916">
      <c r="A3916" s="14">
        <v>492.0</v>
      </c>
      <c r="B3916" s="14">
        <v>8989270.0</v>
      </c>
      <c r="C3916" s="14">
        <v>9.4078517E7</v>
      </c>
      <c r="D3916" s="2" t="s">
        <v>4473</v>
      </c>
      <c r="E3916" s="1" t="s">
        <v>121</v>
      </c>
      <c r="F3916" s="14">
        <v>-0.0433</v>
      </c>
      <c r="G3916" s="15"/>
      <c r="H3916" s="16"/>
      <c r="I3916" s="14"/>
    </row>
    <row r="3917">
      <c r="A3917" s="14">
        <v>601.0</v>
      </c>
      <c r="B3917" s="14">
        <v>1.5916892E7</v>
      </c>
      <c r="C3917" s="14">
        <v>6.7584919E7</v>
      </c>
      <c r="D3917" s="2" t="s">
        <v>4040</v>
      </c>
      <c r="E3917" s="1" t="s">
        <v>121</v>
      </c>
      <c r="F3917" s="14">
        <v>-0.0451</v>
      </c>
      <c r="G3917" s="15"/>
      <c r="H3917" s="16"/>
      <c r="I3917" s="14"/>
    </row>
    <row r="3918">
      <c r="A3918" s="14">
        <v>475.0</v>
      </c>
      <c r="B3918" s="14">
        <v>9.6377967E7</v>
      </c>
      <c r="C3918" s="14">
        <v>4.11453713E8</v>
      </c>
      <c r="D3918" s="2" t="s">
        <v>801</v>
      </c>
      <c r="E3918" s="1" t="s">
        <v>121</v>
      </c>
      <c r="F3918" s="14">
        <v>-0.0511</v>
      </c>
      <c r="G3918" s="15"/>
      <c r="H3918" s="16"/>
      <c r="I3918" s="14"/>
    </row>
    <row r="3919">
      <c r="A3919" s="14">
        <v>355.0</v>
      </c>
      <c r="B3919" s="14">
        <v>1.4918932E7</v>
      </c>
      <c r="C3919" s="14">
        <v>6.3427341E7</v>
      </c>
      <c r="D3919" s="2" t="s">
        <v>4111</v>
      </c>
      <c r="E3919" s="1" t="s">
        <v>699</v>
      </c>
      <c r="F3919" s="14">
        <v>-0.0516</v>
      </c>
      <c r="G3919" s="15"/>
      <c r="H3919" s="16"/>
      <c r="I3919" s="14"/>
    </row>
    <row r="3920">
      <c r="A3920" s="14">
        <v>492.0</v>
      </c>
      <c r="B3920" s="14">
        <v>3.2192894E7</v>
      </c>
      <c r="C3920" s="14">
        <v>1.29012967E8</v>
      </c>
      <c r="D3920" s="2" t="s">
        <v>3534</v>
      </c>
      <c r="E3920" s="1" t="s">
        <v>699</v>
      </c>
      <c r="F3920" s="14">
        <v>-0.0516</v>
      </c>
      <c r="G3920" s="15"/>
      <c r="H3920" s="16"/>
      <c r="I3920" s="14"/>
    </row>
    <row r="3921">
      <c r="A3921" s="14">
        <v>194.0</v>
      </c>
      <c r="B3921" s="14">
        <v>7.9700612E7</v>
      </c>
      <c r="C3921" s="14">
        <v>3.3271455E8</v>
      </c>
      <c r="D3921" s="2" t="s">
        <v>1754</v>
      </c>
      <c r="E3921" s="1" t="s">
        <v>699</v>
      </c>
      <c r="F3921" s="14">
        <v>-0.0516</v>
      </c>
      <c r="G3921" s="15"/>
      <c r="H3921" s="16"/>
      <c r="I3921" s="14"/>
    </row>
    <row r="3922">
      <c r="A3922" s="14">
        <v>410.0</v>
      </c>
      <c r="B3922" s="14">
        <v>1257903.0</v>
      </c>
      <c r="C3922" s="14">
        <v>5614133.0</v>
      </c>
      <c r="D3922" s="2" t="s">
        <v>5098</v>
      </c>
      <c r="E3922" s="1" t="s">
        <v>121</v>
      </c>
      <c r="F3922" s="14">
        <v>-0.0516</v>
      </c>
      <c r="G3922" s="15"/>
      <c r="H3922" s="16"/>
      <c r="I3922" s="14"/>
    </row>
    <row r="3923">
      <c r="A3923" s="14">
        <v>571.0</v>
      </c>
      <c r="B3923" s="14">
        <v>2676616.0</v>
      </c>
      <c r="C3923" s="14">
        <v>1.132016E7</v>
      </c>
      <c r="D3923" s="2" t="s">
        <v>5011</v>
      </c>
      <c r="E3923" s="1" t="s">
        <v>121</v>
      </c>
      <c r="F3923" s="14">
        <v>-0.0516</v>
      </c>
      <c r="G3923" s="15"/>
      <c r="H3923" s="16"/>
      <c r="I3923" s="14"/>
    </row>
    <row r="3924">
      <c r="A3924" s="14">
        <v>337.0</v>
      </c>
      <c r="B3924" s="14">
        <v>3093091.0</v>
      </c>
      <c r="C3924" s="14">
        <v>1.3081253E7</v>
      </c>
      <c r="D3924" s="2" t="s">
        <v>4957</v>
      </c>
      <c r="E3924" s="1" t="s">
        <v>121</v>
      </c>
      <c r="F3924" s="14">
        <v>-0.0516</v>
      </c>
      <c r="G3924" s="15"/>
      <c r="H3924" s="16"/>
      <c r="I3924" s="14"/>
    </row>
    <row r="3925">
      <c r="A3925" s="14">
        <v>715.0</v>
      </c>
      <c r="B3925" s="14">
        <v>1.308649E7</v>
      </c>
      <c r="C3925" s="14">
        <v>5.5544077E7</v>
      </c>
      <c r="D3925" s="2" t="s">
        <v>4205</v>
      </c>
      <c r="E3925" s="1" t="s">
        <v>121</v>
      </c>
      <c r="F3925" s="14">
        <v>-0.0516</v>
      </c>
      <c r="G3925" s="15"/>
      <c r="H3925" s="16"/>
      <c r="I3925" s="14"/>
    </row>
    <row r="3926">
      <c r="A3926" s="14">
        <v>410.0</v>
      </c>
      <c r="B3926" s="14">
        <v>5.8372636E7</v>
      </c>
      <c r="C3926" s="14">
        <v>2.32813804E8</v>
      </c>
      <c r="D3926" s="2" t="s">
        <v>2744</v>
      </c>
      <c r="E3926" s="1" t="s">
        <v>121</v>
      </c>
      <c r="F3926" s="14">
        <v>-0.0516</v>
      </c>
      <c r="G3926" s="15"/>
      <c r="H3926" s="16"/>
      <c r="I3926" s="14"/>
    </row>
    <row r="3927">
      <c r="A3927" s="14">
        <v>578.0</v>
      </c>
      <c r="B3927" s="14">
        <v>8.4236396E7</v>
      </c>
      <c r="C3927" s="14">
        <v>3.5418466E8</v>
      </c>
      <c r="D3927" s="2" t="s">
        <v>1490</v>
      </c>
      <c r="E3927" s="1" t="s">
        <v>121</v>
      </c>
      <c r="F3927" s="14">
        <v>-0.0516</v>
      </c>
      <c r="G3927" s="15"/>
      <c r="H3927" s="16"/>
      <c r="I3927" s="14"/>
    </row>
    <row r="3928">
      <c r="A3928" s="14">
        <v>455.0</v>
      </c>
      <c r="B3928" s="14">
        <v>1.13111134E8</v>
      </c>
      <c r="C3928" s="14">
        <v>4.91400006E8</v>
      </c>
      <c r="D3928" s="2" t="s">
        <v>9</v>
      </c>
      <c r="E3928" s="1" t="s">
        <v>121</v>
      </c>
      <c r="F3928" s="14">
        <v>-0.0516</v>
      </c>
      <c r="G3928" s="15"/>
      <c r="H3928" s="16"/>
      <c r="I3928" s="14"/>
    </row>
    <row r="3929">
      <c r="A3929" s="14">
        <v>484.0</v>
      </c>
      <c r="B3929" s="14">
        <v>1736134.0</v>
      </c>
      <c r="C3929" s="14">
        <v>7560569.0</v>
      </c>
      <c r="D3929" s="2" t="s">
        <v>5063</v>
      </c>
      <c r="E3929" s="1" t="s">
        <v>699</v>
      </c>
      <c r="F3929" s="14">
        <v>-0.0572</v>
      </c>
      <c r="G3929" s="15"/>
      <c r="H3929" s="16"/>
      <c r="I3929" s="14"/>
    </row>
    <row r="3930">
      <c r="A3930" s="14">
        <v>625.0</v>
      </c>
      <c r="B3930" s="14">
        <v>6.4263432E7</v>
      </c>
      <c r="C3930" s="14">
        <v>2.61022858E8</v>
      </c>
      <c r="D3930" s="2" t="s">
        <v>2523</v>
      </c>
      <c r="E3930" s="1" t="s">
        <v>121</v>
      </c>
      <c r="F3930" s="14">
        <v>-0.0613</v>
      </c>
      <c r="G3930" s="15"/>
      <c r="H3930" s="16"/>
      <c r="I3930" s="14"/>
    </row>
    <row r="3931">
      <c r="A3931" s="14">
        <v>673.0</v>
      </c>
      <c r="B3931" s="14">
        <v>7.1744899E7</v>
      </c>
      <c r="C3931" s="14">
        <v>2.96362191E8</v>
      </c>
      <c r="D3931" s="2" t="s">
        <v>2139</v>
      </c>
      <c r="E3931" s="1" t="s">
        <v>121</v>
      </c>
      <c r="F3931" s="14">
        <v>-0.0617</v>
      </c>
      <c r="G3931" s="15"/>
      <c r="H3931" s="16"/>
      <c r="I3931" s="14"/>
    </row>
    <row r="3932">
      <c r="A3932" s="14">
        <v>12.0</v>
      </c>
      <c r="B3932" s="14">
        <v>542015.0</v>
      </c>
      <c r="C3932" s="14">
        <v>2611763.0</v>
      </c>
      <c r="D3932" s="2" t="s">
        <v>5155</v>
      </c>
      <c r="E3932" s="1" t="s">
        <v>121</v>
      </c>
      <c r="F3932" s="14">
        <v>-0.0644</v>
      </c>
      <c r="G3932" s="15"/>
      <c r="H3932" s="16"/>
      <c r="I3932" s="14"/>
    </row>
    <row r="3933">
      <c r="A3933" s="14">
        <v>571.0</v>
      </c>
      <c r="B3933" s="14">
        <v>6.6644598E7</v>
      </c>
      <c r="C3933" s="14">
        <v>2.72560639E8</v>
      </c>
      <c r="D3933" s="2" t="s">
        <v>2410</v>
      </c>
      <c r="E3933" s="1" t="s">
        <v>121</v>
      </c>
      <c r="F3933" s="14">
        <v>-0.0652</v>
      </c>
      <c r="G3933" s="15"/>
      <c r="H3933" s="16"/>
      <c r="I3933" s="14"/>
    </row>
    <row r="3934">
      <c r="A3934" s="14">
        <v>587.0</v>
      </c>
      <c r="B3934" s="14">
        <v>1.00996821E8</v>
      </c>
      <c r="C3934" s="14">
        <v>4.33072471E8</v>
      </c>
      <c r="D3934" s="2" t="s">
        <v>531</v>
      </c>
      <c r="E3934" s="1" t="s">
        <v>121</v>
      </c>
      <c r="F3934" s="14">
        <v>-0.0675</v>
      </c>
      <c r="G3934" s="15"/>
      <c r="H3934" s="16"/>
      <c r="I3934" s="14"/>
    </row>
    <row r="3935">
      <c r="A3935" s="14">
        <v>319.0</v>
      </c>
      <c r="B3935" s="14">
        <v>6.2848157E7</v>
      </c>
      <c r="C3935" s="14">
        <v>2.54401269E8</v>
      </c>
      <c r="D3935" s="2" t="s">
        <v>2578</v>
      </c>
      <c r="E3935" s="1" t="s">
        <v>121</v>
      </c>
      <c r="F3935" s="14">
        <v>-0.0691</v>
      </c>
      <c r="G3935" s="15"/>
      <c r="H3935" s="16"/>
      <c r="I3935" s="14"/>
    </row>
    <row r="3936">
      <c r="A3936" s="14">
        <v>396.0</v>
      </c>
      <c r="B3936" s="14">
        <v>1112108.0</v>
      </c>
      <c r="C3936" s="14">
        <v>5018638.0</v>
      </c>
      <c r="D3936" s="2" t="s">
        <v>5135</v>
      </c>
      <c r="E3936" s="1" t="s">
        <v>121</v>
      </c>
      <c r="F3936" s="14">
        <v>-0.0762</v>
      </c>
      <c r="G3936" s="15"/>
      <c r="H3936" s="16"/>
      <c r="I3936" s="14"/>
    </row>
    <row r="3937">
      <c r="A3937" s="14">
        <v>210.0</v>
      </c>
      <c r="B3937" s="14">
        <v>7.2174041E7</v>
      </c>
      <c r="C3937" s="14">
        <v>2.98337557E8</v>
      </c>
      <c r="D3937" s="2" t="s">
        <v>2122</v>
      </c>
      <c r="E3937" s="1" t="s">
        <v>699</v>
      </c>
      <c r="F3937" s="14">
        <v>-0.0772</v>
      </c>
      <c r="G3937" s="15"/>
      <c r="H3937" s="16"/>
      <c r="I3937" s="14"/>
    </row>
    <row r="3938">
      <c r="A3938" s="14">
        <v>504.0</v>
      </c>
      <c r="B3938" s="14">
        <v>8.8548384E7</v>
      </c>
      <c r="C3938" s="14">
        <v>3.7487683E8</v>
      </c>
      <c r="D3938" s="2" t="s">
        <v>1221</v>
      </c>
      <c r="E3938" s="1" t="s">
        <v>699</v>
      </c>
      <c r="F3938" s="14">
        <v>-0.0772</v>
      </c>
      <c r="G3938" s="15"/>
      <c r="H3938" s="16"/>
      <c r="I3938" s="14"/>
    </row>
    <row r="3939">
      <c r="A3939" s="14">
        <v>353.0</v>
      </c>
      <c r="B3939" s="14">
        <v>1.08421282E8</v>
      </c>
      <c r="C3939" s="14">
        <v>4.68536566E8</v>
      </c>
      <c r="D3939" s="2" t="s">
        <v>182</v>
      </c>
      <c r="E3939" s="1" t="s">
        <v>699</v>
      </c>
      <c r="F3939" s="14">
        <v>-0.0772</v>
      </c>
      <c r="G3939" s="15"/>
      <c r="H3939" s="16"/>
      <c r="I3939" s="14"/>
    </row>
    <row r="3940">
      <c r="A3940" s="14">
        <v>570.0</v>
      </c>
      <c r="B3940" s="14">
        <v>3182564.0</v>
      </c>
      <c r="C3940" s="14">
        <v>1.3464894E7</v>
      </c>
      <c r="D3940" s="2" t="s">
        <v>4945</v>
      </c>
      <c r="E3940" s="1" t="s">
        <v>121</v>
      </c>
      <c r="F3940" s="14">
        <v>-0.0772</v>
      </c>
      <c r="G3940" s="15"/>
      <c r="H3940" s="16"/>
      <c r="I3940" s="14"/>
    </row>
    <row r="3941">
      <c r="A3941" s="14">
        <v>571.0</v>
      </c>
      <c r="B3941" s="14">
        <v>4378122.0</v>
      </c>
      <c r="C3941" s="14">
        <v>1.8652366E7</v>
      </c>
      <c r="D3941" s="2" t="s">
        <v>4834</v>
      </c>
      <c r="E3941" s="1" t="s">
        <v>121</v>
      </c>
      <c r="F3941" s="14">
        <v>-0.0772</v>
      </c>
      <c r="G3941" s="15"/>
      <c r="H3941" s="16"/>
      <c r="I3941" s="14"/>
    </row>
    <row r="3942">
      <c r="A3942" s="14">
        <v>407.0</v>
      </c>
      <c r="B3942" s="14">
        <v>6991749.0</v>
      </c>
      <c r="C3942" s="14">
        <v>2.972225E7</v>
      </c>
      <c r="D3942" s="2" t="s">
        <v>4612</v>
      </c>
      <c r="E3942" s="1" t="s">
        <v>121</v>
      </c>
      <c r="F3942" s="14">
        <v>-0.0772</v>
      </c>
      <c r="G3942" s="15"/>
      <c r="H3942" s="16"/>
      <c r="I3942" s="14"/>
    </row>
    <row r="3943">
      <c r="A3943" s="14">
        <v>395.0</v>
      </c>
      <c r="B3943" s="14">
        <v>1.2890926E7</v>
      </c>
      <c r="C3943" s="14">
        <v>5.479547E7</v>
      </c>
      <c r="D3943" s="2" t="s">
        <v>4217</v>
      </c>
      <c r="E3943" s="1" t="s">
        <v>121</v>
      </c>
      <c r="F3943" s="14">
        <v>-0.0772</v>
      </c>
      <c r="G3943" s="15"/>
      <c r="H3943" s="16"/>
      <c r="I3943" s="14"/>
    </row>
    <row r="3944">
      <c r="A3944" s="14">
        <v>664.0</v>
      </c>
      <c r="B3944" s="14">
        <v>1.5005047E7</v>
      </c>
      <c r="C3944" s="14">
        <v>6.380416E7</v>
      </c>
      <c r="D3944" s="2" t="s">
        <v>4103</v>
      </c>
      <c r="E3944" s="1" t="s">
        <v>121</v>
      </c>
      <c r="F3944" s="14">
        <v>-0.0772</v>
      </c>
      <c r="G3944" s="15"/>
      <c r="H3944" s="16"/>
      <c r="I3944" s="14"/>
    </row>
    <row r="3945">
      <c r="A3945" s="14">
        <v>702.0</v>
      </c>
      <c r="B3945" s="14">
        <v>1.5760346E7</v>
      </c>
      <c r="C3945" s="14">
        <v>6.7008946E7</v>
      </c>
      <c r="D3945" s="2" t="s">
        <v>4049</v>
      </c>
      <c r="E3945" s="1" t="s">
        <v>121</v>
      </c>
      <c r="F3945" s="14">
        <v>-0.0772</v>
      </c>
      <c r="G3945" s="15"/>
      <c r="H3945" s="16"/>
      <c r="I3945" s="14"/>
    </row>
    <row r="3946">
      <c r="A3946" s="14">
        <v>601.0</v>
      </c>
      <c r="B3946" s="14">
        <v>2.0116078E7</v>
      </c>
      <c r="C3946" s="14">
        <v>8.3784494E7</v>
      </c>
      <c r="D3946" s="2" t="s">
        <v>3879</v>
      </c>
      <c r="E3946" s="1" t="s">
        <v>121</v>
      </c>
      <c r="F3946" s="14">
        <v>-0.0772</v>
      </c>
      <c r="G3946" s="15"/>
      <c r="H3946" s="16"/>
      <c r="I3946" s="14"/>
    </row>
    <row r="3947">
      <c r="A3947" s="14">
        <v>671.0</v>
      </c>
      <c r="B3947" s="14">
        <v>1.00356544E8</v>
      </c>
      <c r="C3947" s="14">
        <v>4.30349091E8</v>
      </c>
      <c r="D3947" s="2" t="s">
        <v>569</v>
      </c>
      <c r="E3947" s="1" t="s">
        <v>121</v>
      </c>
      <c r="F3947" s="14">
        <v>-0.0772</v>
      </c>
      <c r="G3947" s="15"/>
      <c r="H3947" s="16"/>
      <c r="I3947" s="14"/>
    </row>
    <row r="3948">
      <c r="A3948" s="14">
        <v>671.0</v>
      </c>
      <c r="B3948" s="14">
        <v>1.03348712E8</v>
      </c>
      <c r="C3948" s="14">
        <v>4.44778821E8</v>
      </c>
      <c r="D3948" s="2" t="s">
        <v>407</v>
      </c>
      <c r="E3948" s="1" t="s">
        <v>121</v>
      </c>
      <c r="F3948" s="14">
        <v>-0.0772</v>
      </c>
      <c r="G3948" s="15"/>
      <c r="H3948" s="16"/>
      <c r="I3948" s="14"/>
    </row>
    <row r="3949">
      <c r="A3949" s="14">
        <v>223.0</v>
      </c>
      <c r="B3949" s="14">
        <v>396461.0</v>
      </c>
      <c r="C3949" s="14">
        <v>1756129.0</v>
      </c>
      <c r="D3949" s="2" t="s">
        <v>5164</v>
      </c>
      <c r="E3949" s="1" t="s">
        <v>121</v>
      </c>
      <c r="F3949" s="14">
        <v>-0.0788</v>
      </c>
      <c r="G3949" s="15"/>
      <c r="H3949" s="16"/>
      <c r="I3949" s="14"/>
    </row>
    <row r="3950">
      <c r="A3950" s="14">
        <v>403.0</v>
      </c>
      <c r="B3950" s="14">
        <v>6.6938037E7</v>
      </c>
      <c r="C3950" s="14">
        <v>2.73859733E8</v>
      </c>
      <c r="D3950" s="2" t="s">
        <v>2392</v>
      </c>
      <c r="E3950" s="1" t="s">
        <v>121</v>
      </c>
      <c r="F3950" s="14">
        <v>-0.0798</v>
      </c>
      <c r="G3950" s="15"/>
      <c r="H3950" s="16"/>
      <c r="I3950" s="14"/>
    </row>
    <row r="3951">
      <c r="A3951" s="14">
        <v>406.0</v>
      </c>
      <c r="B3951" s="14">
        <v>3646821.0</v>
      </c>
      <c r="C3951" s="14">
        <v>1.5463349E7</v>
      </c>
      <c r="D3951" s="2" t="s">
        <v>4909</v>
      </c>
      <c r="E3951" s="1" t="s">
        <v>699</v>
      </c>
      <c r="F3951" s="14">
        <v>-0.0803</v>
      </c>
      <c r="G3951" s="15"/>
      <c r="H3951" s="16"/>
      <c r="I3951" s="14"/>
    </row>
    <row r="3952">
      <c r="A3952" s="14">
        <v>602.0</v>
      </c>
      <c r="B3952" s="14">
        <v>6065009.0</v>
      </c>
      <c r="C3952" s="14">
        <v>2.5824948E7</v>
      </c>
      <c r="D3952" s="2" t="s">
        <v>4705</v>
      </c>
      <c r="E3952" s="1" t="s">
        <v>121</v>
      </c>
      <c r="F3952" s="14">
        <v>-0.0846</v>
      </c>
      <c r="G3952" s="15"/>
      <c r="H3952" s="16"/>
      <c r="I3952" s="14"/>
    </row>
    <row r="3953">
      <c r="A3953" s="14">
        <v>120.0</v>
      </c>
      <c r="B3953" s="14">
        <v>306429.0</v>
      </c>
      <c r="C3953" s="14">
        <v>1307563.0</v>
      </c>
      <c r="D3953" s="2" t="s">
        <v>5170</v>
      </c>
      <c r="E3953" s="1" t="s">
        <v>121</v>
      </c>
      <c r="F3953" s="14">
        <v>-0.0849</v>
      </c>
      <c r="G3953" s="15"/>
      <c r="H3953" s="16"/>
      <c r="I3953" s="14"/>
    </row>
    <row r="3954">
      <c r="A3954" s="14">
        <v>630.0</v>
      </c>
      <c r="B3954" s="14">
        <v>3.1397202E7</v>
      </c>
      <c r="C3954" s="14">
        <v>1.26138567E8</v>
      </c>
      <c r="D3954" s="2" t="s">
        <v>3554</v>
      </c>
      <c r="E3954" s="1" t="s">
        <v>699</v>
      </c>
      <c r="F3954" s="14">
        <v>-0.0882</v>
      </c>
      <c r="G3954" s="15"/>
      <c r="H3954" s="16"/>
      <c r="I3954" s="14"/>
    </row>
    <row r="3955">
      <c r="A3955" s="14">
        <v>503.0</v>
      </c>
      <c r="B3955" s="14">
        <v>2.1267437E7</v>
      </c>
      <c r="C3955" s="14">
        <v>8.8240139E7</v>
      </c>
      <c r="D3955" s="2" t="s">
        <v>3823</v>
      </c>
      <c r="E3955" s="1" t="s">
        <v>699</v>
      </c>
      <c r="F3955" s="14">
        <v>-0.0941</v>
      </c>
      <c r="G3955" s="15"/>
      <c r="H3955" s="16"/>
      <c r="I3955" s="14"/>
    </row>
    <row r="3956">
      <c r="A3956" s="14">
        <v>680.0</v>
      </c>
      <c r="B3956" s="14">
        <v>1.2115039E7</v>
      </c>
      <c r="C3956" s="14">
        <v>5.1448026E7</v>
      </c>
      <c r="D3956" s="2" t="s">
        <v>4252</v>
      </c>
      <c r="E3956" s="1" t="s">
        <v>121</v>
      </c>
      <c r="F3956" s="14">
        <v>-0.0973</v>
      </c>
      <c r="G3956" s="15"/>
      <c r="H3956" s="16"/>
      <c r="I3956" s="14"/>
    </row>
    <row r="3957">
      <c r="A3957" s="14">
        <v>504.0</v>
      </c>
      <c r="B3957" s="14">
        <v>2.7435171E7</v>
      </c>
      <c r="C3957" s="14">
        <v>1.11419238E8</v>
      </c>
      <c r="D3957" s="2" t="s">
        <v>3666</v>
      </c>
      <c r="E3957" s="1" t="s">
        <v>121</v>
      </c>
      <c r="F3957" s="14">
        <v>-0.1005</v>
      </c>
      <c r="G3957" s="15"/>
      <c r="H3957" s="16"/>
      <c r="I3957" s="14"/>
    </row>
    <row r="3958">
      <c r="A3958" s="14">
        <v>120.0</v>
      </c>
      <c r="B3958" s="14">
        <v>2.0947899E7</v>
      </c>
      <c r="C3958" s="14">
        <v>8.6915762E7</v>
      </c>
      <c r="D3958" s="2" t="s">
        <v>3837</v>
      </c>
      <c r="E3958" s="1" t="s">
        <v>699</v>
      </c>
      <c r="F3958" s="14">
        <v>-0.1007</v>
      </c>
      <c r="G3958" s="15"/>
      <c r="H3958" s="16"/>
      <c r="I3958" s="14"/>
    </row>
    <row r="3959">
      <c r="A3959" s="14">
        <v>228.0</v>
      </c>
      <c r="B3959" s="14">
        <v>1324065.0</v>
      </c>
      <c r="C3959" s="14">
        <v>5927604.0</v>
      </c>
      <c r="D3959" s="2" t="s">
        <v>5093</v>
      </c>
      <c r="E3959" s="1" t="s">
        <v>121</v>
      </c>
      <c r="F3959" s="14">
        <v>-0.1007</v>
      </c>
      <c r="G3959" s="15"/>
      <c r="H3959" s="16"/>
      <c r="I3959" s="14"/>
    </row>
    <row r="3960">
      <c r="A3960" s="14">
        <v>353.0</v>
      </c>
      <c r="B3960" s="14">
        <v>4182073.0</v>
      </c>
      <c r="C3960" s="14">
        <v>1.7706986E7</v>
      </c>
      <c r="D3960" s="2" t="s">
        <v>4860</v>
      </c>
      <c r="E3960" s="1" t="s">
        <v>121</v>
      </c>
      <c r="F3960" s="14">
        <v>-0.1025</v>
      </c>
      <c r="G3960" s="15"/>
      <c r="H3960" s="16"/>
      <c r="I3960" s="14"/>
    </row>
    <row r="3961">
      <c r="A3961" s="14">
        <v>643.0</v>
      </c>
      <c r="B3961" s="14">
        <v>7167838.0</v>
      </c>
      <c r="C3961" s="14">
        <v>3.0451017E7</v>
      </c>
      <c r="D3961" s="2" t="s">
        <v>4592</v>
      </c>
      <c r="E3961" s="1" t="s">
        <v>699</v>
      </c>
      <c r="F3961" s="14">
        <v>-0.1027</v>
      </c>
      <c r="G3961" s="15"/>
      <c r="H3961" s="16"/>
      <c r="I3961" s="14"/>
    </row>
    <row r="3962">
      <c r="A3962" s="14">
        <v>472.0</v>
      </c>
      <c r="B3962" s="14">
        <v>7998681.0</v>
      </c>
      <c r="C3962" s="14">
        <v>3.3972824E7</v>
      </c>
      <c r="D3962" s="2" t="s">
        <v>4544</v>
      </c>
      <c r="E3962" s="1" t="s">
        <v>699</v>
      </c>
      <c r="F3962" s="14">
        <v>-0.1027</v>
      </c>
      <c r="G3962" s="15"/>
      <c r="H3962" s="16"/>
      <c r="I3962" s="14"/>
    </row>
    <row r="3963">
      <c r="A3963" s="14">
        <v>410.0</v>
      </c>
      <c r="B3963" s="14">
        <v>1.04434138E8</v>
      </c>
      <c r="C3963" s="14">
        <v>4.49733851E8</v>
      </c>
      <c r="D3963" s="2" t="s">
        <v>366</v>
      </c>
      <c r="E3963" s="1" t="s">
        <v>699</v>
      </c>
      <c r="F3963" s="14">
        <v>-0.1027</v>
      </c>
      <c r="G3963" s="15"/>
      <c r="H3963" s="16"/>
      <c r="I3963" s="14"/>
    </row>
    <row r="3964">
      <c r="A3964" s="14">
        <v>355.0</v>
      </c>
      <c r="B3964" s="14">
        <v>2092122.0</v>
      </c>
      <c r="C3964" s="14">
        <v>9026330.0</v>
      </c>
      <c r="D3964" s="2" t="s">
        <v>5046</v>
      </c>
      <c r="E3964" s="1" t="s">
        <v>121</v>
      </c>
      <c r="F3964" s="14">
        <v>-0.1027</v>
      </c>
      <c r="G3964" s="15"/>
      <c r="H3964" s="16"/>
      <c r="I3964" s="14"/>
    </row>
    <row r="3965">
      <c r="A3965" s="14">
        <v>602.0</v>
      </c>
      <c r="B3965" s="14">
        <v>3163087.0</v>
      </c>
      <c r="C3965" s="14">
        <v>1.3528677E7</v>
      </c>
      <c r="D3965" s="2" t="s">
        <v>4949</v>
      </c>
      <c r="E3965" s="1" t="s">
        <v>121</v>
      </c>
      <c r="F3965" s="14">
        <v>-0.1027</v>
      </c>
      <c r="G3965" s="15"/>
      <c r="H3965" s="16"/>
      <c r="I3965" s="14"/>
    </row>
    <row r="3966">
      <c r="A3966" s="14">
        <v>414.0</v>
      </c>
      <c r="B3966" s="14">
        <v>4402091.0</v>
      </c>
      <c r="C3966" s="14">
        <v>1.8652502E7</v>
      </c>
      <c r="D3966" s="2" t="s">
        <v>4831</v>
      </c>
      <c r="E3966" s="1" t="s">
        <v>121</v>
      </c>
      <c r="F3966" s="14">
        <v>-0.1027</v>
      </c>
      <c r="G3966" s="15"/>
      <c r="H3966" s="16"/>
      <c r="I3966" s="14"/>
    </row>
    <row r="3967">
      <c r="A3967" s="14">
        <v>395.0</v>
      </c>
      <c r="B3967" s="14">
        <v>5063075.0</v>
      </c>
      <c r="C3967" s="14">
        <v>2.1601523E7</v>
      </c>
      <c r="D3967" s="2" t="s">
        <v>4791</v>
      </c>
      <c r="E3967" s="1" t="s">
        <v>121</v>
      </c>
      <c r="F3967" s="14">
        <v>-0.1027</v>
      </c>
      <c r="G3967" s="15"/>
      <c r="H3967" s="16"/>
      <c r="I3967" s="14"/>
    </row>
    <row r="3968">
      <c r="A3968" s="14">
        <v>421.0</v>
      </c>
      <c r="B3968" s="14">
        <v>8051790.0</v>
      </c>
      <c r="C3968" s="14">
        <v>3.4173576E7</v>
      </c>
      <c r="D3968" s="2" t="s">
        <v>4539</v>
      </c>
      <c r="E3968" s="1" t="s">
        <v>121</v>
      </c>
      <c r="F3968" s="14">
        <v>-0.1027</v>
      </c>
      <c r="G3968" s="15"/>
      <c r="H3968" s="16"/>
      <c r="I3968" s="14"/>
    </row>
    <row r="3969">
      <c r="A3969" s="14">
        <v>597.0</v>
      </c>
      <c r="B3969" s="14">
        <v>1.1877858E7</v>
      </c>
      <c r="C3969" s="14">
        <v>1.42531099E8</v>
      </c>
      <c r="D3969" s="2" t="s">
        <v>4261</v>
      </c>
      <c r="E3969" s="1" t="s">
        <v>121</v>
      </c>
      <c r="F3969" s="14">
        <v>-0.1027</v>
      </c>
      <c r="G3969" s="15"/>
      <c r="H3969" s="16"/>
      <c r="I3969" s="14"/>
    </row>
    <row r="3970">
      <c r="A3970" s="14">
        <v>667.0</v>
      </c>
      <c r="B3970" s="14">
        <v>1.2040812E7</v>
      </c>
      <c r="C3970" s="14">
        <v>5.108781E7</v>
      </c>
      <c r="D3970" s="2" t="s">
        <v>4256</v>
      </c>
      <c r="E3970" s="1" t="s">
        <v>121</v>
      </c>
      <c r="F3970" s="14">
        <v>-0.1027</v>
      </c>
      <c r="G3970" s="15"/>
      <c r="H3970" s="16"/>
      <c r="I3970" s="14"/>
    </row>
    <row r="3971">
      <c r="A3971" s="14">
        <v>225.0</v>
      </c>
      <c r="B3971" s="14">
        <v>1.8237467E7</v>
      </c>
      <c r="C3971" s="14">
        <v>7.6669823E7</v>
      </c>
      <c r="D3971" s="2" t="s">
        <v>3925</v>
      </c>
      <c r="E3971" s="1" t="s">
        <v>121</v>
      </c>
      <c r="F3971" s="14">
        <v>-0.1027</v>
      </c>
      <c r="G3971" s="15"/>
      <c r="H3971" s="16"/>
      <c r="I3971" s="14"/>
    </row>
    <row r="3972">
      <c r="A3972" s="14">
        <v>672.0</v>
      </c>
      <c r="B3972" s="14">
        <v>1.8361964E7</v>
      </c>
      <c r="C3972" s="14">
        <v>7.7473712E7</v>
      </c>
      <c r="D3972" s="2" t="s">
        <v>3921</v>
      </c>
      <c r="E3972" s="1" t="s">
        <v>121</v>
      </c>
      <c r="F3972" s="14">
        <v>-0.1027</v>
      </c>
      <c r="G3972" s="15"/>
      <c r="H3972" s="16"/>
      <c r="I3972" s="14"/>
    </row>
    <row r="3973">
      <c r="A3973" s="14">
        <v>619.0</v>
      </c>
      <c r="B3973" s="14">
        <v>2.8314066E7</v>
      </c>
      <c r="C3973" s="14">
        <v>1.14029947E8</v>
      </c>
      <c r="D3973" s="2" t="s">
        <v>3631</v>
      </c>
      <c r="E3973" s="1" t="s">
        <v>121</v>
      </c>
      <c r="F3973" s="14">
        <v>-0.1027</v>
      </c>
      <c r="G3973" s="15"/>
      <c r="H3973" s="16"/>
      <c r="I3973" s="14"/>
    </row>
    <row r="3974">
      <c r="A3974" s="14">
        <v>355.0</v>
      </c>
      <c r="B3974" s="14">
        <v>4.8058414E7</v>
      </c>
      <c r="C3974" s="14">
        <v>1.8999812E8</v>
      </c>
      <c r="D3974" s="2" t="s">
        <v>3109</v>
      </c>
      <c r="E3974" s="1" t="s">
        <v>121</v>
      </c>
      <c r="F3974" s="14">
        <v>-0.1027</v>
      </c>
      <c r="G3974" s="15"/>
      <c r="H3974" s="16"/>
      <c r="I3974" s="14"/>
    </row>
    <row r="3975">
      <c r="A3975" s="14">
        <v>215.0</v>
      </c>
      <c r="B3975" s="14">
        <v>4.8822655E7</v>
      </c>
      <c r="C3975" s="14">
        <v>1.9302607E8</v>
      </c>
      <c r="D3975" s="2" t="s">
        <v>3060</v>
      </c>
      <c r="E3975" s="1" t="s">
        <v>121</v>
      </c>
      <c r="F3975" s="14">
        <v>-0.1027</v>
      </c>
      <c r="G3975" s="15"/>
      <c r="H3975" s="16"/>
      <c r="I3975" s="14"/>
    </row>
    <row r="3976">
      <c r="A3976" s="14">
        <v>602.0</v>
      </c>
      <c r="B3976" s="14">
        <v>5.3043067E7</v>
      </c>
      <c r="C3976" s="14">
        <v>2.10416021E8</v>
      </c>
      <c r="D3976" s="2" t="s">
        <v>2913</v>
      </c>
      <c r="E3976" s="1" t="s">
        <v>121</v>
      </c>
      <c r="F3976" s="14">
        <v>-0.1027</v>
      </c>
      <c r="G3976" s="15"/>
      <c r="H3976" s="16"/>
      <c r="I3976" s="14"/>
    </row>
    <row r="3977">
      <c r="A3977" s="14">
        <v>667.0</v>
      </c>
      <c r="B3977" s="14">
        <v>6.6380535E7</v>
      </c>
      <c r="C3977" s="14">
        <v>2.71112049E8</v>
      </c>
      <c r="D3977" s="2" t="s">
        <v>2418</v>
      </c>
      <c r="E3977" s="1" t="s">
        <v>121</v>
      </c>
      <c r="F3977" s="14">
        <v>-0.1027</v>
      </c>
      <c r="G3977" s="15"/>
      <c r="H3977" s="16"/>
      <c r="I3977" s="14"/>
    </row>
    <row r="3978">
      <c r="A3978" s="14">
        <v>498.0</v>
      </c>
      <c r="B3978" s="14">
        <v>6.9457097E7</v>
      </c>
      <c r="C3978" s="14">
        <v>2.86458266E8</v>
      </c>
      <c r="D3978" s="2" t="s">
        <v>2258</v>
      </c>
      <c r="E3978" s="1" t="s">
        <v>121</v>
      </c>
      <c r="F3978" s="14">
        <v>-0.1027</v>
      </c>
      <c r="G3978" s="15"/>
      <c r="H3978" s="16"/>
      <c r="I3978" s="14"/>
    </row>
    <row r="3979">
      <c r="A3979" s="14">
        <v>661.0</v>
      </c>
      <c r="B3979" s="14">
        <v>7.2910503E7</v>
      </c>
      <c r="C3979" s="14">
        <v>3.01525508E8</v>
      </c>
      <c r="D3979" s="2" t="s">
        <v>2088</v>
      </c>
      <c r="E3979" s="1" t="s">
        <v>121</v>
      </c>
      <c r="F3979" s="14">
        <v>-0.1027</v>
      </c>
      <c r="G3979" s="15"/>
      <c r="H3979" s="16"/>
      <c r="I3979" s="14"/>
    </row>
    <row r="3980">
      <c r="A3980" s="14">
        <v>667.0</v>
      </c>
      <c r="B3980" s="14">
        <v>9.0593236E7</v>
      </c>
      <c r="C3980" s="14">
        <v>3.84189093E8</v>
      </c>
      <c r="D3980" s="2" t="s">
        <v>1103</v>
      </c>
      <c r="E3980" s="1" t="s">
        <v>121</v>
      </c>
      <c r="F3980" s="14">
        <v>-0.1027</v>
      </c>
      <c r="G3980" s="15"/>
      <c r="H3980" s="16"/>
      <c r="I3980" s="14"/>
    </row>
    <row r="3981">
      <c r="A3981" s="14">
        <v>678.0</v>
      </c>
      <c r="B3981" s="14">
        <v>9.6182163E7</v>
      </c>
      <c r="C3981" s="14">
        <v>4.10160064E8</v>
      </c>
      <c r="D3981" s="2" t="s">
        <v>813</v>
      </c>
      <c r="E3981" s="1" t="s">
        <v>121</v>
      </c>
      <c r="F3981" s="14">
        <v>-0.1027</v>
      </c>
      <c r="G3981" s="15"/>
      <c r="H3981" s="16"/>
      <c r="I3981" s="14"/>
    </row>
    <row r="3982">
      <c r="A3982" s="14">
        <v>532.0</v>
      </c>
      <c r="B3982" s="14">
        <v>1.04241766E8</v>
      </c>
      <c r="C3982" s="14">
        <v>4.4881731E8</v>
      </c>
      <c r="D3982" s="2" t="s">
        <v>371</v>
      </c>
      <c r="E3982" s="1" t="s">
        <v>121</v>
      </c>
      <c r="F3982" s="14">
        <v>-0.1027</v>
      </c>
      <c r="G3982" s="15"/>
      <c r="H3982" s="16"/>
      <c r="I3982" s="14"/>
    </row>
    <row r="3983">
      <c r="A3983" s="14">
        <v>587.0</v>
      </c>
      <c r="B3983" s="14">
        <v>1.10126373E8</v>
      </c>
      <c r="C3983" s="14">
        <v>4.77779188E8</v>
      </c>
      <c r="D3983" s="2" t="s">
        <v>84</v>
      </c>
      <c r="E3983" s="1" t="s">
        <v>121</v>
      </c>
      <c r="F3983" s="14">
        <v>-0.1027</v>
      </c>
      <c r="G3983" s="15"/>
      <c r="H3983" s="16"/>
      <c r="I3983" s="14"/>
    </row>
    <row r="3984">
      <c r="A3984" s="14">
        <v>392.0</v>
      </c>
      <c r="B3984" s="14">
        <v>5079330.0</v>
      </c>
      <c r="C3984" s="14">
        <v>2.1583338E7</v>
      </c>
      <c r="D3984" s="2" t="s">
        <v>4790</v>
      </c>
      <c r="E3984" s="1" t="s">
        <v>121</v>
      </c>
      <c r="F3984" s="14">
        <v>-0.1043</v>
      </c>
      <c r="G3984" s="15"/>
      <c r="H3984" s="16"/>
      <c r="I3984" s="14"/>
    </row>
    <row r="3985">
      <c r="A3985" s="14">
        <v>661.0</v>
      </c>
      <c r="B3985" s="14">
        <v>2.8240501E7</v>
      </c>
      <c r="C3985" s="14">
        <v>1.93161494E8</v>
      </c>
      <c r="D3985" s="2" t="s">
        <v>3638</v>
      </c>
      <c r="E3985" s="1" t="s">
        <v>121</v>
      </c>
      <c r="F3985" s="14">
        <v>-0.1045</v>
      </c>
      <c r="G3985" s="15"/>
      <c r="H3985" s="16"/>
      <c r="I3985" s="14"/>
    </row>
    <row r="3986">
      <c r="A3986" s="14">
        <v>645.0</v>
      </c>
      <c r="B3986" s="14">
        <v>1.00216185E8</v>
      </c>
      <c r="C3986" s="14">
        <v>4.29226436E8</v>
      </c>
      <c r="D3986" s="2" t="s">
        <v>575</v>
      </c>
      <c r="E3986" s="1" t="s">
        <v>121</v>
      </c>
      <c r="F3986" s="14">
        <v>-0.1045</v>
      </c>
      <c r="G3986" s="15"/>
      <c r="H3986" s="16"/>
      <c r="I3986" s="14"/>
    </row>
    <row r="3987">
      <c r="A3987" s="14">
        <v>679.0</v>
      </c>
      <c r="B3987" s="14">
        <v>4.5755753E7</v>
      </c>
      <c r="C3987" s="14">
        <v>1.80699206E8</v>
      </c>
      <c r="D3987" s="2" t="s">
        <v>3222</v>
      </c>
      <c r="E3987" s="1" t="s">
        <v>121</v>
      </c>
      <c r="F3987" s="14">
        <v>-0.1128</v>
      </c>
      <c r="G3987" s="15"/>
      <c r="H3987" s="16"/>
      <c r="I3987" s="14"/>
    </row>
    <row r="3988">
      <c r="A3988" s="14">
        <v>378.0</v>
      </c>
      <c r="B3988" s="14">
        <v>4.603023E7</v>
      </c>
      <c r="C3988" s="14">
        <v>1.81650714E8</v>
      </c>
      <c r="D3988" s="2" t="s">
        <v>3214</v>
      </c>
      <c r="E3988" s="1" t="s">
        <v>121</v>
      </c>
      <c r="F3988" s="14">
        <v>-0.1139</v>
      </c>
      <c r="G3988" s="15"/>
      <c r="H3988" s="16"/>
      <c r="I3988" s="14"/>
    </row>
    <row r="3989">
      <c r="A3989" s="14">
        <v>550.0</v>
      </c>
      <c r="B3989" s="14">
        <v>5.1588589E7</v>
      </c>
      <c r="C3989" s="14">
        <v>2.04492954E8</v>
      </c>
      <c r="D3989" s="2" t="s">
        <v>2964</v>
      </c>
      <c r="E3989" s="1" t="s">
        <v>121</v>
      </c>
      <c r="F3989" s="14">
        <v>-0.1154</v>
      </c>
      <c r="G3989" s="15"/>
      <c r="H3989" s="16"/>
      <c r="I3989" s="14"/>
    </row>
    <row r="3990">
      <c r="A3990" s="14">
        <v>602.0</v>
      </c>
      <c r="B3990" s="14">
        <v>1.6150935E7</v>
      </c>
      <c r="C3990" s="14">
        <v>2.05397038E8</v>
      </c>
      <c r="D3990" s="2" t="s">
        <v>4021</v>
      </c>
      <c r="E3990" s="1" t="s">
        <v>121</v>
      </c>
      <c r="F3990" s="14">
        <v>-0.1181</v>
      </c>
      <c r="G3990" s="15"/>
      <c r="H3990" s="16"/>
      <c r="I3990" s="14"/>
    </row>
    <row r="3991">
      <c r="A3991" s="14">
        <v>475.0</v>
      </c>
      <c r="B3991" s="14">
        <v>3549808.0</v>
      </c>
      <c r="C3991" s="14">
        <v>1.5026436E7</v>
      </c>
      <c r="D3991" s="2" t="s">
        <v>4915</v>
      </c>
      <c r="E3991" s="1" t="s">
        <v>699</v>
      </c>
      <c r="F3991" s="14">
        <v>-0.1232</v>
      </c>
      <c r="G3991" s="15"/>
      <c r="H3991" s="16"/>
      <c r="I3991" s="14"/>
    </row>
    <row r="3992">
      <c r="A3992" s="14">
        <v>602.0</v>
      </c>
      <c r="B3992" s="14">
        <v>3968432.0</v>
      </c>
      <c r="C3992" s="14">
        <v>1.6852292E7</v>
      </c>
      <c r="D3992" s="2" t="s">
        <v>4880</v>
      </c>
      <c r="E3992" s="1" t="s">
        <v>699</v>
      </c>
      <c r="F3992" s="14">
        <v>-0.1232</v>
      </c>
      <c r="G3992" s="15"/>
      <c r="H3992" s="16"/>
      <c r="I3992" s="14"/>
    </row>
    <row r="3993">
      <c r="A3993" s="14">
        <v>602.0</v>
      </c>
      <c r="B3993" s="14">
        <v>7.5620222E7</v>
      </c>
      <c r="C3993" s="14">
        <v>3.14474619E8</v>
      </c>
      <c r="D3993" s="2" t="s">
        <v>1984</v>
      </c>
      <c r="E3993" s="1" t="s">
        <v>121</v>
      </c>
      <c r="F3993" s="14">
        <v>-0.1232</v>
      </c>
      <c r="G3993" s="15"/>
      <c r="H3993" s="16"/>
      <c r="I3993" s="14"/>
    </row>
    <row r="3994">
      <c r="A3994" s="14">
        <v>410.0</v>
      </c>
      <c r="B3994" s="14">
        <v>4.1556855E7</v>
      </c>
      <c r="C3994" s="14">
        <v>1.64421799E8</v>
      </c>
      <c r="D3994" s="2" t="s">
        <v>3337</v>
      </c>
      <c r="E3994" s="1" t="s">
        <v>121</v>
      </c>
      <c r="F3994" s="14">
        <v>-0.1238</v>
      </c>
      <c r="G3994" s="15"/>
      <c r="H3994" s="16"/>
      <c r="I3994" s="14"/>
    </row>
    <row r="3995">
      <c r="A3995" s="14">
        <v>475.0</v>
      </c>
      <c r="B3995" s="14">
        <v>7897883.0</v>
      </c>
      <c r="C3995" s="14">
        <v>3.3485148E7</v>
      </c>
      <c r="D3995" s="2" t="s">
        <v>4551</v>
      </c>
      <c r="E3995" s="1" t="s">
        <v>121</v>
      </c>
      <c r="F3995" s="14">
        <v>-0.1263</v>
      </c>
      <c r="G3995" s="15"/>
      <c r="H3995" s="16"/>
      <c r="I3995" s="14"/>
    </row>
    <row r="3996">
      <c r="A3996" s="14">
        <v>608.0</v>
      </c>
      <c r="B3996" s="14">
        <v>1.0012523E7</v>
      </c>
      <c r="C3996" s="14">
        <v>4.2434156E7</v>
      </c>
      <c r="D3996" s="2" t="s">
        <v>4396</v>
      </c>
      <c r="E3996" s="1" t="s">
        <v>699</v>
      </c>
      <c r="F3996" s="14">
        <v>-0.128</v>
      </c>
      <c r="G3996" s="15"/>
      <c r="H3996" s="16"/>
      <c r="I3996" s="14"/>
    </row>
    <row r="3997">
      <c r="A3997" s="14">
        <v>610.0</v>
      </c>
      <c r="B3997" s="14">
        <v>8.3059701E7</v>
      </c>
      <c r="C3997" s="14">
        <v>3.48664548E8</v>
      </c>
      <c r="D3997" s="2" t="s">
        <v>1563</v>
      </c>
      <c r="E3997" s="1" t="s">
        <v>699</v>
      </c>
      <c r="F3997" s="14">
        <v>-0.128</v>
      </c>
      <c r="G3997" s="15"/>
      <c r="H3997" s="16"/>
      <c r="I3997" s="14"/>
    </row>
    <row r="3998">
      <c r="A3998" s="14">
        <v>604.0</v>
      </c>
      <c r="B3998" s="14">
        <v>8.788491E7</v>
      </c>
      <c r="C3998" s="14">
        <v>3.7226978E8</v>
      </c>
      <c r="D3998" s="2" t="s">
        <v>1247</v>
      </c>
      <c r="E3998" s="1" t="s">
        <v>699</v>
      </c>
      <c r="F3998" s="14">
        <v>-0.128</v>
      </c>
      <c r="G3998" s="15"/>
      <c r="H3998" s="16"/>
      <c r="I3998" s="14"/>
    </row>
    <row r="3999">
      <c r="A3999" s="14">
        <v>407.0</v>
      </c>
      <c r="B3999" s="14">
        <v>8071517.0</v>
      </c>
      <c r="C3999" s="14">
        <v>3.4182654E7</v>
      </c>
      <c r="D3999" s="2" t="s">
        <v>4537</v>
      </c>
      <c r="E3999" s="1" t="s">
        <v>121</v>
      </c>
      <c r="F3999" s="14">
        <v>-0.128</v>
      </c>
      <c r="G3999" s="15"/>
      <c r="H3999" s="16"/>
      <c r="I3999" s="14"/>
    </row>
    <row r="4000">
      <c r="A4000" s="14">
        <v>179.0</v>
      </c>
      <c r="B4000" s="14">
        <v>5.8730066E7</v>
      </c>
      <c r="C4000" s="14">
        <v>2.34479488E8</v>
      </c>
      <c r="D4000" s="2" t="s">
        <v>2734</v>
      </c>
      <c r="E4000" s="1" t="s">
        <v>121</v>
      </c>
      <c r="F4000" s="14">
        <v>-0.128</v>
      </c>
      <c r="G4000" s="15"/>
      <c r="H4000" s="16"/>
      <c r="I4000" s="14"/>
    </row>
    <row r="4001">
      <c r="A4001" s="14">
        <v>602.0</v>
      </c>
      <c r="B4001" s="14">
        <v>5.0812914E7</v>
      </c>
      <c r="C4001" s="14">
        <v>2.01230205E8</v>
      </c>
      <c r="D4001" s="2" t="s">
        <v>2994</v>
      </c>
      <c r="E4001" s="1" t="s">
        <v>121</v>
      </c>
      <c r="F4001" s="14">
        <v>-0.1298</v>
      </c>
      <c r="G4001" s="15"/>
      <c r="H4001" s="16"/>
      <c r="I4001" s="14"/>
    </row>
    <row r="4002">
      <c r="A4002" s="14">
        <v>673.0</v>
      </c>
      <c r="B4002" s="14">
        <v>5304751.0</v>
      </c>
      <c r="C4002" s="14">
        <v>2.2634736E7</v>
      </c>
      <c r="D4002" s="2" t="s">
        <v>4757</v>
      </c>
      <c r="E4002" s="1" t="s">
        <v>121</v>
      </c>
      <c r="F4002" s="14">
        <v>-0.1313</v>
      </c>
      <c r="G4002" s="15"/>
      <c r="H4002" s="16"/>
      <c r="I4002" s="14"/>
    </row>
    <row r="4003">
      <c r="A4003" s="14">
        <v>601.0</v>
      </c>
      <c r="B4003" s="14">
        <v>8.2407962E7</v>
      </c>
      <c r="C4003" s="14">
        <v>3.45373779E8</v>
      </c>
      <c r="D4003" s="2" t="s">
        <v>1604</v>
      </c>
      <c r="E4003" s="1" t="s">
        <v>121</v>
      </c>
      <c r="F4003" s="14">
        <v>-0.1326</v>
      </c>
      <c r="G4003" s="15"/>
      <c r="H4003" s="16"/>
      <c r="I4003" s="14"/>
    </row>
    <row r="4004">
      <c r="A4004" s="14">
        <v>667.0</v>
      </c>
      <c r="B4004" s="14">
        <v>6575853.0</v>
      </c>
      <c r="C4004" s="14">
        <v>2.7959261E7</v>
      </c>
      <c r="D4004" s="2" t="s">
        <v>4658</v>
      </c>
      <c r="E4004" s="1" t="s">
        <v>121</v>
      </c>
      <c r="F4004" s="14">
        <v>-0.1343</v>
      </c>
      <c r="G4004" s="15"/>
      <c r="H4004" s="16"/>
      <c r="I4004" s="14"/>
    </row>
    <row r="4005">
      <c r="A4005" s="14">
        <v>564.0</v>
      </c>
      <c r="B4005" s="14">
        <v>5500553.0</v>
      </c>
      <c r="C4005" s="14">
        <v>3.4544217E7</v>
      </c>
      <c r="D4005" s="2" t="s">
        <v>4737</v>
      </c>
      <c r="E4005" s="1" t="s">
        <v>121</v>
      </c>
      <c r="F4005" s="14">
        <v>-0.1372</v>
      </c>
      <c r="G4005" s="15"/>
      <c r="H4005" s="16"/>
      <c r="I4005" s="14"/>
    </row>
    <row r="4006">
      <c r="A4006" s="14">
        <v>484.0</v>
      </c>
      <c r="B4006" s="14">
        <v>3686579.0</v>
      </c>
      <c r="C4006" s="14">
        <v>1.5640284E7</v>
      </c>
      <c r="D4006" s="2" t="s">
        <v>4902</v>
      </c>
      <c r="E4006" s="1" t="s">
        <v>121</v>
      </c>
      <c r="F4006" s="14">
        <v>-0.1392</v>
      </c>
      <c r="G4006" s="15"/>
      <c r="H4006" s="16"/>
      <c r="I4006" s="14"/>
    </row>
    <row r="4007">
      <c r="A4007" s="14">
        <v>395.0</v>
      </c>
      <c r="B4007" s="14">
        <v>2.6752029E7</v>
      </c>
      <c r="C4007" s="14">
        <v>1.08264622E8</v>
      </c>
      <c r="D4007" s="2" t="s">
        <v>3686</v>
      </c>
      <c r="E4007" s="1" t="s">
        <v>121</v>
      </c>
      <c r="F4007" s="14">
        <v>-0.1415</v>
      </c>
      <c r="G4007" s="15"/>
      <c r="H4007" s="16"/>
      <c r="I4007" s="14"/>
    </row>
    <row r="4008">
      <c r="A4008" s="14">
        <v>458.0</v>
      </c>
      <c r="B4008" s="14">
        <v>7859209.0</v>
      </c>
      <c r="C4008" s="14">
        <v>3.3317154E7</v>
      </c>
      <c r="D4008" s="2" t="s">
        <v>4557</v>
      </c>
      <c r="E4008" s="1" t="s">
        <v>121</v>
      </c>
      <c r="F4008" s="14">
        <v>-0.1423</v>
      </c>
      <c r="G4008" s="15"/>
      <c r="H4008" s="16"/>
      <c r="I4008" s="14"/>
    </row>
    <row r="4009">
      <c r="A4009" s="14">
        <v>504.0</v>
      </c>
      <c r="B4009" s="14">
        <v>7.3936456E7</v>
      </c>
      <c r="C4009" s="14">
        <v>3.05857983E8</v>
      </c>
      <c r="D4009" s="2" t="s">
        <v>2064</v>
      </c>
      <c r="E4009" s="1" t="s">
        <v>699</v>
      </c>
      <c r="F4009" s="14">
        <v>-0.1431</v>
      </c>
      <c r="G4009" s="15"/>
      <c r="H4009" s="16"/>
      <c r="I4009" s="14"/>
    </row>
    <row r="4010">
      <c r="A4010" s="14">
        <v>602.0</v>
      </c>
      <c r="B4010" s="14">
        <v>1.1482438E7</v>
      </c>
      <c r="C4010" s="14">
        <v>4.8827242E7</v>
      </c>
      <c r="D4010" s="2" t="s">
        <v>4287</v>
      </c>
      <c r="E4010" s="1" t="s">
        <v>121</v>
      </c>
      <c r="F4010" s="14">
        <v>-0.1431</v>
      </c>
      <c r="G4010" s="15"/>
      <c r="H4010" s="16"/>
      <c r="I4010" s="14"/>
    </row>
    <row r="4011">
      <c r="A4011" s="14">
        <v>380.0</v>
      </c>
      <c r="B4011" s="14">
        <v>9119601.0</v>
      </c>
      <c r="C4011" s="14">
        <v>3.8607576E7</v>
      </c>
      <c r="D4011" s="2" t="s">
        <v>4465</v>
      </c>
      <c r="E4011" s="1" t="s">
        <v>121</v>
      </c>
      <c r="F4011" s="14">
        <v>-0.1441</v>
      </c>
      <c r="G4011" s="15"/>
      <c r="H4011" s="16"/>
      <c r="I4011" s="14"/>
    </row>
    <row r="4012">
      <c r="A4012" s="14">
        <v>564.0</v>
      </c>
      <c r="B4012" s="14">
        <v>1.1034759E7</v>
      </c>
      <c r="C4012" s="14">
        <v>4.6892129E7</v>
      </c>
      <c r="D4012" s="2" t="s">
        <v>4316</v>
      </c>
      <c r="E4012" s="1" t="s">
        <v>121</v>
      </c>
      <c r="F4012" s="14">
        <v>-0.1459</v>
      </c>
      <c r="G4012" s="15"/>
      <c r="H4012" s="16"/>
      <c r="I4012" s="14"/>
    </row>
    <row r="4013">
      <c r="A4013" s="14">
        <v>587.0</v>
      </c>
      <c r="B4013" s="14">
        <v>7.1478976E7</v>
      </c>
      <c r="C4013" s="14">
        <v>4.50128373E8</v>
      </c>
      <c r="D4013" s="2" t="s">
        <v>2155</v>
      </c>
      <c r="E4013" s="1" t="s">
        <v>699</v>
      </c>
      <c r="F4013" s="14">
        <v>-0.1511</v>
      </c>
      <c r="G4013" s="15"/>
      <c r="H4013" s="16"/>
      <c r="I4013" s="14"/>
    </row>
    <row r="4014">
      <c r="A4014" s="14">
        <v>409.0</v>
      </c>
      <c r="B4014" s="14">
        <v>3684572.0</v>
      </c>
      <c r="C4014" s="14">
        <v>1.5586096E7</v>
      </c>
      <c r="D4014" s="2" t="s">
        <v>4903</v>
      </c>
      <c r="E4014" s="1" t="s">
        <v>121</v>
      </c>
      <c r="F4014" s="14">
        <v>-0.1516</v>
      </c>
      <c r="G4014" s="15"/>
      <c r="H4014" s="16"/>
      <c r="I4014" s="14"/>
    </row>
    <row r="4015">
      <c r="A4015" s="14">
        <v>586.0</v>
      </c>
      <c r="B4015" s="14">
        <v>7.5567349E7</v>
      </c>
      <c r="C4015" s="14">
        <v>3.44587549E8</v>
      </c>
      <c r="D4015" s="2" t="s">
        <v>1987</v>
      </c>
      <c r="E4015" s="1" t="s">
        <v>699</v>
      </c>
      <c r="F4015" s="14">
        <v>-0.1531</v>
      </c>
      <c r="G4015" s="15"/>
      <c r="H4015" s="16"/>
      <c r="I4015" s="14"/>
    </row>
    <row r="4016">
      <c r="A4016" s="14">
        <v>492.0</v>
      </c>
      <c r="B4016" s="14">
        <v>4356988.0</v>
      </c>
      <c r="C4016" s="14">
        <v>1.8453325E7</v>
      </c>
      <c r="D4016" s="2" t="s">
        <v>4836</v>
      </c>
      <c r="E4016" s="1" t="s">
        <v>121</v>
      </c>
      <c r="F4016" s="14">
        <v>-0.1531</v>
      </c>
      <c r="G4016" s="15"/>
      <c r="H4016" s="16"/>
      <c r="I4016" s="14"/>
    </row>
    <row r="4017">
      <c r="A4017" s="14">
        <v>673.0</v>
      </c>
      <c r="B4017" s="14">
        <v>4870305.0</v>
      </c>
      <c r="C4017" s="14">
        <v>4.2886753E7</v>
      </c>
      <c r="D4017" s="2" t="s">
        <v>4801</v>
      </c>
      <c r="E4017" s="1" t="s">
        <v>121</v>
      </c>
      <c r="F4017" s="14">
        <v>-0.1531</v>
      </c>
      <c r="G4017" s="15"/>
      <c r="H4017" s="16"/>
      <c r="I4017" s="14"/>
    </row>
    <row r="4018">
      <c r="A4018" s="14">
        <v>571.0</v>
      </c>
      <c r="B4018" s="14">
        <v>3.0002591E7</v>
      </c>
      <c r="C4018" s="14">
        <v>1.20408123E8</v>
      </c>
      <c r="D4018" s="2" t="s">
        <v>3584</v>
      </c>
      <c r="E4018" s="1" t="s">
        <v>121</v>
      </c>
      <c r="F4018" s="14">
        <v>-0.1531</v>
      </c>
      <c r="G4018" s="15"/>
      <c r="H4018" s="16"/>
      <c r="I4018" s="14"/>
    </row>
    <row r="4019">
      <c r="A4019" s="14">
        <v>571.0</v>
      </c>
      <c r="B4019" s="14">
        <v>5.6678379E7</v>
      </c>
      <c r="C4019" s="14">
        <v>2.25682067E8</v>
      </c>
      <c r="D4019" s="2" t="s">
        <v>2801</v>
      </c>
      <c r="E4019" s="1" t="s">
        <v>121</v>
      </c>
      <c r="F4019" s="14">
        <v>-0.1531</v>
      </c>
      <c r="G4019" s="15"/>
      <c r="H4019" s="16"/>
      <c r="I4019" s="14"/>
    </row>
    <row r="4020">
      <c r="A4020" s="14">
        <v>421.0</v>
      </c>
      <c r="B4020" s="14">
        <v>8.4738017E7</v>
      </c>
      <c r="C4020" s="14">
        <v>3.56622808E8</v>
      </c>
      <c r="D4020" s="2" t="s">
        <v>1449</v>
      </c>
      <c r="E4020" s="1" t="s">
        <v>121</v>
      </c>
      <c r="F4020" s="14">
        <v>-0.1531</v>
      </c>
      <c r="G4020" s="15"/>
      <c r="H4020" s="16"/>
      <c r="I4020" s="14"/>
    </row>
    <row r="4021">
      <c r="A4021" s="14">
        <v>578.0</v>
      </c>
      <c r="B4021" s="14">
        <v>7050988.0</v>
      </c>
      <c r="C4021" s="14">
        <v>2.9996543E7</v>
      </c>
      <c r="D4021" s="2" t="s">
        <v>4605</v>
      </c>
      <c r="E4021" s="1" t="s">
        <v>121</v>
      </c>
      <c r="F4021" s="14">
        <v>-0.1548</v>
      </c>
      <c r="G4021" s="15"/>
      <c r="H4021" s="16"/>
      <c r="I4021" s="14"/>
    </row>
    <row r="4022">
      <c r="A4022" s="14">
        <v>578.0</v>
      </c>
      <c r="B4022" s="14">
        <v>4465510.0</v>
      </c>
      <c r="C4022" s="14">
        <v>4.2089546E7</v>
      </c>
      <c r="D4022" s="2" t="s">
        <v>4826</v>
      </c>
      <c r="E4022" s="1" t="s">
        <v>121</v>
      </c>
      <c r="F4022" s="14">
        <v>-0.1558</v>
      </c>
      <c r="G4022" s="15"/>
      <c r="H4022" s="16"/>
      <c r="I4022" s="14"/>
    </row>
    <row r="4023">
      <c r="A4023" s="14">
        <v>120.0</v>
      </c>
      <c r="B4023" s="14">
        <v>363264.0</v>
      </c>
      <c r="C4023" s="14">
        <v>1580474.0</v>
      </c>
      <c r="D4023" s="2" t="s">
        <v>5167</v>
      </c>
      <c r="E4023" s="1" t="s">
        <v>121</v>
      </c>
      <c r="F4023" s="14">
        <v>-0.1567</v>
      </c>
      <c r="G4023" s="15"/>
      <c r="H4023" s="16"/>
      <c r="I4023" s="14"/>
    </row>
    <row r="4024">
      <c r="A4024" s="14">
        <v>609.0</v>
      </c>
      <c r="B4024" s="14">
        <v>1.695809E7</v>
      </c>
      <c r="C4024" s="14">
        <v>7.1787638E7</v>
      </c>
      <c r="D4024" s="2" t="s">
        <v>3977</v>
      </c>
      <c r="E4024" s="1" t="s">
        <v>121</v>
      </c>
      <c r="F4024" s="14">
        <v>-0.1568</v>
      </c>
      <c r="G4024" s="15"/>
      <c r="H4024" s="16"/>
      <c r="I4024" s="14"/>
    </row>
    <row r="4025">
      <c r="A4025" s="14">
        <v>410.0</v>
      </c>
      <c r="B4025" s="14">
        <v>5.0211352E7</v>
      </c>
      <c r="C4025" s="14">
        <v>1.98772078E8</v>
      </c>
      <c r="D4025" s="2" t="s">
        <v>3012</v>
      </c>
      <c r="E4025" s="1" t="s">
        <v>121</v>
      </c>
      <c r="F4025" s="14">
        <v>-0.1577</v>
      </c>
      <c r="G4025" s="15"/>
      <c r="H4025" s="16"/>
      <c r="I4025" s="14"/>
    </row>
    <row r="4026">
      <c r="A4026" s="14">
        <v>602.0</v>
      </c>
      <c r="B4026" s="14">
        <v>3079557.0</v>
      </c>
      <c r="C4026" s="14">
        <v>1.3135595E7</v>
      </c>
      <c r="D4026" s="2" t="s">
        <v>4961</v>
      </c>
      <c r="E4026" s="1" t="s">
        <v>121</v>
      </c>
      <c r="F4026" s="14">
        <v>-0.1655</v>
      </c>
      <c r="G4026" s="15"/>
      <c r="H4026" s="16"/>
      <c r="I4026" s="14"/>
    </row>
    <row r="4027">
      <c r="A4027" s="14">
        <v>380.0</v>
      </c>
      <c r="B4027" s="14">
        <v>6323385.0</v>
      </c>
      <c r="C4027" s="14">
        <v>2.6905527E7</v>
      </c>
      <c r="D4027" s="2" t="s">
        <v>4682</v>
      </c>
      <c r="E4027" s="1" t="s">
        <v>121</v>
      </c>
      <c r="F4027" s="14">
        <v>-0.1655</v>
      </c>
      <c r="G4027" s="15"/>
      <c r="H4027" s="16"/>
      <c r="I4027" s="14"/>
    </row>
    <row r="4028">
      <c r="A4028" s="14">
        <v>571.0</v>
      </c>
      <c r="B4028" s="14">
        <v>6.0536538E7</v>
      </c>
      <c r="C4028" s="14">
        <v>2.90311503E8</v>
      </c>
      <c r="D4028" s="2" t="s">
        <v>2668</v>
      </c>
      <c r="E4028" s="1" t="s">
        <v>699</v>
      </c>
      <c r="F4028" s="14">
        <v>-0.1685</v>
      </c>
      <c r="G4028" s="15"/>
      <c r="H4028" s="16"/>
      <c r="I4028" s="14"/>
    </row>
    <row r="4029">
      <c r="A4029" s="14">
        <v>173.0</v>
      </c>
      <c r="B4029" s="14">
        <v>2.1107332E7</v>
      </c>
      <c r="C4029" s="14">
        <v>8.7539118E7</v>
      </c>
      <c r="D4029" s="2" t="s">
        <v>3827</v>
      </c>
      <c r="E4029" s="1" t="s">
        <v>121</v>
      </c>
      <c r="F4029" s="14">
        <v>-0.1695</v>
      </c>
      <c r="G4029" s="15"/>
      <c r="H4029" s="16"/>
      <c r="I4029" s="14"/>
    </row>
    <row r="4030">
      <c r="A4030" s="14">
        <v>601.0</v>
      </c>
      <c r="B4030" s="14">
        <v>4.1007889E7</v>
      </c>
      <c r="C4030" s="14">
        <v>1.62403035E8</v>
      </c>
      <c r="D4030" s="2" t="s">
        <v>3357</v>
      </c>
      <c r="E4030" s="1" t="s">
        <v>121</v>
      </c>
      <c r="F4030" s="14">
        <v>-0.1744</v>
      </c>
      <c r="G4030" s="15"/>
      <c r="H4030" s="16"/>
      <c r="I4030" s="14"/>
    </row>
    <row r="4031">
      <c r="A4031" s="14">
        <v>120.0</v>
      </c>
      <c r="B4031" s="14">
        <v>416979.0</v>
      </c>
      <c r="C4031" s="14">
        <v>1886050.0</v>
      </c>
      <c r="D4031" s="2" t="s">
        <v>5162</v>
      </c>
      <c r="E4031" s="1" t="s">
        <v>121</v>
      </c>
      <c r="F4031" s="14">
        <v>-0.1754</v>
      </c>
      <c r="G4031" s="15"/>
      <c r="H4031" s="16"/>
      <c r="I4031" s="14"/>
    </row>
    <row r="4032">
      <c r="A4032" s="14">
        <v>674.0</v>
      </c>
      <c r="B4032" s="14">
        <v>8.6047807E7</v>
      </c>
      <c r="C4032" s="14">
        <v>3.63135295E8</v>
      </c>
      <c r="D4032" s="2" t="s">
        <v>1367</v>
      </c>
      <c r="E4032" s="1" t="s">
        <v>121</v>
      </c>
      <c r="F4032" s="14">
        <v>-0.1759</v>
      </c>
      <c r="G4032" s="15"/>
      <c r="H4032" s="16"/>
      <c r="I4032" s="14"/>
    </row>
    <row r="4033">
      <c r="A4033" s="14">
        <v>569.0</v>
      </c>
      <c r="B4033" s="14">
        <v>5381943.0</v>
      </c>
      <c r="C4033" s="14">
        <v>2.2991322E7</v>
      </c>
      <c r="D4033" s="2" t="s">
        <v>4747</v>
      </c>
      <c r="E4033" s="1" t="s">
        <v>121</v>
      </c>
      <c r="F4033" s="14">
        <v>-0.1761</v>
      </c>
      <c r="G4033" s="15"/>
      <c r="H4033" s="16"/>
      <c r="I4033" s="14"/>
    </row>
    <row r="4034">
      <c r="A4034" s="14">
        <v>392.0</v>
      </c>
      <c r="B4034" s="14">
        <v>7086533.0</v>
      </c>
      <c r="C4034" s="14">
        <v>3.0168461E7</v>
      </c>
      <c r="D4034" s="2" t="s">
        <v>4599</v>
      </c>
      <c r="E4034" s="1" t="s">
        <v>121</v>
      </c>
      <c r="F4034" s="14">
        <v>-0.1761</v>
      </c>
      <c r="G4034" s="15"/>
      <c r="H4034" s="16"/>
      <c r="I4034" s="14"/>
    </row>
    <row r="4035">
      <c r="A4035" s="14">
        <v>673.0</v>
      </c>
      <c r="B4035" s="14">
        <v>1.0834314E7</v>
      </c>
      <c r="C4035" s="14">
        <v>1.04694654E8</v>
      </c>
      <c r="D4035" s="2" t="s">
        <v>4331</v>
      </c>
      <c r="E4035" s="1" t="s">
        <v>121</v>
      </c>
      <c r="F4035" s="14">
        <v>-0.1761</v>
      </c>
      <c r="G4035" s="15"/>
      <c r="H4035" s="16"/>
      <c r="I4035" s="14"/>
    </row>
    <row r="4036">
      <c r="A4036" s="14">
        <v>401.0</v>
      </c>
      <c r="B4036" s="14">
        <v>1.0987849E7</v>
      </c>
      <c r="C4036" s="14">
        <v>4.6658732E7</v>
      </c>
      <c r="D4036" s="2" t="s">
        <v>4319</v>
      </c>
      <c r="E4036" s="1" t="s">
        <v>121</v>
      </c>
      <c r="F4036" s="14">
        <v>-0.1761</v>
      </c>
      <c r="G4036" s="15"/>
      <c r="H4036" s="16"/>
      <c r="I4036" s="14"/>
    </row>
    <row r="4037">
      <c r="A4037" s="14">
        <v>461.0</v>
      </c>
      <c r="B4037" s="14">
        <v>2.3135443E7</v>
      </c>
      <c r="C4037" s="14">
        <v>9.5298742E7</v>
      </c>
      <c r="D4037" s="2" t="s">
        <v>3771</v>
      </c>
      <c r="E4037" s="1" t="s">
        <v>121</v>
      </c>
      <c r="F4037" s="14">
        <v>-0.1761</v>
      </c>
      <c r="G4037" s="15"/>
      <c r="H4037" s="16"/>
      <c r="I4037" s="14"/>
    </row>
    <row r="4038">
      <c r="A4038" s="14">
        <v>597.0</v>
      </c>
      <c r="B4038" s="14">
        <v>1.6798682E7</v>
      </c>
      <c r="C4038" s="14">
        <v>7.1129967E7</v>
      </c>
      <c r="D4038" s="2" t="s">
        <v>3986</v>
      </c>
      <c r="E4038" s="1" t="s">
        <v>121</v>
      </c>
      <c r="F4038" s="14">
        <v>-0.1764</v>
      </c>
      <c r="G4038" s="15"/>
      <c r="H4038" s="16"/>
      <c r="I4038" s="14"/>
    </row>
    <row r="4039">
      <c r="A4039" s="14">
        <v>565.0</v>
      </c>
      <c r="B4039" s="14">
        <v>6.8963988E7</v>
      </c>
      <c r="C4039" s="14">
        <v>2.83987338E8</v>
      </c>
      <c r="D4039" s="2" t="s">
        <v>2284</v>
      </c>
      <c r="E4039" s="1" t="s">
        <v>121</v>
      </c>
      <c r="F4039" s="14">
        <v>-0.1774</v>
      </c>
      <c r="G4039" s="15"/>
      <c r="H4039" s="16"/>
      <c r="I4039" s="14"/>
    </row>
    <row r="4040">
      <c r="A4040" s="14">
        <v>665.0</v>
      </c>
      <c r="B4040" s="14">
        <v>7.4466019E7</v>
      </c>
      <c r="C4040" s="14">
        <v>3.08249776E8</v>
      </c>
      <c r="D4040" s="2" t="s">
        <v>2049</v>
      </c>
      <c r="E4040" s="1" t="s">
        <v>121</v>
      </c>
      <c r="F4040" s="14">
        <v>-0.1777</v>
      </c>
      <c r="G4040" s="15"/>
      <c r="H4040" s="16"/>
      <c r="I4040" s="14"/>
    </row>
    <row r="4041">
      <c r="A4041" s="14">
        <v>203.0</v>
      </c>
      <c r="B4041" s="14">
        <v>2460324.0</v>
      </c>
      <c r="C4041" s="14">
        <v>1.0429267E7</v>
      </c>
      <c r="D4041" s="2" t="s">
        <v>5025</v>
      </c>
      <c r="E4041" s="1" t="s">
        <v>699</v>
      </c>
      <c r="F4041" s="14">
        <v>-0.1779</v>
      </c>
      <c r="G4041" s="15"/>
      <c r="H4041" s="16"/>
      <c r="I4041" s="14"/>
    </row>
    <row r="4042">
      <c r="A4042" s="14">
        <v>603.0</v>
      </c>
      <c r="B4042" s="14">
        <v>3816558.0</v>
      </c>
      <c r="C4042" s="14">
        <v>1.6139734E7</v>
      </c>
      <c r="D4042" s="2" t="s">
        <v>4896</v>
      </c>
      <c r="E4042" s="1" t="s">
        <v>121</v>
      </c>
      <c r="F4042" s="14">
        <v>-0.1779</v>
      </c>
      <c r="G4042" s="15"/>
      <c r="H4042" s="16"/>
      <c r="I4042" s="14"/>
    </row>
    <row r="4043">
      <c r="A4043" s="14">
        <v>225.0</v>
      </c>
      <c r="B4043" s="14">
        <v>8696816.0</v>
      </c>
      <c r="C4043" s="14">
        <v>3.6868374E7</v>
      </c>
      <c r="D4043" s="2" t="s">
        <v>4497</v>
      </c>
      <c r="E4043" s="1" t="s">
        <v>121</v>
      </c>
      <c r="F4043" s="14">
        <v>-0.1779</v>
      </c>
      <c r="G4043" s="15"/>
      <c r="H4043" s="16"/>
      <c r="I4043" s="14"/>
    </row>
    <row r="4044">
      <c r="A4044" s="14">
        <v>665.0</v>
      </c>
      <c r="B4044" s="14">
        <v>1.2586096E7</v>
      </c>
      <c r="C4044" s="14">
        <v>2.04056837E8</v>
      </c>
      <c r="D4044" s="2" t="s">
        <v>4235</v>
      </c>
      <c r="E4044" s="1" t="s">
        <v>121</v>
      </c>
      <c r="F4044" s="14">
        <v>-0.1779</v>
      </c>
      <c r="G4044" s="15"/>
      <c r="H4044" s="16"/>
      <c r="I4044" s="14"/>
    </row>
    <row r="4045">
      <c r="A4045" s="14">
        <v>488.0</v>
      </c>
      <c r="B4045" s="14">
        <v>2.6329078E7</v>
      </c>
      <c r="C4045" s="14">
        <v>1.06568866E8</v>
      </c>
      <c r="D4045" s="2" t="s">
        <v>3697</v>
      </c>
      <c r="E4045" s="1" t="s">
        <v>121</v>
      </c>
      <c r="F4045" s="14">
        <v>-0.1779</v>
      </c>
      <c r="G4045" s="15"/>
      <c r="H4045" s="16"/>
      <c r="I4045" s="14"/>
    </row>
    <row r="4046">
      <c r="A4046" s="14">
        <v>173.0</v>
      </c>
      <c r="B4046" s="14">
        <v>8.2357688E7</v>
      </c>
      <c r="C4046" s="14">
        <v>3.45193494E8</v>
      </c>
      <c r="D4046" s="2" t="s">
        <v>1611</v>
      </c>
      <c r="E4046" s="1" t="s">
        <v>121</v>
      </c>
      <c r="F4046" s="14">
        <v>-0.1779</v>
      </c>
      <c r="G4046" s="15"/>
      <c r="H4046" s="16"/>
      <c r="I4046" s="14"/>
    </row>
    <row r="4047">
      <c r="A4047" s="14">
        <v>656.0</v>
      </c>
      <c r="B4047" s="14">
        <v>8.5960248E7</v>
      </c>
      <c r="C4047" s="14">
        <v>3.62839545E8</v>
      </c>
      <c r="D4047" s="2" t="s">
        <v>1372</v>
      </c>
      <c r="E4047" s="1" t="s">
        <v>121</v>
      </c>
      <c r="F4047" s="14">
        <v>-0.1779</v>
      </c>
      <c r="G4047" s="15"/>
      <c r="H4047" s="16"/>
      <c r="I4047" s="14"/>
    </row>
    <row r="4048">
      <c r="A4048" s="14">
        <v>678.0</v>
      </c>
      <c r="B4048" s="14">
        <v>3.8455177E7</v>
      </c>
      <c r="C4048" s="14">
        <v>1.52723552E8</v>
      </c>
      <c r="D4048" s="2" t="s">
        <v>3426</v>
      </c>
      <c r="E4048" s="1" t="s">
        <v>121</v>
      </c>
      <c r="F4048" s="14">
        <v>-0.1796</v>
      </c>
      <c r="G4048" s="15"/>
      <c r="H4048" s="16"/>
      <c r="I4048" s="14"/>
    </row>
    <row r="4049">
      <c r="A4049" s="14">
        <v>654.0</v>
      </c>
      <c r="B4049" s="14">
        <v>1.3938853E7</v>
      </c>
      <c r="C4049" s="14">
        <v>5.9221156E7</v>
      </c>
      <c r="D4049" s="2" t="s">
        <v>4159</v>
      </c>
      <c r="E4049" s="1" t="s">
        <v>121</v>
      </c>
      <c r="F4049" s="14">
        <v>-0.1836</v>
      </c>
      <c r="G4049" s="15"/>
      <c r="H4049" s="16"/>
      <c r="I4049" s="14"/>
    </row>
    <row r="4050">
      <c r="A4050" s="14">
        <v>673.0</v>
      </c>
      <c r="B4050" s="14">
        <v>5227512.0</v>
      </c>
      <c r="C4050" s="14">
        <v>2.2274952E7</v>
      </c>
      <c r="D4050" s="2" t="s">
        <v>4773</v>
      </c>
      <c r="E4050" s="1" t="s">
        <v>121</v>
      </c>
      <c r="F4050" s="14">
        <v>-0.1877</v>
      </c>
      <c r="G4050" s="15"/>
      <c r="H4050" s="16"/>
      <c r="I4050" s="14"/>
    </row>
    <row r="4051">
      <c r="A4051" s="14">
        <v>712.0</v>
      </c>
      <c r="B4051" s="14">
        <v>4.657091E7</v>
      </c>
      <c r="C4051" s="14">
        <v>1.84044277E8</v>
      </c>
      <c r="D4051" s="2" t="s">
        <v>3183</v>
      </c>
      <c r="E4051" s="1" t="s">
        <v>699</v>
      </c>
      <c r="F4051" s="14">
        <v>-0.188</v>
      </c>
      <c r="G4051" s="15"/>
      <c r="H4051" s="16"/>
      <c r="I4051" s="14"/>
    </row>
    <row r="4052">
      <c r="A4052" s="14">
        <v>664.0</v>
      </c>
      <c r="B4052" s="14">
        <v>7.4560027E7</v>
      </c>
      <c r="C4052" s="14">
        <v>3.09054425E8</v>
      </c>
      <c r="D4052" s="2" t="s">
        <v>2046</v>
      </c>
      <c r="E4052" s="1" t="s">
        <v>121</v>
      </c>
      <c r="F4052" s="14">
        <v>-0.1882</v>
      </c>
      <c r="G4052" s="15"/>
      <c r="H4052" s="16"/>
      <c r="I4052" s="14"/>
    </row>
    <row r="4053">
      <c r="A4053" s="14">
        <v>173.0</v>
      </c>
      <c r="B4053" s="14">
        <v>6.228049E7</v>
      </c>
      <c r="C4053" s="14">
        <v>2.51736164E8</v>
      </c>
      <c r="D4053" s="2" t="s">
        <v>2603</v>
      </c>
      <c r="E4053" s="1" t="s">
        <v>699</v>
      </c>
      <c r="F4053" s="14">
        <v>-0.1901</v>
      </c>
      <c r="G4053" s="15"/>
      <c r="H4053" s="16"/>
      <c r="I4053" s="14"/>
    </row>
    <row r="4054">
      <c r="A4054" s="14">
        <v>671.0</v>
      </c>
      <c r="B4054" s="14">
        <v>8994627.0</v>
      </c>
      <c r="C4054" s="14">
        <v>3.8526943E7</v>
      </c>
      <c r="D4054" s="2" t="s">
        <v>4472</v>
      </c>
      <c r="E4054" s="1" t="s">
        <v>121</v>
      </c>
      <c r="F4054" s="14">
        <v>-0.1901</v>
      </c>
      <c r="G4054" s="15"/>
      <c r="H4054" s="16"/>
      <c r="I4054" s="14"/>
    </row>
    <row r="4055">
      <c r="A4055" s="14">
        <v>715.0</v>
      </c>
      <c r="B4055" s="14">
        <v>1.2082103E7</v>
      </c>
      <c r="C4055" s="14">
        <v>5.1328E7</v>
      </c>
      <c r="D4055" s="2" t="s">
        <v>4254</v>
      </c>
      <c r="E4055" s="1" t="s">
        <v>121</v>
      </c>
      <c r="F4055" s="14">
        <v>-0.1901</v>
      </c>
      <c r="G4055" s="15"/>
      <c r="H4055" s="16"/>
      <c r="I4055" s="14"/>
    </row>
    <row r="4056">
      <c r="A4056" s="14">
        <v>129.0</v>
      </c>
      <c r="B4056" s="14">
        <v>627008.0</v>
      </c>
      <c r="C4056" s="14">
        <v>3046066.0</v>
      </c>
      <c r="D4056" s="2" t="s">
        <v>5154</v>
      </c>
      <c r="E4056" s="1" t="s">
        <v>121</v>
      </c>
      <c r="F4056" s="14">
        <v>-0.1915</v>
      </c>
      <c r="G4056" s="15"/>
      <c r="H4056" s="16"/>
      <c r="I4056" s="14"/>
    </row>
    <row r="4057">
      <c r="A4057" s="14">
        <v>355.0</v>
      </c>
      <c r="B4057" s="14">
        <v>1.6816694E7</v>
      </c>
      <c r="C4057" s="14">
        <v>7.1301566E7</v>
      </c>
      <c r="D4057" s="2" t="s">
        <v>3980</v>
      </c>
      <c r="E4057" s="1" t="s">
        <v>121</v>
      </c>
      <c r="F4057" s="14">
        <v>-0.1928</v>
      </c>
      <c r="G4057" s="15"/>
      <c r="H4057" s="16"/>
      <c r="I4057" s="14"/>
    </row>
    <row r="4058">
      <c r="A4058" s="14">
        <v>671.0</v>
      </c>
      <c r="B4058" s="14">
        <v>1.5902705E7</v>
      </c>
      <c r="C4058" s="14">
        <v>6.746068E7</v>
      </c>
      <c r="D4058" s="2" t="s">
        <v>4042</v>
      </c>
      <c r="E4058" s="1" t="s">
        <v>121</v>
      </c>
      <c r="F4058" s="14">
        <v>-0.1944</v>
      </c>
      <c r="G4058" s="15"/>
      <c r="H4058" s="16"/>
      <c r="I4058" s="14"/>
    </row>
    <row r="4059">
      <c r="A4059" s="14">
        <v>571.0</v>
      </c>
      <c r="B4059" s="14">
        <v>2935342.0</v>
      </c>
      <c r="C4059" s="14">
        <v>1.2511376E7</v>
      </c>
      <c r="D4059" s="2" t="s">
        <v>4975</v>
      </c>
      <c r="E4059" s="1" t="s">
        <v>121</v>
      </c>
      <c r="F4059" s="14">
        <v>-0.1984</v>
      </c>
      <c r="G4059" s="15"/>
      <c r="H4059" s="16"/>
      <c r="I4059" s="14"/>
    </row>
    <row r="4060">
      <c r="A4060" s="14">
        <v>713.0</v>
      </c>
      <c r="B4060" s="14">
        <v>9121516.0</v>
      </c>
      <c r="C4060" s="14">
        <v>3.8689299E7</v>
      </c>
      <c r="D4060" s="2" t="s">
        <v>4464</v>
      </c>
      <c r="E4060" s="1" t="s">
        <v>121</v>
      </c>
      <c r="F4060" s="14">
        <v>-0.2003</v>
      </c>
      <c r="G4060" s="15"/>
      <c r="H4060" s="16"/>
      <c r="I4060" s="14"/>
    </row>
    <row r="4061">
      <c r="A4061" s="14">
        <v>379.0</v>
      </c>
      <c r="B4061" s="14">
        <v>4.7162012E7</v>
      </c>
      <c r="C4061" s="14">
        <v>1.86255574E8</v>
      </c>
      <c r="D4061" s="2" t="s">
        <v>3146</v>
      </c>
      <c r="E4061" s="1" t="s">
        <v>699</v>
      </c>
      <c r="F4061" s="14">
        <v>-0.2023</v>
      </c>
      <c r="G4061" s="15"/>
      <c r="H4061" s="16"/>
      <c r="I4061" s="14"/>
    </row>
    <row r="4062">
      <c r="A4062" s="14">
        <v>120.0</v>
      </c>
      <c r="B4062" s="14">
        <v>112100.0</v>
      </c>
      <c r="C4062" s="14">
        <v>426276.0</v>
      </c>
      <c r="D4062" s="2" t="s">
        <v>5178</v>
      </c>
      <c r="E4062" s="1" t="s">
        <v>121</v>
      </c>
      <c r="F4062" s="14">
        <v>-0.2023</v>
      </c>
      <c r="G4062" s="15"/>
      <c r="H4062" s="16"/>
      <c r="I4062" s="14"/>
    </row>
    <row r="4063">
      <c r="A4063" s="14">
        <v>578.0</v>
      </c>
      <c r="B4063" s="14">
        <v>4350183.0</v>
      </c>
      <c r="C4063" s="14">
        <v>1.843859E7</v>
      </c>
      <c r="D4063" s="2" t="s">
        <v>4838</v>
      </c>
      <c r="E4063" s="1" t="s">
        <v>121</v>
      </c>
      <c r="F4063" s="14">
        <v>-0.2023</v>
      </c>
      <c r="G4063" s="15"/>
      <c r="H4063" s="16"/>
      <c r="I4063" s="14"/>
    </row>
    <row r="4064">
      <c r="A4064" s="14">
        <v>244.0</v>
      </c>
      <c r="B4064" s="14">
        <v>5089223.0</v>
      </c>
      <c r="C4064" s="14">
        <v>2.1657472E7</v>
      </c>
      <c r="D4064" s="2" t="s">
        <v>4789</v>
      </c>
      <c r="E4064" s="1" t="s">
        <v>121</v>
      </c>
      <c r="F4064" s="14">
        <v>-0.2023</v>
      </c>
      <c r="G4064" s="15"/>
      <c r="H4064" s="16"/>
      <c r="I4064" s="14"/>
    </row>
    <row r="4065">
      <c r="A4065" s="14">
        <v>504.0</v>
      </c>
      <c r="B4065" s="14">
        <v>1.31454E7</v>
      </c>
      <c r="C4065" s="14">
        <v>3.08491707E8</v>
      </c>
      <c r="D4065" s="2" t="s">
        <v>4201</v>
      </c>
      <c r="E4065" s="1" t="s">
        <v>121</v>
      </c>
      <c r="F4065" s="14">
        <v>-0.2023</v>
      </c>
      <c r="G4065" s="15"/>
      <c r="H4065" s="16"/>
      <c r="I4065" s="14"/>
    </row>
    <row r="4066">
      <c r="A4066" s="14">
        <v>410.0</v>
      </c>
      <c r="B4066" s="14">
        <v>3.2548942E7</v>
      </c>
      <c r="C4066" s="14">
        <v>1.30338011E8</v>
      </c>
      <c r="D4066" s="2" t="s">
        <v>3523</v>
      </c>
      <c r="E4066" s="1" t="s">
        <v>121</v>
      </c>
      <c r="F4066" s="14">
        <v>-0.2023</v>
      </c>
      <c r="G4066" s="15"/>
      <c r="H4066" s="16"/>
      <c r="I4066" s="14"/>
    </row>
    <row r="4067">
      <c r="A4067" s="14">
        <v>120.0</v>
      </c>
      <c r="B4067" s="14">
        <v>5.4173576E7</v>
      </c>
      <c r="C4067" s="14">
        <v>2.14874675E8</v>
      </c>
      <c r="D4067" s="2" t="s">
        <v>2872</v>
      </c>
      <c r="E4067" s="1" t="s">
        <v>121</v>
      </c>
      <c r="F4067" s="14">
        <v>-0.2023</v>
      </c>
      <c r="G4067" s="15"/>
      <c r="H4067" s="16"/>
      <c r="I4067" s="14"/>
    </row>
    <row r="4068">
      <c r="A4068" s="14">
        <v>343.0</v>
      </c>
      <c r="B4068" s="14">
        <v>5.7557895E7</v>
      </c>
      <c r="C4068" s="14">
        <v>2.29156087E8</v>
      </c>
      <c r="D4068" s="2" t="s">
        <v>2764</v>
      </c>
      <c r="E4068" s="1" t="s">
        <v>121</v>
      </c>
      <c r="F4068" s="14">
        <v>-0.2023</v>
      </c>
      <c r="G4068" s="15"/>
      <c r="H4068" s="16"/>
      <c r="I4068" s="14"/>
    </row>
    <row r="4069">
      <c r="A4069" s="14">
        <v>578.0</v>
      </c>
      <c r="B4069" s="14">
        <v>8.059943E7</v>
      </c>
      <c r="C4069" s="14">
        <v>3.37383459E8</v>
      </c>
      <c r="D4069" s="2" t="s">
        <v>1718</v>
      </c>
      <c r="E4069" s="1" t="s">
        <v>121</v>
      </c>
      <c r="F4069" s="14">
        <v>-0.2023</v>
      </c>
      <c r="G4069" s="15"/>
      <c r="H4069" s="16"/>
      <c r="I4069" s="14"/>
    </row>
    <row r="4070">
      <c r="A4070" s="14">
        <v>578.0</v>
      </c>
      <c r="B4070" s="14">
        <v>8.153762E7</v>
      </c>
      <c r="C4070" s="14">
        <v>3.41581648E8</v>
      </c>
      <c r="D4070" s="2" t="s">
        <v>1664</v>
      </c>
      <c r="E4070" s="1" t="s">
        <v>121</v>
      </c>
      <c r="F4070" s="14">
        <v>-0.2023</v>
      </c>
      <c r="G4070" s="15"/>
      <c r="H4070" s="16"/>
      <c r="I4070" s="14"/>
    </row>
    <row r="4071">
      <c r="A4071" s="14">
        <v>671.0</v>
      </c>
      <c r="B4071" s="14">
        <v>9.8508175E7</v>
      </c>
      <c r="C4071" s="14">
        <v>4.21729639E8</v>
      </c>
      <c r="D4071" s="2" t="s">
        <v>673</v>
      </c>
      <c r="E4071" s="1" t="s">
        <v>121</v>
      </c>
      <c r="F4071" s="14">
        <v>-0.2023</v>
      </c>
      <c r="G4071" s="15"/>
      <c r="H4071" s="16"/>
      <c r="I4071" s="14"/>
    </row>
    <row r="4072">
      <c r="A4072" s="14">
        <v>473.0</v>
      </c>
      <c r="B4072" s="14">
        <v>4.5647777E7</v>
      </c>
      <c r="C4072" s="14">
        <v>1.8024159E8</v>
      </c>
      <c r="D4072" s="2" t="s">
        <v>3229</v>
      </c>
      <c r="E4072" s="1" t="s">
        <v>121</v>
      </c>
      <c r="F4072" s="14">
        <v>-0.2057</v>
      </c>
      <c r="G4072" s="15"/>
      <c r="H4072" s="16"/>
      <c r="I4072" s="14"/>
    </row>
    <row r="4073">
      <c r="A4073" s="14">
        <v>667.0</v>
      </c>
      <c r="B4073" s="14">
        <v>9.1732849E7</v>
      </c>
      <c r="C4073" s="14">
        <v>3.89193986E8</v>
      </c>
      <c r="D4073" s="2" t="s">
        <v>1045</v>
      </c>
      <c r="E4073" s="1" t="s">
        <v>121</v>
      </c>
      <c r="F4073" s="14">
        <v>-0.2057</v>
      </c>
      <c r="G4073" s="15"/>
      <c r="H4073" s="16"/>
      <c r="I4073" s="14"/>
    </row>
    <row r="4074">
      <c r="A4074" s="14">
        <v>571.0</v>
      </c>
      <c r="B4074" s="14">
        <v>1.0954762E7</v>
      </c>
      <c r="C4074" s="14">
        <v>4.6543744E7</v>
      </c>
      <c r="D4074" s="2" t="s">
        <v>4322</v>
      </c>
      <c r="E4074" s="1" t="s">
        <v>121</v>
      </c>
      <c r="F4074" s="14">
        <v>-0.2075</v>
      </c>
      <c r="G4074" s="15"/>
      <c r="H4074" s="16"/>
      <c r="I4074" s="14"/>
    </row>
    <row r="4075">
      <c r="A4075" s="14">
        <v>484.0</v>
      </c>
      <c r="B4075" s="14">
        <v>6.1840066E7</v>
      </c>
      <c r="C4075" s="14">
        <v>2.49473551E8</v>
      </c>
      <c r="D4075" s="2" t="s">
        <v>2619</v>
      </c>
      <c r="E4075" s="1" t="s">
        <v>121</v>
      </c>
      <c r="F4075" s="14">
        <v>-0.2116</v>
      </c>
      <c r="G4075" s="15"/>
      <c r="H4075" s="16"/>
      <c r="I4075" s="14"/>
    </row>
    <row r="4076">
      <c r="A4076" s="14">
        <v>355.0</v>
      </c>
      <c r="B4076" s="14">
        <v>6.5940158E7</v>
      </c>
      <c r="C4076" s="14">
        <v>2.6923134E8</v>
      </c>
      <c r="D4076" s="2" t="s">
        <v>2440</v>
      </c>
      <c r="E4076" s="1" t="s">
        <v>121</v>
      </c>
      <c r="F4076" s="14">
        <v>-0.2124</v>
      </c>
      <c r="G4076" s="15"/>
      <c r="H4076" s="16"/>
      <c r="I4076" s="14"/>
    </row>
    <row r="4077">
      <c r="A4077" s="14">
        <v>571.0</v>
      </c>
      <c r="B4077" s="14">
        <v>3462689.0</v>
      </c>
      <c r="C4077" s="14">
        <v>1.471255E7</v>
      </c>
      <c r="D4077" s="2" t="s">
        <v>4928</v>
      </c>
      <c r="E4077" s="1" t="s">
        <v>121</v>
      </c>
      <c r="F4077" s="14">
        <v>-0.2134</v>
      </c>
      <c r="G4077" s="15"/>
      <c r="H4077" s="16"/>
      <c r="I4077" s="14"/>
    </row>
    <row r="4078">
      <c r="A4078" s="14">
        <v>216.0</v>
      </c>
      <c r="B4078" s="14">
        <v>355561.0</v>
      </c>
      <c r="C4078" s="14">
        <v>1547124.0</v>
      </c>
      <c r="D4078" s="2" t="s">
        <v>5168</v>
      </c>
      <c r="E4078" s="1" t="s">
        <v>121</v>
      </c>
      <c r="F4078" s="14">
        <v>-0.2135</v>
      </c>
      <c r="G4078" s="15"/>
      <c r="H4078" s="16"/>
      <c r="I4078" s="14"/>
    </row>
    <row r="4079">
      <c r="A4079" s="14">
        <v>492.0</v>
      </c>
      <c r="B4079" s="14">
        <v>3511513.0</v>
      </c>
      <c r="C4079" s="14">
        <v>1.4882377E7</v>
      </c>
      <c r="D4079" s="2" t="s">
        <v>4922</v>
      </c>
      <c r="E4079" s="1" t="s">
        <v>121</v>
      </c>
      <c r="F4079" s="14">
        <v>-0.2141</v>
      </c>
      <c r="G4079" s="15"/>
      <c r="H4079" s="16"/>
      <c r="I4079" s="14"/>
    </row>
    <row r="4080">
      <c r="A4080" s="14">
        <v>410.0</v>
      </c>
      <c r="B4080" s="14">
        <v>2.3081523E7</v>
      </c>
      <c r="C4080" s="14">
        <v>9.5178905E7</v>
      </c>
      <c r="D4080" s="2" t="s">
        <v>3776</v>
      </c>
      <c r="E4080" s="1" t="s">
        <v>121</v>
      </c>
      <c r="F4080" s="14">
        <v>-0.2156</v>
      </c>
      <c r="G4080" s="15"/>
      <c r="H4080" s="16"/>
      <c r="I4080" s="14"/>
    </row>
    <row r="4081">
      <c r="A4081" s="14">
        <v>403.0</v>
      </c>
      <c r="B4081" s="14">
        <v>3.4106508E7</v>
      </c>
      <c r="C4081" s="14">
        <v>3.0123351E8</v>
      </c>
      <c r="D4081" s="2" t="s">
        <v>3499</v>
      </c>
      <c r="E4081" s="1" t="s">
        <v>121</v>
      </c>
      <c r="F4081" s="14">
        <v>-0.2169</v>
      </c>
      <c r="G4081" s="15"/>
      <c r="H4081" s="16"/>
      <c r="I4081" s="14"/>
    </row>
    <row r="4082">
      <c r="A4082" s="14">
        <v>694.0</v>
      </c>
      <c r="B4082" s="14">
        <v>1.0540836E7</v>
      </c>
      <c r="C4082" s="14">
        <v>4.4716302E7</v>
      </c>
      <c r="D4082" s="2" t="s">
        <v>4358</v>
      </c>
      <c r="E4082" s="1" t="s">
        <v>121</v>
      </c>
      <c r="F4082" s="14">
        <v>-0.2216</v>
      </c>
      <c r="G4082" s="15"/>
      <c r="H4082" s="16"/>
      <c r="I4082" s="14"/>
    </row>
    <row r="4083">
      <c r="A4083" s="14">
        <v>159.0</v>
      </c>
      <c r="B4083" s="14">
        <v>1053125.0</v>
      </c>
      <c r="C4083" s="14">
        <v>4797464.0</v>
      </c>
      <c r="D4083" s="2" t="s">
        <v>5136</v>
      </c>
      <c r="E4083" s="1" t="s">
        <v>699</v>
      </c>
      <c r="F4083" s="14">
        <v>-0.2244</v>
      </c>
      <c r="G4083" s="15"/>
      <c r="H4083" s="16"/>
      <c r="I4083" s="14"/>
    </row>
    <row r="4084">
      <c r="A4084" s="14">
        <v>630.0</v>
      </c>
      <c r="B4084" s="14">
        <v>4.1435786E7</v>
      </c>
      <c r="C4084" s="14">
        <v>1.63992677E8</v>
      </c>
      <c r="D4084" s="2" t="s">
        <v>3340</v>
      </c>
      <c r="E4084" s="1" t="s">
        <v>699</v>
      </c>
      <c r="F4084" s="14">
        <v>-0.2244</v>
      </c>
      <c r="G4084" s="15"/>
      <c r="H4084" s="16"/>
      <c r="I4084" s="14"/>
    </row>
    <row r="4085">
      <c r="A4085" s="14">
        <v>353.0</v>
      </c>
      <c r="B4085" s="14">
        <v>9298605.0</v>
      </c>
      <c r="C4085" s="14">
        <v>3.9464144E7</v>
      </c>
      <c r="D4085" s="2" t="s">
        <v>4447</v>
      </c>
      <c r="E4085" s="1" t="s">
        <v>121</v>
      </c>
      <c r="F4085" s="14">
        <v>-0.2244</v>
      </c>
      <c r="G4085" s="15"/>
      <c r="H4085" s="16"/>
      <c r="I4085" s="14"/>
    </row>
    <row r="4086">
      <c r="A4086" s="14">
        <v>462.0</v>
      </c>
      <c r="B4086" s="14">
        <v>5.5931605E7</v>
      </c>
      <c r="C4086" s="14">
        <v>2.2222089E8</v>
      </c>
      <c r="D4086" s="2" t="s">
        <v>2817</v>
      </c>
      <c r="E4086" s="1" t="s">
        <v>121</v>
      </c>
      <c r="F4086" s="14">
        <v>-0.2244</v>
      </c>
      <c r="G4086" s="15"/>
      <c r="H4086" s="16"/>
      <c r="I4086" s="14"/>
    </row>
    <row r="4087">
      <c r="A4087" s="14">
        <v>531.0</v>
      </c>
      <c r="B4087" s="14">
        <v>6.4505243E7</v>
      </c>
      <c r="C4087" s="14">
        <v>2.62215709E8</v>
      </c>
      <c r="D4087" s="2" t="s">
        <v>2513</v>
      </c>
      <c r="E4087" s="1" t="s">
        <v>121</v>
      </c>
      <c r="F4087" s="14">
        <v>-0.2247</v>
      </c>
      <c r="G4087" s="15"/>
      <c r="H4087" s="16"/>
      <c r="I4087" s="14"/>
    </row>
    <row r="4088">
      <c r="A4088" s="14">
        <v>489.0</v>
      </c>
      <c r="B4088" s="14">
        <v>6797268.0</v>
      </c>
      <c r="C4088" s="14">
        <v>2.8910998E7</v>
      </c>
      <c r="D4088" s="2" t="s">
        <v>4634</v>
      </c>
      <c r="E4088" s="1" t="s">
        <v>121</v>
      </c>
      <c r="F4088" s="14">
        <v>-0.2254</v>
      </c>
      <c r="G4088" s="15"/>
      <c r="H4088" s="16"/>
      <c r="I4088" s="14"/>
    </row>
    <row r="4089">
      <c r="A4089" s="14">
        <v>210.0</v>
      </c>
      <c r="B4089" s="14">
        <v>2.2128634E7</v>
      </c>
      <c r="C4089" s="14">
        <v>9.1295009E7</v>
      </c>
      <c r="D4089" s="2" t="s">
        <v>3802</v>
      </c>
      <c r="E4089" s="1" t="s">
        <v>699</v>
      </c>
      <c r="F4089" s="14">
        <v>-0.2263</v>
      </c>
      <c r="G4089" s="15"/>
      <c r="H4089" s="16"/>
      <c r="I4089" s="14"/>
    </row>
    <row r="4090">
      <c r="A4090" s="14">
        <v>481.0</v>
      </c>
      <c r="B4090" s="14">
        <v>5096463.0</v>
      </c>
      <c r="C4090" s="14">
        <v>2.1657308E7</v>
      </c>
      <c r="D4090" s="2" t="s">
        <v>4788</v>
      </c>
      <c r="E4090" s="1" t="s">
        <v>121</v>
      </c>
      <c r="F4090" s="14">
        <v>-0.2263</v>
      </c>
      <c r="G4090" s="15"/>
      <c r="H4090" s="16"/>
      <c r="I4090" s="14"/>
    </row>
    <row r="4091">
      <c r="A4091" s="14">
        <v>569.0</v>
      </c>
      <c r="B4091" s="14">
        <v>6176991.0</v>
      </c>
      <c r="C4091" s="14">
        <v>2.6246641E7</v>
      </c>
      <c r="D4091" s="2" t="s">
        <v>4700</v>
      </c>
      <c r="E4091" s="1" t="s">
        <v>121</v>
      </c>
      <c r="F4091" s="14">
        <v>-0.2263</v>
      </c>
      <c r="G4091" s="15"/>
      <c r="H4091" s="16"/>
      <c r="I4091" s="14"/>
    </row>
    <row r="4092">
      <c r="A4092" s="14">
        <v>531.0</v>
      </c>
      <c r="B4092" s="14">
        <v>1.4221851E7</v>
      </c>
      <c r="C4092" s="14">
        <v>6.0479316E7</v>
      </c>
      <c r="D4092" s="2" t="s">
        <v>4145</v>
      </c>
      <c r="E4092" s="1" t="s">
        <v>121</v>
      </c>
      <c r="F4092" s="14">
        <v>-0.2263</v>
      </c>
      <c r="G4092" s="15"/>
      <c r="H4092" s="16"/>
      <c r="I4092" s="14"/>
    </row>
    <row r="4093">
      <c r="A4093" s="14">
        <v>586.0</v>
      </c>
      <c r="B4093" s="14">
        <v>1.6218559E7</v>
      </c>
      <c r="C4093" s="14">
        <v>6.8800639E7</v>
      </c>
      <c r="D4093" s="2" t="s">
        <v>4015</v>
      </c>
      <c r="E4093" s="1" t="s">
        <v>121</v>
      </c>
      <c r="F4093" s="14">
        <v>-0.2263</v>
      </c>
      <c r="G4093" s="15"/>
      <c r="H4093" s="16"/>
      <c r="I4093" s="14"/>
    </row>
    <row r="4094">
      <c r="A4094" s="14">
        <v>225.0</v>
      </c>
      <c r="B4094" s="14">
        <v>1.8128168E7</v>
      </c>
      <c r="C4094" s="14">
        <v>7.6220587E7</v>
      </c>
      <c r="D4094" s="2" t="s">
        <v>3929</v>
      </c>
      <c r="E4094" s="1" t="s">
        <v>121</v>
      </c>
      <c r="F4094" s="14">
        <v>-0.2263</v>
      </c>
      <c r="G4094" s="15"/>
      <c r="H4094" s="16"/>
      <c r="I4094" s="14"/>
    </row>
    <row r="4095">
      <c r="A4095" s="14">
        <v>378.0</v>
      </c>
      <c r="B4095" s="14">
        <v>2.1943624E7</v>
      </c>
      <c r="C4095" s="14">
        <v>9.0587646E7</v>
      </c>
      <c r="D4095" s="2" t="s">
        <v>3807</v>
      </c>
      <c r="E4095" s="1" t="s">
        <v>121</v>
      </c>
      <c r="F4095" s="14">
        <v>-0.2263</v>
      </c>
      <c r="G4095" s="15"/>
      <c r="H4095" s="16"/>
      <c r="I4095" s="14"/>
    </row>
    <row r="4096">
      <c r="A4096" s="14">
        <v>557.0</v>
      </c>
      <c r="B4096" s="14">
        <v>3.1247118E7</v>
      </c>
      <c r="C4096" s="14">
        <v>1.25348596E8</v>
      </c>
      <c r="D4096" s="2" t="s">
        <v>3558</v>
      </c>
      <c r="E4096" s="1" t="s">
        <v>121</v>
      </c>
      <c r="F4096" s="14">
        <v>-0.2263</v>
      </c>
      <c r="G4096" s="15"/>
      <c r="H4096" s="16"/>
      <c r="I4096" s="14"/>
    </row>
    <row r="4097">
      <c r="A4097" s="14">
        <v>571.0</v>
      </c>
      <c r="B4097" s="14">
        <v>5.8658946E7</v>
      </c>
      <c r="C4097" s="14">
        <v>3.87958925E8</v>
      </c>
      <c r="D4097" s="2" t="s">
        <v>2735</v>
      </c>
      <c r="E4097" s="1" t="s">
        <v>121</v>
      </c>
      <c r="F4097" s="14">
        <v>-0.2263</v>
      </c>
      <c r="G4097" s="15"/>
      <c r="H4097" s="16"/>
      <c r="I4097" s="14"/>
    </row>
    <row r="4098">
      <c r="A4098" s="14">
        <v>319.0</v>
      </c>
      <c r="B4098" s="14">
        <v>9.2168511E7</v>
      </c>
      <c r="C4098" s="14">
        <v>3.91593005E8</v>
      </c>
      <c r="D4098" s="2" t="s">
        <v>1020</v>
      </c>
      <c r="E4098" s="1" t="s">
        <v>121</v>
      </c>
      <c r="F4098" s="14">
        <v>-0.2263</v>
      </c>
      <c r="G4098" s="15"/>
      <c r="H4098" s="16"/>
      <c r="I4098" s="14"/>
    </row>
    <row r="4099">
      <c r="A4099" s="14">
        <v>320.0</v>
      </c>
      <c r="B4099" s="14">
        <v>6.0365838E7</v>
      </c>
      <c r="C4099" s="14">
        <v>2.42253469E8</v>
      </c>
      <c r="D4099" s="2" t="s">
        <v>2674</v>
      </c>
      <c r="E4099" s="1" t="s">
        <v>121</v>
      </c>
      <c r="F4099" s="14">
        <v>-0.228</v>
      </c>
      <c r="G4099" s="15"/>
      <c r="H4099" s="16"/>
      <c r="I4099" s="14"/>
    </row>
    <row r="4100">
      <c r="A4100" s="14">
        <v>244.0</v>
      </c>
      <c r="B4100" s="14">
        <v>9.1536009E7</v>
      </c>
      <c r="C4100" s="14">
        <v>3.88202168E8</v>
      </c>
      <c r="D4100" s="2" t="s">
        <v>1053</v>
      </c>
      <c r="E4100" s="1" t="s">
        <v>121</v>
      </c>
      <c r="F4100" s="14">
        <v>-0.2298</v>
      </c>
      <c r="G4100" s="15"/>
      <c r="H4100" s="16"/>
      <c r="I4100" s="14"/>
    </row>
    <row r="4101">
      <c r="A4101" s="14">
        <v>154.0</v>
      </c>
      <c r="B4101" s="14">
        <v>229235.0</v>
      </c>
      <c r="C4101" s="14">
        <v>952270.0</v>
      </c>
      <c r="D4101" s="2" t="s">
        <v>5171</v>
      </c>
      <c r="E4101" s="1" t="s">
        <v>121</v>
      </c>
      <c r="F4101" s="14">
        <v>-0.2382</v>
      </c>
      <c r="G4101" s="15"/>
      <c r="H4101" s="16"/>
      <c r="I4101" s="14"/>
    </row>
    <row r="4102">
      <c r="A4102" s="14">
        <v>414.0</v>
      </c>
      <c r="B4102" s="14">
        <v>3202168.0</v>
      </c>
      <c r="C4102" s="14">
        <v>1.3579258E7</v>
      </c>
      <c r="D4102" s="2" t="s">
        <v>4942</v>
      </c>
      <c r="E4102" s="1" t="s">
        <v>121</v>
      </c>
      <c r="F4102" s="14">
        <v>-0.2391</v>
      </c>
      <c r="G4102" s="15"/>
      <c r="H4102" s="16"/>
      <c r="I4102" s="14"/>
    </row>
    <row r="4103">
      <c r="A4103" s="14">
        <v>602.0</v>
      </c>
      <c r="B4103" s="14">
        <v>7858894.0</v>
      </c>
      <c r="C4103" s="14">
        <v>3.3310875E7</v>
      </c>
      <c r="D4103" s="2" t="s">
        <v>4559</v>
      </c>
      <c r="E4103" s="1" t="s">
        <v>121</v>
      </c>
      <c r="F4103" s="14">
        <v>-0.2392</v>
      </c>
      <c r="G4103" s="15"/>
      <c r="H4103" s="16"/>
      <c r="I4103" s="14"/>
    </row>
    <row r="4104">
      <c r="A4104" s="14">
        <v>380.0</v>
      </c>
      <c r="B4104" s="14">
        <v>9.0081951E7</v>
      </c>
      <c r="C4104" s="14">
        <v>3.82031273E8</v>
      </c>
      <c r="D4104" s="2" t="s">
        <v>1138</v>
      </c>
      <c r="E4104" s="1" t="s">
        <v>121</v>
      </c>
      <c r="F4104" s="14">
        <v>-0.241</v>
      </c>
      <c r="G4104" s="15"/>
      <c r="H4104" s="16"/>
      <c r="I4104" s="14"/>
    </row>
    <row r="4105">
      <c r="A4105" s="14">
        <v>392.0</v>
      </c>
      <c r="B4105" s="14">
        <v>6.1309105E7</v>
      </c>
      <c r="C4105" s="14">
        <v>2.46711808E8</v>
      </c>
      <c r="D4105" s="2" t="s">
        <v>2639</v>
      </c>
      <c r="E4105" s="1" t="s">
        <v>699</v>
      </c>
      <c r="F4105" s="14">
        <v>-0.2411</v>
      </c>
      <c r="G4105" s="15"/>
      <c r="H4105" s="16"/>
      <c r="I4105" s="14"/>
    </row>
    <row r="4106">
      <c r="A4106" s="14">
        <v>571.0</v>
      </c>
      <c r="B4106" s="14">
        <v>2517372.0</v>
      </c>
      <c r="C4106" s="14">
        <v>4.6891798E8</v>
      </c>
      <c r="D4106" s="2" t="s">
        <v>5017</v>
      </c>
      <c r="E4106" s="1" t="s">
        <v>121</v>
      </c>
      <c r="F4106" s="14">
        <v>-0.2411</v>
      </c>
      <c r="G4106" s="15"/>
      <c r="H4106" s="16"/>
      <c r="I4106" s="14"/>
    </row>
    <row r="4107">
      <c r="A4107" s="14">
        <v>392.0</v>
      </c>
      <c r="B4107" s="14">
        <v>4089179.0</v>
      </c>
      <c r="C4107" s="14">
        <v>1.7354546E7</v>
      </c>
      <c r="D4107" s="2" t="s">
        <v>4863</v>
      </c>
      <c r="E4107" s="1" t="s">
        <v>121</v>
      </c>
      <c r="F4107" s="14">
        <v>-0.2411</v>
      </c>
      <c r="G4107" s="15"/>
      <c r="H4107" s="16"/>
      <c r="I4107" s="14"/>
    </row>
    <row r="4108">
      <c r="A4108" s="14">
        <v>470.0</v>
      </c>
      <c r="B4108" s="14">
        <v>6780574.0</v>
      </c>
      <c r="C4108" s="14">
        <v>2.8883693E7</v>
      </c>
      <c r="D4108" s="2" t="s">
        <v>4636</v>
      </c>
      <c r="E4108" s="1" t="s">
        <v>121</v>
      </c>
      <c r="F4108" s="14">
        <v>-0.2411</v>
      </c>
      <c r="G4108" s="15"/>
      <c r="H4108" s="16"/>
      <c r="I4108" s="14"/>
    </row>
    <row r="4109">
      <c r="A4109" s="14">
        <v>564.0</v>
      </c>
      <c r="B4109" s="14">
        <v>1.0879858E7</v>
      </c>
      <c r="C4109" s="14">
        <v>4.6442978E7</v>
      </c>
      <c r="D4109" s="2" t="s">
        <v>4325</v>
      </c>
      <c r="E4109" s="1" t="s">
        <v>121</v>
      </c>
      <c r="F4109" s="14">
        <v>-0.2411</v>
      </c>
      <c r="G4109" s="15"/>
      <c r="H4109" s="16"/>
      <c r="I4109" s="14"/>
    </row>
    <row r="4110">
      <c r="A4110" s="14">
        <v>395.0</v>
      </c>
      <c r="B4110" s="14">
        <v>1.6464447E7</v>
      </c>
      <c r="C4110" s="14">
        <v>7.0019785E7</v>
      </c>
      <c r="D4110" s="2" t="s">
        <v>4004</v>
      </c>
      <c r="E4110" s="1" t="s">
        <v>121</v>
      </c>
      <c r="F4110" s="14">
        <v>-0.2411</v>
      </c>
      <c r="G4110" s="15"/>
      <c r="H4110" s="16"/>
      <c r="I4110" s="14"/>
    </row>
    <row r="4111">
      <c r="A4111" s="14">
        <v>586.0</v>
      </c>
      <c r="B4111" s="14">
        <v>1.8108878E7</v>
      </c>
      <c r="C4111" s="14">
        <v>7.6221867E7</v>
      </c>
      <c r="D4111" s="2" t="s">
        <v>3930</v>
      </c>
      <c r="E4111" s="1" t="s">
        <v>121</v>
      </c>
      <c r="F4111" s="14">
        <v>-0.2411</v>
      </c>
      <c r="G4111" s="15"/>
      <c r="H4111" s="16"/>
      <c r="I4111" s="14"/>
    </row>
    <row r="4112">
      <c r="A4112" s="14">
        <v>721.0</v>
      </c>
      <c r="B4112" s="14">
        <v>6470537.0</v>
      </c>
      <c r="C4112" s="14">
        <v>2.7516326E7</v>
      </c>
      <c r="D4112" s="2" t="s">
        <v>4665</v>
      </c>
      <c r="E4112" s="1" t="s">
        <v>121</v>
      </c>
      <c r="F4112" s="14">
        <v>-0.2414</v>
      </c>
      <c r="G4112" s="15"/>
      <c r="H4112" s="16"/>
      <c r="I4112" s="14"/>
    </row>
    <row r="4113">
      <c r="A4113" s="14">
        <v>578.0</v>
      </c>
      <c r="B4113" s="14">
        <v>4.6234936E7</v>
      </c>
      <c r="C4113" s="14">
        <v>1.82551042E8</v>
      </c>
      <c r="D4113" s="2" t="s">
        <v>3203</v>
      </c>
      <c r="E4113" s="1" t="s">
        <v>121</v>
      </c>
      <c r="F4113" s="14">
        <v>-0.2415</v>
      </c>
      <c r="G4113" s="15"/>
      <c r="H4113" s="16"/>
      <c r="I4113" s="14"/>
    </row>
    <row r="4114">
      <c r="A4114" s="14">
        <v>571.0</v>
      </c>
      <c r="B4114" s="14">
        <v>2.2383545E7</v>
      </c>
      <c r="C4114" s="14">
        <v>9.2427933E7</v>
      </c>
      <c r="D4114" s="2" t="s">
        <v>3795</v>
      </c>
      <c r="E4114" s="1" t="s">
        <v>107</v>
      </c>
      <c r="F4114" s="14">
        <v>-0.2481</v>
      </c>
      <c r="G4114" s="15"/>
      <c r="H4114" s="16"/>
      <c r="I4114" s="14"/>
    </row>
    <row r="4115">
      <c r="A4115" s="14">
        <v>665.0</v>
      </c>
      <c r="B4115" s="14">
        <v>7361894.0</v>
      </c>
      <c r="C4115" s="14">
        <v>3.1324038E7</v>
      </c>
      <c r="D4115" s="2" t="s">
        <v>4585</v>
      </c>
      <c r="E4115" s="1" t="s">
        <v>121</v>
      </c>
      <c r="F4115" s="14">
        <v>-0.2481</v>
      </c>
      <c r="G4115" s="15"/>
      <c r="H4115" s="16"/>
      <c r="I4115" s="14"/>
    </row>
    <row r="4116">
      <c r="A4116" s="14">
        <v>602.0</v>
      </c>
      <c r="B4116" s="14">
        <v>1716556.0</v>
      </c>
      <c r="C4116" s="14">
        <v>7.654259E7</v>
      </c>
      <c r="D4116" s="2" t="s">
        <v>5064</v>
      </c>
      <c r="E4116" s="1" t="s">
        <v>121</v>
      </c>
      <c r="F4116" s="14">
        <v>-0.2484</v>
      </c>
      <c r="G4116" s="15"/>
      <c r="H4116" s="16"/>
      <c r="I4116" s="14"/>
    </row>
    <row r="4117">
      <c r="A4117" s="14">
        <v>664.0</v>
      </c>
      <c r="B4117" s="14">
        <v>1.1774108E7</v>
      </c>
      <c r="C4117" s="14">
        <v>5.0011289E7</v>
      </c>
      <c r="D4117" s="2" t="s">
        <v>4266</v>
      </c>
      <c r="E4117" s="1" t="s">
        <v>121</v>
      </c>
      <c r="F4117" s="14">
        <v>-0.2484</v>
      </c>
      <c r="G4117" s="15"/>
      <c r="H4117" s="16"/>
      <c r="I4117" s="14"/>
    </row>
    <row r="4118">
      <c r="A4118" s="14">
        <v>140.0</v>
      </c>
      <c r="B4118" s="14">
        <v>8039957.0</v>
      </c>
      <c r="C4118" s="14">
        <v>3.4079563E7</v>
      </c>
      <c r="D4118" s="2" t="s">
        <v>4541</v>
      </c>
      <c r="E4118" s="1" t="s">
        <v>699</v>
      </c>
      <c r="F4118" s="14">
        <v>-0.25</v>
      </c>
      <c r="G4118" s="15"/>
      <c r="H4118" s="16"/>
      <c r="I4118" s="14"/>
    </row>
    <row r="4119">
      <c r="A4119" s="14">
        <v>565.0</v>
      </c>
      <c r="B4119" s="14">
        <v>2.9826437E7</v>
      </c>
      <c r="C4119" s="14">
        <v>1.19755741E8</v>
      </c>
      <c r="D4119" s="2" t="s">
        <v>3592</v>
      </c>
      <c r="E4119" s="1" t="s">
        <v>699</v>
      </c>
      <c r="F4119" s="14">
        <v>-0.25</v>
      </c>
      <c r="G4119" s="15"/>
      <c r="H4119" s="16"/>
      <c r="I4119" s="14"/>
    </row>
    <row r="4120">
      <c r="A4120" s="14">
        <v>402.0</v>
      </c>
      <c r="B4120" s="14">
        <v>2.9948222E7</v>
      </c>
      <c r="C4120" s="14">
        <v>3.32692695E8</v>
      </c>
      <c r="D4120" s="2" t="s">
        <v>3585</v>
      </c>
      <c r="E4120" s="1" t="s">
        <v>699</v>
      </c>
      <c r="F4120" s="14">
        <v>-0.25</v>
      </c>
      <c r="G4120" s="15"/>
      <c r="H4120" s="16"/>
      <c r="I4120" s="14"/>
    </row>
    <row r="4121">
      <c r="A4121" s="14">
        <v>712.0</v>
      </c>
      <c r="B4121" s="14">
        <v>3.3154123E7</v>
      </c>
      <c r="C4121" s="14">
        <v>1.32654925E8</v>
      </c>
      <c r="D4121" s="2" t="s">
        <v>3514</v>
      </c>
      <c r="E4121" s="1" t="s">
        <v>699</v>
      </c>
      <c r="F4121" s="14">
        <v>-0.25</v>
      </c>
      <c r="G4121" s="15"/>
      <c r="H4121" s="16"/>
      <c r="I4121" s="14"/>
    </row>
    <row r="4122">
      <c r="A4122" s="14">
        <v>471.0</v>
      </c>
      <c r="B4122" s="14">
        <v>4.2641976E7</v>
      </c>
      <c r="C4122" s="14">
        <v>1.68969089E8</v>
      </c>
      <c r="D4122" s="2" t="s">
        <v>3304</v>
      </c>
      <c r="E4122" s="1" t="s">
        <v>699</v>
      </c>
      <c r="F4122" s="14">
        <v>-0.25</v>
      </c>
      <c r="G4122" s="15"/>
      <c r="H4122" s="16"/>
      <c r="I4122" s="14"/>
    </row>
    <row r="4123">
      <c r="A4123" s="14">
        <v>319.0</v>
      </c>
      <c r="B4123" s="14">
        <v>6.9643691E7</v>
      </c>
      <c r="C4123" s="14">
        <v>2.86729221E8</v>
      </c>
      <c r="D4123" s="2" t="s">
        <v>2246</v>
      </c>
      <c r="E4123" s="1" t="s">
        <v>699</v>
      </c>
      <c r="F4123" s="14">
        <v>-0.25</v>
      </c>
      <c r="G4123" s="15"/>
      <c r="H4123" s="16"/>
      <c r="I4123" s="14"/>
    </row>
    <row r="4124">
      <c r="A4124" s="14">
        <v>215.0</v>
      </c>
      <c r="B4124" s="14">
        <v>9.1824275E7</v>
      </c>
      <c r="C4124" s="14">
        <v>3.90451595E8</v>
      </c>
      <c r="D4124" s="2" t="s">
        <v>1042</v>
      </c>
      <c r="E4124" s="1" t="s">
        <v>699</v>
      </c>
      <c r="F4124" s="14">
        <v>-0.25</v>
      </c>
      <c r="G4124" s="15"/>
      <c r="H4124" s="16"/>
      <c r="I4124" s="14"/>
    </row>
    <row r="4125">
      <c r="A4125" s="14">
        <v>571.0</v>
      </c>
      <c r="B4125" s="14">
        <v>1523926.0</v>
      </c>
      <c r="C4125" s="14">
        <v>6746135.0</v>
      </c>
      <c r="D4125" s="2" t="s">
        <v>5078</v>
      </c>
      <c r="E4125" s="1" t="s">
        <v>121</v>
      </c>
      <c r="F4125" s="14">
        <v>-0.25</v>
      </c>
      <c r="G4125" s="15"/>
      <c r="H4125" s="16"/>
      <c r="I4125" s="14"/>
    </row>
    <row r="4126">
      <c r="A4126" s="14">
        <v>673.0</v>
      </c>
      <c r="B4126" s="14">
        <v>1.0332458E7</v>
      </c>
      <c r="C4126" s="14">
        <v>4.4721152E7</v>
      </c>
      <c r="D4126" s="2" t="s">
        <v>4374</v>
      </c>
      <c r="E4126" s="1" t="s">
        <v>121</v>
      </c>
      <c r="F4126" s="14">
        <v>-0.25</v>
      </c>
      <c r="G4126" s="15"/>
      <c r="H4126" s="16"/>
      <c r="I4126" s="14"/>
    </row>
    <row r="4127">
      <c r="A4127" s="14">
        <v>320.0</v>
      </c>
      <c r="B4127" s="14">
        <v>1.3150958E7</v>
      </c>
      <c r="C4127" s="14">
        <v>5.5804606E7</v>
      </c>
      <c r="D4127" s="2" t="s">
        <v>4200</v>
      </c>
      <c r="E4127" s="1" t="s">
        <v>121</v>
      </c>
      <c r="F4127" s="14">
        <v>-0.25</v>
      </c>
      <c r="G4127" s="15"/>
      <c r="H4127" s="16"/>
      <c r="I4127" s="14"/>
    </row>
    <row r="4128">
      <c r="A4128" s="14">
        <v>571.0</v>
      </c>
      <c r="B4128" s="14">
        <v>1.766855E7</v>
      </c>
      <c r="C4128" s="14">
        <v>7.4630875E7</v>
      </c>
      <c r="D4128" s="2" t="s">
        <v>3950</v>
      </c>
      <c r="E4128" s="1" t="s">
        <v>121</v>
      </c>
      <c r="F4128" s="14">
        <v>-0.25</v>
      </c>
      <c r="G4128" s="15"/>
      <c r="H4128" s="16"/>
      <c r="I4128" s="14"/>
    </row>
    <row r="4129">
      <c r="A4129" s="14">
        <v>674.0</v>
      </c>
      <c r="B4129" s="14">
        <v>2.6044679E7</v>
      </c>
      <c r="C4129" s="14">
        <v>1.05610984E8</v>
      </c>
      <c r="D4129" s="2" t="s">
        <v>3704</v>
      </c>
      <c r="E4129" s="1" t="s">
        <v>121</v>
      </c>
      <c r="F4129" s="14">
        <v>-0.25</v>
      </c>
      <c r="G4129" s="15"/>
      <c r="H4129" s="16"/>
      <c r="I4129" s="14"/>
    </row>
    <row r="4130">
      <c r="A4130" s="14">
        <v>410.0</v>
      </c>
      <c r="B4130" s="14">
        <v>2.6918335E7</v>
      </c>
      <c r="C4130" s="14">
        <v>1.08778308E8</v>
      </c>
      <c r="D4130" s="2" t="s">
        <v>3677</v>
      </c>
      <c r="E4130" s="1" t="s">
        <v>121</v>
      </c>
      <c r="F4130" s="14">
        <v>-0.25</v>
      </c>
      <c r="G4130" s="15"/>
      <c r="H4130" s="16"/>
      <c r="I4130" s="14"/>
    </row>
    <row r="4131">
      <c r="A4131" s="14">
        <v>694.0</v>
      </c>
      <c r="B4131" s="14">
        <v>2.9394458E7</v>
      </c>
      <c r="C4131" s="14">
        <v>1.18160702E8</v>
      </c>
      <c r="D4131" s="2" t="s">
        <v>3606</v>
      </c>
      <c r="E4131" s="1" t="s">
        <v>121</v>
      </c>
      <c r="F4131" s="14">
        <v>-0.25</v>
      </c>
      <c r="G4131" s="15"/>
      <c r="H4131" s="16"/>
      <c r="I4131" s="14"/>
    </row>
    <row r="4132">
      <c r="A4132" s="14">
        <v>671.0</v>
      </c>
      <c r="B4132" s="14">
        <v>3.0025406E7</v>
      </c>
      <c r="C4132" s="14">
        <v>1.20623848E8</v>
      </c>
      <c r="D4132" s="2" t="s">
        <v>3583</v>
      </c>
      <c r="E4132" s="1" t="s">
        <v>121</v>
      </c>
      <c r="F4132" s="14">
        <v>-0.25</v>
      </c>
      <c r="G4132" s="15"/>
      <c r="H4132" s="16"/>
      <c r="I4132" s="14"/>
    </row>
    <row r="4133">
      <c r="A4133" s="14">
        <v>395.0</v>
      </c>
      <c r="B4133" s="14">
        <v>4.1187565E7</v>
      </c>
      <c r="C4133" s="14">
        <v>1.63150677E8</v>
      </c>
      <c r="D4133" s="2" t="s">
        <v>3351</v>
      </c>
      <c r="E4133" s="1" t="s">
        <v>121</v>
      </c>
      <c r="F4133" s="14">
        <v>-0.25</v>
      </c>
      <c r="G4133" s="15"/>
      <c r="H4133" s="16"/>
      <c r="I4133" s="14"/>
    </row>
    <row r="4134">
      <c r="A4134" s="14">
        <v>671.0</v>
      </c>
      <c r="B4134" s="14">
        <v>5.9117804E7</v>
      </c>
      <c r="C4134" s="14">
        <v>2.36208959E8</v>
      </c>
      <c r="D4134" s="2" t="s">
        <v>2720</v>
      </c>
      <c r="E4134" s="1" t="s">
        <v>121</v>
      </c>
      <c r="F4134" s="14">
        <v>-0.25</v>
      </c>
      <c r="G4134" s="15"/>
      <c r="H4134" s="16"/>
      <c r="I4134" s="14"/>
    </row>
    <row r="4135">
      <c r="A4135" s="14">
        <v>602.0</v>
      </c>
      <c r="B4135" s="14">
        <v>8.0194017E7</v>
      </c>
      <c r="C4135" s="14">
        <v>3.35295259E8</v>
      </c>
      <c r="D4135" s="2" t="s">
        <v>1738</v>
      </c>
      <c r="E4135" s="1" t="s">
        <v>121</v>
      </c>
      <c r="F4135" s="14">
        <v>-0.25</v>
      </c>
      <c r="G4135" s="15"/>
      <c r="H4135" s="16"/>
      <c r="I4135" s="14"/>
    </row>
    <row r="4136">
      <c r="A4136" s="14">
        <v>407.0</v>
      </c>
      <c r="B4136" s="14">
        <v>8.4705579E7</v>
      </c>
      <c r="C4136" s="14">
        <v>3.56342791E8</v>
      </c>
      <c r="D4136" s="2" t="s">
        <v>1453</v>
      </c>
      <c r="E4136" s="1" t="s">
        <v>121</v>
      </c>
      <c r="F4136" s="14">
        <v>-0.25</v>
      </c>
      <c r="G4136" s="15"/>
      <c r="H4136" s="16"/>
      <c r="I4136" s="14"/>
    </row>
    <row r="4137">
      <c r="A4137" s="14">
        <v>215.0</v>
      </c>
      <c r="B4137" s="14">
        <v>9.2141588E7</v>
      </c>
      <c r="C4137" s="14">
        <v>3.9134979E8</v>
      </c>
      <c r="D4137" s="2" t="s">
        <v>1025</v>
      </c>
      <c r="E4137" s="1" t="s">
        <v>121</v>
      </c>
      <c r="F4137" s="14">
        <v>-0.25</v>
      </c>
      <c r="G4137" s="15"/>
      <c r="H4137" s="16"/>
      <c r="I4137" s="14"/>
    </row>
    <row r="4138">
      <c r="A4138" s="14">
        <v>353.0</v>
      </c>
      <c r="B4138" s="14">
        <v>1.05728312E8</v>
      </c>
      <c r="C4138" s="14">
        <v>4.55608924E8</v>
      </c>
      <c r="D4138" s="2" t="s">
        <v>320</v>
      </c>
      <c r="E4138" s="1" t="s">
        <v>121</v>
      </c>
      <c r="F4138" s="14">
        <v>-0.25</v>
      </c>
      <c r="G4138" s="15"/>
      <c r="H4138" s="16"/>
      <c r="I4138" s="14"/>
    </row>
    <row r="4139">
      <c r="A4139" s="14">
        <v>571.0</v>
      </c>
      <c r="B4139" s="14">
        <v>7.5059831E7</v>
      </c>
      <c r="C4139" s="14">
        <v>3.11185797E8</v>
      </c>
      <c r="D4139" s="2" t="s">
        <v>2025</v>
      </c>
      <c r="E4139" s="1" t="s">
        <v>121</v>
      </c>
      <c r="F4139" s="14">
        <v>-0.2514</v>
      </c>
      <c r="G4139" s="15"/>
      <c r="H4139" s="16"/>
      <c r="I4139" s="14"/>
    </row>
    <row r="4140">
      <c r="A4140" s="14">
        <v>504.0</v>
      </c>
      <c r="B4140" s="14">
        <v>6232490.0</v>
      </c>
      <c r="C4140" s="14">
        <v>2.6493015E7</v>
      </c>
      <c r="D4140" s="2" t="s">
        <v>4692</v>
      </c>
      <c r="E4140" s="1" t="s">
        <v>121</v>
      </c>
      <c r="F4140" s="14">
        <v>-0.2516</v>
      </c>
      <c r="G4140" s="15"/>
      <c r="H4140" s="16"/>
      <c r="I4140" s="14"/>
    </row>
    <row r="4141">
      <c r="A4141" s="14">
        <v>337.0</v>
      </c>
      <c r="B4141" s="14">
        <v>2315242.0</v>
      </c>
      <c r="C4141" s="14">
        <v>9852218.0</v>
      </c>
      <c r="D4141" s="2" t="s">
        <v>5031</v>
      </c>
      <c r="E4141" s="1" t="s">
        <v>121</v>
      </c>
      <c r="F4141" s="14">
        <v>-0.2533</v>
      </c>
      <c r="G4141" s="15"/>
      <c r="H4141" s="16"/>
      <c r="I4141" s="14"/>
    </row>
    <row r="4142">
      <c r="A4142" s="14">
        <v>571.0</v>
      </c>
      <c r="B4142" s="14">
        <v>9640846.0</v>
      </c>
      <c r="C4142" s="14">
        <v>4.0976319E7</v>
      </c>
      <c r="D4142" s="2" t="s">
        <v>4421</v>
      </c>
      <c r="E4142" s="1" t="s">
        <v>121</v>
      </c>
      <c r="F4142" s="14">
        <v>-0.2584</v>
      </c>
      <c r="G4142" s="15"/>
      <c r="H4142" s="16"/>
      <c r="I4142" s="14"/>
    </row>
    <row r="4143">
      <c r="A4143" s="14">
        <v>656.0</v>
      </c>
      <c r="B4143" s="14">
        <v>1.02511328E8</v>
      </c>
      <c r="C4143" s="14">
        <v>4.40507619E8</v>
      </c>
      <c r="D4143" s="2" t="s">
        <v>436</v>
      </c>
      <c r="E4143" s="1" t="s">
        <v>121</v>
      </c>
      <c r="F4143" s="14">
        <v>-0.2594</v>
      </c>
      <c r="G4143" s="15"/>
      <c r="H4143" s="16"/>
      <c r="I4143" s="14"/>
    </row>
    <row r="4144">
      <c r="A4144" s="14">
        <v>601.0</v>
      </c>
      <c r="B4144" s="14">
        <v>8101624.0</v>
      </c>
      <c r="C4144" s="14">
        <v>3.4358621E7</v>
      </c>
      <c r="D4144" s="2" t="s">
        <v>4536</v>
      </c>
      <c r="E4144" s="1" t="s">
        <v>121</v>
      </c>
      <c r="F4144" s="14">
        <v>-0.2617</v>
      </c>
      <c r="G4144" s="15"/>
      <c r="H4144" s="16"/>
      <c r="I4144" s="14"/>
    </row>
    <row r="4145">
      <c r="A4145" s="14">
        <v>671.0</v>
      </c>
      <c r="B4145" s="14">
        <v>9.4525689E7</v>
      </c>
      <c r="C4145" s="14">
        <v>4.01949482E8</v>
      </c>
      <c r="D4145" s="2" t="s">
        <v>909</v>
      </c>
      <c r="E4145" s="1" t="s">
        <v>121</v>
      </c>
      <c r="F4145" s="14">
        <v>-0.2617</v>
      </c>
      <c r="G4145" s="15"/>
      <c r="H4145" s="16"/>
      <c r="I4145" s="14"/>
    </row>
    <row r="4146">
      <c r="A4146" s="14">
        <v>414.0</v>
      </c>
      <c r="B4146" s="14">
        <v>2.5536309E7</v>
      </c>
      <c r="C4146" s="14">
        <v>1.0370964E8</v>
      </c>
      <c r="D4146" s="2" t="s">
        <v>3713</v>
      </c>
      <c r="E4146" s="1" t="s">
        <v>121</v>
      </c>
      <c r="F4146" s="14">
        <v>-0.2638</v>
      </c>
      <c r="G4146" s="15"/>
      <c r="H4146" s="16"/>
      <c r="I4146" s="14"/>
    </row>
    <row r="4147">
      <c r="A4147" s="14">
        <v>407.0</v>
      </c>
      <c r="B4147" s="14">
        <v>8.4172532E7</v>
      </c>
      <c r="C4147" s="14">
        <v>3.53710253E8</v>
      </c>
      <c r="D4147" s="2" t="s">
        <v>1500</v>
      </c>
      <c r="E4147" s="1" t="s">
        <v>699</v>
      </c>
      <c r="F4147" s="14">
        <v>-0.264</v>
      </c>
      <c r="G4147" s="15"/>
      <c r="H4147" s="16"/>
      <c r="I4147" s="14"/>
    </row>
    <row r="4148">
      <c r="A4148" s="14">
        <v>406.0</v>
      </c>
      <c r="B4148" s="14">
        <v>7.1835185E7</v>
      </c>
      <c r="C4148" s="14">
        <v>2.96652954E8</v>
      </c>
      <c r="D4148" s="2" t="s">
        <v>2135</v>
      </c>
      <c r="E4148" s="1" t="s">
        <v>121</v>
      </c>
      <c r="F4148" s="14">
        <v>-0.2644</v>
      </c>
      <c r="G4148" s="15"/>
      <c r="H4148" s="16"/>
      <c r="I4148" s="14"/>
    </row>
    <row r="4149">
      <c r="A4149" s="14">
        <v>410.0</v>
      </c>
      <c r="B4149" s="14">
        <v>827972.0</v>
      </c>
      <c r="C4149" s="14">
        <v>3924228.0</v>
      </c>
      <c r="D4149" s="2" t="s">
        <v>5144</v>
      </c>
      <c r="E4149" s="1" t="s">
        <v>121</v>
      </c>
      <c r="F4149" s="14">
        <v>-0.2708</v>
      </c>
      <c r="G4149" s="15"/>
      <c r="H4149" s="16"/>
      <c r="I4149" s="14"/>
    </row>
    <row r="4150">
      <c r="A4150" s="14">
        <v>414.0</v>
      </c>
      <c r="B4150" s="14">
        <v>3659319.0</v>
      </c>
      <c r="C4150" s="14">
        <v>1.5491209E7</v>
      </c>
      <c r="D4150" s="2" t="s">
        <v>4907</v>
      </c>
      <c r="E4150" s="1" t="s">
        <v>121</v>
      </c>
      <c r="F4150" s="14">
        <v>-0.2712</v>
      </c>
      <c r="G4150" s="15"/>
      <c r="H4150" s="16"/>
      <c r="I4150" s="14"/>
    </row>
    <row r="4151">
      <c r="A4151" s="14">
        <v>694.0</v>
      </c>
      <c r="B4151" s="14">
        <v>2.0669455E7</v>
      </c>
      <c r="C4151" s="14">
        <v>8.5912857E7</v>
      </c>
      <c r="D4151" s="2" t="s">
        <v>3852</v>
      </c>
      <c r="E4151" s="1" t="s">
        <v>699</v>
      </c>
      <c r="F4151" s="14">
        <v>-0.2714</v>
      </c>
      <c r="G4151" s="15"/>
      <c r="H4151" s="16"/>
      <c r="I4151" s="14"/>
    </row>
    <row r="4152">
      <c r="A4152" s="14">
        <v>571.0</v>
      </c>
      <c r="B4152" s="14">
        <v>1.13327275E8</v>
      </c>
      <c r="C4152" s="14">
        <v>4.92621248E8</v>
      </c>
      <c r="D4152" s="2" t="s">
        <v>4</v>
      </c>
      <c r="E4152" s="1" t="s">
        <v>699</v>
      </c>
      <c r="F4152" s="14">
        <v>-0.2714</v>
      </c>
      <c r="G4152" s="15"/>
      <c r="H4152" s="16"/>
      <c r="I4152" s="14"/>
    </row>
    <row r="4153">
      <c r="A4153" s="14">
        <v>462.0</v>
      </c>
      <c r="B4153" s="14">
        <v>1.11973723E8</v>
      </c>
      <c r="C4153" s="14">
        <v>4.85893183E8</v>
      </c>
      <c r="D4153" s="2" t="s">
        <v>39</v>
      </c>
      <c r="E4153" s="1" t="s">
        <v>121</v>
      </c>
      <c r="F4153" s="14">
        <v>-0.2716</v>
      </c>
      <c r="G4153" s="15"/>
      <c r="H4153" s="16"/>
      <c r="I4153" s="14"/>
    </row>
    <row r="4154">
      <c r="A4154" s="14">
        <v>488.0</v>
      </c>
      <c r="B4154" s="14">
        <v>3801403.0</v>
      </c>
      <c r="C4154" s="14">
        <v>1.6109497E7</v>
      </c>
      <c r="D4154" s="2" t="s">
        <v>4897</v>
      </c>
      <c r="E4154" s="1" t="s">
        <v>121</v>
      </c>
      <c r="F4154" s="14">
        <v>-0.2718</v>
      </c>
      <c r="G4154" s="15"/>
      <c r="H4154" s="16"/>
      <c r="I4154" s="14"/>
    </row>
    <row r="4155">
      <c r="A4155" s="14">
        <v>475.0</v>
      </c>
      <c r="B4155" s="14">
        <v>2.5634408E7</v>
      </c>
      <c r="C4155" s="14">
        <v>1.04088796E8</v>
      </c>
      <c r="D4155" s="2" t="s">
        <v>3709</v>
      </c>
      <c r="E4155" s="1" t="s">
        <v>121</v>
      </c>
      <c r="F4155" s="14">
        <v>-0.2728</v>
      </c>
      <c r="G4155" s="15"/>
      <c r="H4155" s="16"/>
      <c r="I4155" s="14"/>
    </row>
    <row r="4156">
      <c r="A4156" s="14">
        <v>410.0</v>
      </c>
      <c r="B4156" s="14">
        <v>5.3102874E7</v>
      </c>
      <c r="C4156" s="14">
        <v>2.10660635E8</v>
      </c>
      <c r="D4156" s="2" t="s">
        <v>2910</v>
      </c>
      <c r="E4156" s="1" t="s">
        <v>699</v>
      </c>
      <c r="F4156" s="14">
        <v>-0.2732</v>
      </c>
      <c r="G4156" s="15"/>
      <c r="H4156" s="16"/>
      <c r="I4156" s="14"/>
    </row>
    <row r="4157">
      <c r="A4157" s="14">
        <v>244.0</v>
      </c>
      <c r="B4157" s="14">
        <v>9.3501936E7</v>
      </c>
      <c r="C4157" s="14">
        <v>3.96973824E8</v>
      </c>
      <c r="D4157" s="2" t="s">
        <v>964</v>
      </c>
      <c r="E4157" s="1" t="s">
        <v>699</v>
      </c>
      <c r="F4157" s="14">
        <v>-0.2732</v>
      </c>
      <c r="G4157" s="15"/>
      <c r="H4157" s="16"/>
      <c r="I4157" s="14"/>
    </row>
    <row r="4158">
      <c r="A4158" s="14">
        <v>532.0</v>
      </c>
      <c r="B4158" s="14">
        <v>1.02949112E8</v>
      </c>
      <c r="C4158" s="14">
        <v>4.43064482E8</v>
      </c>
      <c r="D4158" s="2" t="s">
        <v>426</v>
      </c>
      <c r="E4158" s="1" t="s">
        <v>699</v>
      </c>
      <c r="F4158" s="14">
        <v>-0.2732</v>
      </c>
      <c r="G4158" s="15"/>
      <c r="H4158" s="16"/>
      <c r="I4158" s="14"/>
    </row>
    <row r="4159">
      <c r="A4159" s="14">
        <v>120.0</v>
      </c>
      <c r="B4159" s="14">
        <v>656536.0</v>
      </c>
      <c r="C4159" s="14">
        <v>3185046.0</v>
      </c>
      <c r="D4159" s="2" t="s">
        <v>5150</v>
      </c>
      <c r="E4159" s="1" t="s">
        <v>121</v>
      </c>
      <c r="F4159" s="14">
        <v>-0.2732</v>
      </c>
      <c r="G4159" s="15"/>
      <c r="H4159" s="16"/>
      <c r="I4159" s="14"/>
    </row>
    <row r="4160">
      <c r="A4160" s="14">
        <v>573.0</v>
      </c>
      <c r="B4160" s="14">
        <v>7127418.0</v>
      </c>
      <c r="C4160" s="14">
        <v>3.0338794E7</v>
      </c>
      <c r="D4160" s="2" t="s">
        <v>4596</v>
      </c>
      <c r="E4160" s="1" t="s">
        <v>121</v>
      </c>
      <c r="F4160" s="14">
        <v>-0.2732</v>
      </c>
      <c r="G4160" s="15"/>
      <c r="H4160" s="16"/>
      <c r="I4160" s="14"/>
    </row>
    <row r="4161">
      <c r="A4161" s="14">
        <v>712.0</v>
      </c>
      <c r="B4161" s="14">
        <v>5.3160618E7</v>
      </c>
      <c r="C4161" s="14">
        <v>2.10951367E8</v>
      </c>
      <c r="D4161" s="2" t="s">
        <v>2905</v>
      </c>
      <c r="E4161" s="1" t="s">
        <v>121</v>
      </c>
      <c r="F4161" s="14">
        <v>-0.2732</v>
      </c>
      <c r="G4161" s="15"/>
      <c r="H4161" s="16"/>
      <c r="I4161" s="14"/>
    </row>
    <row r="4162">
      <c r="A4162" s="14">
        <v>602.0</v>
      </c>
      <c r="B4162" s="14">
        <v>5.778486E7</v>
      </c>
      <c r="C4162" s="14">
        <v>2.30196394E8</v>
      </c>
      <c r="D4162" s="2" t="s">
        <v>2762</v>
      </c>
      <c r="E4162" s="1" t="s">
        <v>121</v>
      </c>
      <c r="F4162" s="14">
        <v>-0.2732</v>
      </c>
      <c r="G4162" s="15"/>
      <c r="H4162" s="16"/>
      <c r="I4162" s="14"/>
    </row>
    <row r="4163">
      <c r="A4163" s="14">
        <v>498.0</v>
      </c>
      <c r="B4163" s="14">
        <v>8.4608549E7</v>
      </c>
      <c r="C4163" s="14">
        <v>3.56259513E8</v>
      </c>
      <c r="D4163" s="2" t="s">
        <v>1459</v>
      </c>
      <c r="E4163" s="1" t="s">
        <v>121</v>
      </c>
      <c r="F4163" s="14">
        <v>-0.2732</v>
      </c>
      <c r="G4163" s="15"/>
      <c r="H4163" s="16"/>
      <c r="I4163" s="14"/>
    </row>
    <row r="4164">
      <c r="A4164" s="14">
        <v>716.0</v>
      </c>
      <c r="B4164" s="14">
        <v>6.6636344E7</v>
      </c>
      <c r="C4164" s="14">
        <v>2.72700596E8</v>
      </c>
      <c r="D4164" s="2" t="s">
        <v>2411</v>
      </c>
      <c r="E4164" s="1" t="s">
        <v>107</v>
      </c>
      <c r="F4164" s="14">
        <v>-0.2746</v>
      </c>
      <c r="G4164" s="15"/>
      <c r="H4164" s="16"/>
      <c r="I4164" s="14"/>
    </row>
    <row r="4165">
      <c r="A4165" s="14">
        <v>587.0</v>
      </c>
      <c r="B4165" s="14">
        <v>8.2230485E7</v>
      </c>
      <c r="C4165" s="14">
        <v>3.44651351E8</v>
      </c>
      <c r="D4165" s="2" t="s">
        <v>1617</v>
      </c>
      <c r="E4165" s="1" t="s">
        <v>121</v>
      </c>
      <c r="F4165" s="14">
        <v>-0.2748</v>
      </c>
      <c r="G4165" s="15"/>
      <c r="H4165" s="16"/>
      <c r="I4165" s="14"/>
    </row>
    <row r="4166">
      <c r="A4166" s="14">
        <v>395.0</v>
      </c>
      <c r="B4166" s="14">
        <v>4.9042077E7</v>
      </c>
      <c r="C4166" s="14">
        <v>1.94008322E8</v>
      </c>
      <c r="D4166" s="2" t="s">
        <v>3055</v>
      </c>
      <c r="E4166" s="1" t="s">
        <v>699</v>
      </c>
      <c r="F4166" s="14">
        <v>-0.2755</v>
      </c>
      <c r="G4166" s="15"/>
      <c r="H4166" s="16"/>
      <c r="I4166" s="14"/>
    </row>
    <row r="4167">
      <c r="A4167" s="14">
        <v>194.0</v>
      </c>
      <c r="B4167" s="14">
        <v>8.6306185E7</v>
      </c>
      <c r="C4167" s="14">
        <v>3.64613495E8</v>
      </c>
      <c r="D4167" s="2" t="s">
        <v>1343</v>
      </c>
      <c r="E4167" s="1" t="s">
        <v>699</v>
      </c>
      <c r="F4167" s="14">
        <v>-0.2755</v>
      </c>
      <c r="G4167" s="15"/>
      <c r="H4167" s="16"/>
      <c r="I4167" s="14"/>
    </row>
    <row r="4168">
      <c r="A4168" s="14">
        <v>244.0</v>
      </c>
      <c r="B4168" s="14">
        <v>3471016.0</v>
      </c>
      <c r="C4168" s="14">
        <v>1.04838954E8</v>
      </c>
      <c r="D4168" s="2" t="s">
        <v>4925</v>
      </c>
      <c r="E4168" s="1" t="s">
        <v>121</v>
      </c>
      <c r="F4168" s="14">
        <v>-0.2755</v>
      </c>
      <c r="G4168" s="15"/>
      <c r="H4168" s="16"/>
      <c r="I4168" s="14"/>
    </row>
    <row r="4169">
      <c r="A4169" s="14">
        <v>414.0</v>
      </c>
      <c r="B4169" s="14">
        <v>4.1150438E7</v>
      </c>
      <c r="C4169" s="14">
        <v>1.62906673E8</v>
      </c>
      <c r="D4169" s="2" t="s">
        <v>3352</v>
      </c>
      <c r="E4169" s="1" t="s">
        <v>121</v>
      </c>
      <c r="F4169" s="14">
        <v>-0.2755</v>
      </c>
      <c r="G4169" s="15"/>
      <c r="H4169" s="16"/>
      <c r="I4169" s="14"/>
    </row>
    <row r="4170">
      <c r="A4170" s="14">
        <v>571.0</v>
      </c>
      <c r="B4170" s="14">
        <v>1713862.0</v>
      </c>
      <c r="C4170" s="14">
        <v>1.52727891E8</v>
      </c>
      <c r="D4170" s="2" t="s">
        <v>5065</v>
      </c>
      <c r="E4170" s="1" t="s">
        <v>121</v>
      </c>
      <c r="F4170" s="14">
        <v>-0.2846</v>
      </c>
      <c r="G4170" s="15"/>
      <c r="H4170" s="16"/>
      <c r="I4170" s="14"/>
    </row>
    <row r="4171">
      <c r="A4171" s="14">
        <v>601.0</v>
      </c>
      <c r="B4171" s="14">
        <v>8940065.0</v>
      </c>
      <c r="C4171" s="14">
        <v>3.7851216E7</v>
      </c>
      <c r="D4171" s="2" t="s">
        <v>4476</v>
      </c>
      <c r="E4171" s="1" t="s">
        <v>121</v>
      </c>
      <c r="F4171" s="14">
        <v>-0.2846</v>
      </c>
      <c r="G4171" s="15"/>
      <c r="H4171" s="16"/>
      <c r="I4171" s="14"/>
    </row>
    <row r="4172">
      <c r="A4172" s="14">
        <v>380.0</v>
      </c>
      <c r="B4172" s="14">
        <v>7.89398E7</v>
      </c>
      <c r="C4172" s="14">
        <v>3.29551538E8</v>
      </c>
      <c r="D4172" s="2" t="s">
        <v>1802</v>
      </c>
      <c r="E4172" s="1" t="s">
        <v>121</v>
      </c>
      <c r="F4172" s="14">
        <v>-0.2863</v>
      </c>
      <c r="G4172" s="15"/>
      <c r="H4172" s="16"/>
      <c r="I4172" s="14"/>
    </row>
    <row r="4173">
      <c r="A4173" s="14">
        <v>601.0</v>
      </c>
      <c r="B4173" s="14">
        <v>6659486.0</v>
      </c>
      <c r="C4173" s="14">
        <v>7.0368002E7</v>
      </c>
      <c r="D4173" s="2" t="s">
        <v>4649</v>
      </c>
      <c r="E4173" s="1" t="s">
        <v>121</v>
      </c>
      <c r="F4173" s="14">
        <v>-0.2924</v>
      </c>
      <c r="G4173" s="15"/>
      <c r="H4173" s="16"/>
      <c r="I4173" s="14"/>
    </row>
    <row r="4174">
      <c r="A4174" s="14">
        <v>531.0</v>
      </c>
      <c r="B4174" s="14">
        <v>1.04486336E8</v>
      </c>
      <c r="C4174" s="14">
        <v>4.5001058E8</v>
      </c>
      <c r="D4174" s="2" t="s">
        <v>363</v>
      </c>
      <c r="E4174" s="1" t="s">
        <v>121</v>
      </c>
      <c r="F4174" s="14">
        <v>-0.2942</v>
      </c>
      <c r="G4174" s="15"/>
      <c r="H4174" s="16"/>
      <c r="I4174" s="14"/>
    </row>
    <row r="4175">
      <c r="A4175" s="14">
        <v>716.0</v>
      </c>
      <c r="B4175" s="14">
        <v>2.5068475E7</v>
      </c>
      <c r="C4175" s="14">
        <v>1.01870094E8</v>
      </c>
      <c r="D4175" s="2" t="s">
        <v>3728</v>
      </c>
      <c r="E4175" s="1" t="s">
        <v>121</v>
      </c>
      <c r="F4175" s="14">
        <v>-0.2952</v>
      </c>
      <c r="G4175" s="15"/>
      <c r="H4175" s="16"/>
      <c r="I4175" s="14"/>
    </row>
    <row r="4176">
      <c r="A4176" s="14">
        <v>353.0</v>
      </c>
      <c r="B4176" s="14">
        <v>9669663.0</v>
      </c>
      <c r="C4176" s="14">
        <v>4.1001428E7</v>
      </c>
      <c r="D4176" s="2" t="s">
        <v>4415</v>
      </c>
      <c r="E4176" s="1" t="s">
        <v>699</v>
      </c>
      <c r="F4176" s="14">
        <v>-0.296</v>
      </c>
      <c r="G4176" s="15"/>
      <c r="H4176" s="16"/>
      <c r="I4176" s="14"/>
    </row>
    <row r="4177">
      <c r="A4177" s="14">
        <v>571.0</v>
      </c>
      <c r="B4177" s="14">
        <v>1.7102431E7</v>
      </c>
      <c r="C4177" s="14">
        <v>7.2502735E7</v>
      </c>
      <c r="D4177" s="2" t="s">
        <v>3969</v>
      </c>
      <c r="E4177" s="1" t="s">
        <v>699</v>
      </c>
      <c r="F4177" s="14">
        <v>-0.296</v>
      </c>
      <c r="G4177" s="15"/>
      <c r="H4177" s="16"/>
      <c r="I4177" s="14"/>
    </row>
    <row r="4178">
      <c r="A4178" s="14">
        <v>244.0</v>
      </c>
      <c r="B4178" s="14">
        <v>1.8186694E7</v>
      </c>
      <c r="C4178" s="14">
        <v>1.46592945E8</v>
      </c>
      <c r="D4178" s="2" t="s">
        <v>3927</v>
      </c>
      <c r="E4178" s="1" t="s">
        <v>699</v>
      </c>
      <c r="F4178" s="14">
        <v>-0.296</v>
      </c>
      <c r="G4178" s="15"/>
      <c r="H4178" s="16"/>
      <c r="I4178" s="14"/>
    </row>
    <row r="4179">
      <c r="A4179" s="14">
        <v>194.0</v>
      </c>
      <c r="B4179" s="14">
        <v>3.0294498E7</v>
      </c>
      <c r="C4179" s="14">
        <v>1.21528553E8</v>
      </c>
      <c r="D4179" s="2" t="s">
        <v>3579</v>
      </c>
      <c r="E4179" s="1" t="s">
        <v>699</v>
      </c>
      <c r="F4179" s="14">
        <v>-0.296</v>
      </c>
      <c r="G4179" s="15"/>
      <c r="H4179" s="16"/>
      <c r="I4179" s="14"/>
    </row>
    <row r="4180">
      <c r="A4180" s="14">
        <v>522.0</v>
      </c>
      <c r="B4180" s="14">
        <v>3.6295245E7</v>
      </c>
      <c r="C4180" s="14">
        <v>1.44645041E8</v>
      </c>
      <c r="D4180" s="2" t="s">
        <v>3462</v>
      </c>
      <c r="E4180" s="1" t="s">
        <v>699</v>
      </c>
      <c r="F4180" s="14">
        <v>-0.296</v>
      </c>
      <c r="G4180" s="15"/>
      <c r="H4180" s="16"/>
      <c r="I4180" s="14"/>
    </row>
    <row r="4181">
      <c r="A4181" s="14">
        <v>674.0</v>
      </c>
      <c r="B4181" s="14">
        <v>4.6623708E7</v>
      </c>
      <c r="C4181" s="14">
        <v>1.84291422E8</v>
      </c>
      <c r="D4181" s="2" t="s">
        <v>3179</v>
      </c>
      <c r="E4181" s="1" t="s">
        <v>699</v>
      </c>
      <c r="F4181" s="14">
        <v>-0.296</v>
      </c>
      <c r="G4181" s="15"/>
      <c r="H4181" s="16"/>
      <c r="I4181" s="14"/>
    </row>
    <row r="4182">
      <c r="A4182" s="14">
        <v>696.0</v>
      </c>
      <c r="B4182" s="14">
        <v>6.6234666E7</v>
      </c>
      <c r="C4182" s="14">
        <v>2.70465803E8</v>
      </c>
      <c r="D4182" s="2" t="s">
        <v>2423</v>
      </c>
      <c r="E4182" s="1" t="s">
        <v>699</v>
      </c>
      <c r="F4182" s="14">
        <v>-0.296</v>
      </c>
      <c r="G4182" s="15"/>
      <c r="H4182" s="16"/>
      <c r="I4182" s="14"/>
    </row>
    <row r="4183">
      <c r="A4183" s="14">
        <v>492.0</v>
      </c>
      <c r="B4183" s="14">
        <v>7.2956064E7</v>
      </c>
      <c r="C4183" s="14">
        <v>3.01690312E8</v>
      </c>
      <c r="D4183" s="2" t="s">
        <v>2085</v>
      </c>
      <c r="E4183" s="1" t="s">
        <v>699</v>
      </c>
      <c r="F4183" s="14">
        <v>-0.296</v>
      </c>
      <c r="G4183" s="15"/>
      <c r="H4183" s="16"/>
      <c r="I4183" s="14"/>
    </row>
    <row r="4184">
      <c r="A4184" s="14">
        <v>644.0</v>
      </c>
      <c r="B4184" s="14">
        <v>8.3717381E7</v>
      </c>
      <c r="C4184" s="14">
        <v>3.51538616E8</v>
      </c>
      <c r="D4184" s="2" t="s">
        <v>1531</v>
      </c>
      <c r="E4184" s="1" t="s">
        <v>699</v>
      </c>
      <c r="F4184" s="14">
        <v>-0.296</v>
      </c>
      <c r="G4184" s="15"/>
      <c r="H4184" s="16"/>
      <c r="I4184" s="14"/>
    </row>
    <row r="4185">
      <c r="A4185" s="14">
        <v>173.0</v>
      </c>
      <c r="B4185" s="14">
        <v>8.3963441E7</v>
      </c>
      <c r="C4185" s="14">
        <v>3.52824215E8</v>
      </c>
      <c r="D4185" s="2" t="s">
        <v>1513</v>
      </c>
      <c r="E4185" s="1" t="s">
        <v>699</v>
      </c>
      <c r="F4185" s="14">
        <v>-0.296</v>
      </c>
      <c r="G4185" s="15"/>
      <c r="H4185" s="16"/>
      <c r="I4185" s="14"/>
    </row>
    <row r="4186">
      <c r="A4186" s="14">
        <v>317.0</v>
      </c>
      <c r="B4186" s="14">
        <v>9.1635441E7</v>
      </c>
      <c r="C4186" s="14">
        <v>4.59578739E8</v>
      </c>
      <c r="D4186" s="2" t="s">
        <v>1050</v>
      </c>
      <c r="E4186" s="1" t="s">
        <v>699</v>
      </c>
      <c r="F4186" s="14">
        <v>-0.296</v>
      </c>
      <c r="G4186" s="15"/>
      <c r="H4186" s="16"/>
      <c r="I4186" s="14"/>
    </row>
    <row r="4187">
      <c r="A4187" s="14">
        <v>492.0</v>
      </c>
      <c r="B4187" s="14">
        <v>9.8998233E7</v>
      </c>
      <c r="C4187" s="14">
        <v>4.24065076E8</v>
      </c>
      <c r="D4187" s="2" t="s">
        <v>651</v>
      </c>
      <c r="E4187" s="1" t="s">
        <v>699</v>
      </c>
      <c r="F4187" s="14">
        <v>-0.296</v>
      </c>
      <c r="G4187" s="15"/>
      <c r="H4187" s="16"/>
      <c r="I4187" s="14"/>
    </row>
    <row r="4188">
      <c r="A4188" s="14">
        <v>455.0</v>
      </c>
      <c r="B4188" s="14">
        <v>1.02465035E8</v>
      </c>
      <c r="C4188" s="14">
        <v>4.40137092E8</v>
      </c>
      <c r="D4188" s="2" t="s">
        <v>439</v>
      </c>
      <c r="E4188" s="1" t="s">
        <v>699</v>
      </c>
      <c r="F4188" s="14">
        <v>-0.296</v>
      </c>
      <c r="G4188" s="15"/>
      <c r="H4188" s="16"/>
      <c r="I4188" s="14"/>
    </row>
    <row r="4189">
      <c r="A4189" s="14">
        <v>129.0</v>
      </c>
      <c r="B4189" s="14">
        <v>422671.0</v>
      </c>
      <c r="C4189" s="14">
        <v>1924031.0</v>
      </c>
      <c r="D4189" s="2" t="s">
        <v>5161</v>
      </c>
      <c r="E4189" s="1" t="s">
        <v>121</v>
      </c>
      <c r="F4189" s="14">
        <v>-0.296</v>
      </c>
      <c r="G4189" s="15"/>
      <c r="H4189" s="16"/>
      <c r="I4189" s="14"/>
    </row>
    <row r="4190">
      <c r="A4190" s="14">
        <v>339.0</v>
      </c>
      <c r="B4190" s="14">
        <v>737045.0</v>
      </c>
      <c r="C4190" s="14">
        <v>3544872.0</v>
      </c>
      <c r="D4190" s="2" t="s">
        <v>5148</v>
      </c>
      <c r="E4190" s="1" t="s">
        <v>121</v>
      </c>
      <c r="F4190" s="14">
        <v>-0.296</v>
      </c>
      <c r="G4190" s="15"/>
      <c r="H4190" s="16"/>
      <c r="I4190" s="14"/>
    </row>
    <row r="4191">
      <c r="A4191" s="14">
        <v>401.0</v>
      </c>
      <c r="B4191" s="14">
        <v>1118717.0</v>
      </c>
      <c r="C4191" s="14">
        <v>5045418.0</v>
      </c>
      <c r="D4191" s="2" t="s">
        <v>5132</v>
      </c>
      <c r="E4191" s="1" t="s">
        <v>121</v>
      </c>
      <c r="F4191" s="14">
        <v>-0.296</v>
      </c>
      <c r="G4191" s="15"/>
      <c r="H4191" s="16"/>
      <c r="I4191" s="14"/>
    </row>
    <row r="4192">
      <c r="A4192" s="14">
        <v>321.0</v>
      </c>
      <c r="B4192" s="14">
        <v>1704346.0</v>
      </c>
      <c r="C4192" s="14">
        <v>7441449.0</v>
      </c>
      <c r="D4192" s="2" t="s">
        <v>5068</v>
      </c>
      <c r="E4192" s="1" t="s">
        <v>121</v>
      </c>
      <c r="F4192" s="14">
        <v>-0.296</v>
      </c>
      <c r="G4192" s="15"/>
      <c r="H4192" s="16"/>
      <c r="I4192" s="14"/>
    </row>
    <row r="4193">
      <c r="A4193" s="14">
        <v>141.0</v>
      </c>
      <c r="B4193" s="14">
        <v>2772526.0</v>
      </c>
      <c r="C4193" s="14">
        <v>1.1733032E7</v>
      </c>
      <c r="D4193" s="2" t="s">
        <v>4997</v>
      </c>
      <c r="E4193" s="1" t="s">
        <v>121</v>
      </c>
      <c r="F4193" s="14">
        <v>-0.296</v>
      </c>
      <c r="G4193" s="15"/>
      <c r="H4193" s="16"/>
      <c r="I4193" s="14"/>
    </row>
    <row r="4194">
      <c r="A4194" s="14">
        <v>410.0</v>
      </c>
      <c r="B4194" s="14">
        <v>3060147.0</v>
      </c>
      <c r="C4194" s="14">
        <v>4.0461651E7</v>
      </c>
      <c r="D4194" s="2" t="s">
        <v>4968</v>
      </c>
      <c r="E4194" s="1" t="s">
        <v>121</v>
      </c>
      <c r="F4194" s="14">
        <v>-0.296</v>
      </c>
      <c r="G4194" s="15"/>
      <c r="H4194" s="16"/>
      <c r="I4194" s="14"/>
    </row>
    <row r="4195">
      <c r="A4195" s="14">
        <v>667.0</v>
      </c>
      <c r="B4195" s="14">
        <v>4966739.0</v>
      </c>
      <c r="C4195" s="14">
        <v>2.1090745E7</v>
      </c>
      <c r="D4195" s="2" t="s">
        <v>4798</v>
      </c>
      <c r="E4195" s="1" t="s">
        <v>121</v>
      </c>
      <c r="F4195" s="14">
        <v>-0.296</v>
      </c>
      <c r="G4195" s="15"/>
      <c r="H4195" s="16"/>
      <c r="I4195" s="14"/>
    </row>
    <row r="4196">
      <c r="A4196" s="14">
        <v>678.0</v>
      </c>
      <c r="B4196" s="14">
        <v>5207682.0</v>
      </c>
      <c r="C4196" s="14">
        <v>2.2203644E7</v>
      </c>
      <c r="D4196" s="2" t="s">
        <v>4779</v>
      </c>
      <c r="E4196" s="1" t="s">
        <v>121</v>
      </c>
      <c r="F4196" s="14">
        <v>-0.296</v>
      </c>
      <c r="G4196" s="15"/>
      <c r="H4196" s="16"/>
      <c r="I4196" s="14"/>
    </row>
    <row r="4197">
      <c r="A4197" s="14">
        <v>627.0</v>
      </c>
      <c r="B4197" s="14">
        <v>5956125.0</v>
      </c>
      <c r="C4197" s="14">
        <v>2.5427872E7</v>
      </c>
      <c r="D4197" s="2" t="s">
        <v>4712</v>
      </c>
      <c r="E4197" s="1" t="s">
        <v>121</v>
      </c>
      <c r="F4197" s="14">
        <v>-0.296</v>
      </c>
      <c r="G4197" s="15"/>
      <c r="H4197" s="16"/>
      <c r="I4197" s="14"/>
    </row>
    <row r="4198">
      <c r="A4198" s="14">
        <v>406.0</v>
      </c>
      <c r="B4198" s="14">
        <v>6878140.0</v>
      </c>
      <c r="C4198" s="14">
        <v>2.9366067E7</v>
      </c>
      <c r="D4198" s="2" t="s">
        <v>4626</v>
      </c>
      <c r="E4198" s="1" t="s">
        <v>121</v>
      </c>
      <c r="F4198" s="14">
        <v>-0.296</v>
      </c>
      <c r="G4198" s="15"/>
      <c r="H4198" s="16"/>
      <c r="I4198" s="14"/>
    </row>
    <row r="4199">
      <c r="A4199" s="14">
        <v>715.0</v>
      </c>
      <c r="B4199" s="14">
        <v>7754796.0</v>
      </c>
      <c r="C4199" s="14">
        <v>3.293916E7</v>
      </c>
      <c r="D4199" s="2" t="s">
        <v>4560</v>
      </c>
      <c r="E4199" s="1" t="s">
        <v>121</v>
      </c>
      <c r="F4199" s="14">
        <v>-0.296</v>
      </c>
      <c r="G4199" s="15"/>
      <c r="H4199" s="16"/>
      <c r="I4199" s="14"/>
    </row>
    <row r="4200">
      <c r="A4200" s="14">
        <v>459.0</v>
      </c>
      <c r="B4200" s="14">
        <v>1.0148629E7</v>
      </c>
      <c r="C4200" s="14">
        <v>4.3108834E7</v>
      </c>
      <c r="D4200" s="2" t="s">
        <v>4388</v>
      </c>
      <c r="E4200" s="1" t="s">
        <v>121</v>
      </c>
      <c r="F4200" s="14">
        <v>-0.296</v>
      </c>
      <c r="G4200" s="15"/>
      <c r="H4200" s="16"/>
      <c r="I4200" s="14"/>
    </row>
    <row r="4201">
      <c r="A4201" s="14">
        <v>601.0</v>
      </c>
      <c r="B4201" s="14">
        <v>1.3199206E7</v>
      </c>
      <c r="C4201" s="14">
        <v>5.6050744E7</v>
      </c>
      <c r="D4201" s="2" t="s">
        <v>4197</v>
      </c>
      <c r="E4201" s="1" t="s">
        <v>121</v>
      </c>
      <c r="F4201" s="14">
        <v>-0.296</v>
      </c>
      <c r="G4201" s="15"/>
      <c r="H4201" s="16"/>
      <c r="I4201" s="14"/>
    </row>
    <row r="4202">
      <c r="A4202" s="14">
        <v>571.0</v>
      </c>
      <c r="B4202" s="14">
        <v>1.4793543E7</v>
      </c>
      <c r="C4202" s="14">
        <v>6.302302E7</v>
      </c>
      <c r="D4202" s="2" t="s">
        <v>4117</v>
      </c>
      <c r="E4202" s="1" t="s">
        <v>121</v>
      </c>
      <c r="F4202" s="14">
        <v>-0.296</v>
      </c>
      <c r="G4202" s="15"/>
      <c r="H4202" s="16"/>
      <c r="I4202" s="14"/>
    </row>
    <row r="4203">
      <c r="A4203" s="14">
        <v>624.0</v>
      </c>
      <c r="B4203" s="14">
        <v>1.6297683E7</v>
      </c>
      <c r="C4203" s="14">
        <v>6.9105845E7</v>
      </c>
      <c r="D4203" s="2" t="s">
        <v>4011</v>
      </c>
      <c r="E4203" s="1" t="s">
        <v>121</v>
      </c>
      <c r="F4203" s="14">
        <v>-0.296</v>
      </c>
      <c r="G4203" s="15"/>
      <c r="H4203" s="16"/>
      <c r="I4203" s="14"/>
    </row>
    <row r="4204">
      <c r="A4204" s="14">
        <v>410.0</v>
      </c>
      <c r="B4204" s="14">
        <v>1.8735776E7</v>
      </c>
      <c r="C4204" s="14">
        <v>7.8586019E7</v>
      </c>
      <c r="D4204" s="2" t="s">
        <v>3908</v>
      </c>
      <c r="E4204" s="1" t="s">
        <v>121</v>
      </c>
      <c r="F4204" s="14">
        <v>-0.296</v>
      </c>
      <c r="G4204" s="15"/>
      <c r="H4204" s="16"/>
      <c r="I4204" s="14"/>
    </row>
    <row r="4205">
      <c r="A4205" s="14">
        <v>353.0</v>
      </c>
      <c r="B4205" s="14">
        <v>2.3475522E7</v>
      </c>
      <c r="C4205" s="14">
        <v>9.659448E7</v>
      </c>
      <c r="D4205" s="2" t="s">
        <v>3765</v>
      </c>
      <c r="E4205" s="1" t="s">
        <v>121</v>
      </c>
      <c r="F4205" s="14">
        <v>-0.296</v>
      </c>
      <c r="G4205" s="15"/>
      <c r="H4205" s="16"/>
      <c r="I4205" s="14"/>
    </row>
    <row r="4206">
      <c r="A4206" s="14">
        <v>378.0</v>
      </c>
      <c r="B4206" s="14">
        <v>2.4930355E7</v>
      </c>
      <c r="C4206" s="14">
        <v>1.01523717E8</v>
      </c>
      <c r="D4206" s="2" t="s">
        <v>3730</v>
      </c>
      <c r="E4206" s="1" t="s">
        <v>121</v>
      </c>
      <c r="F4206" s="14">
        <v>-0.296</v>
      </c>
      <c r="G4206" s="15"/>
      <c r="H4206" s="16"/>
      <c r="I4206" s="14"/>
    </row>
    <row r="4207">
      <c r="A4207" s="14">
        <v>380.0</v>
      </c>
      <c r="B4207" s="14">
        <v>2.6105843E7</v>
      </c>
      <c r="C4207" s="14">
        <v>1.05882509E8</v>
      </c>
      <c r="D4207" s="2" t="s">
        <v>3703</v>
      </c>
      <c r="E4207" s="1" t="s">
        <v>121</v>
      </c>
      <c r="F4207" s="14">
        <v>-0.296</v>
      </c>
      <c r="G4207" s="15"/>
      <c r="H4207" s="16"/>
      <c r="I4207" s="14"/>
    </row>
    <row r="4208">
      <c r="A4208" s="14">
        <v>571.0</v>
      </c>
      <c r="B4208" s="14">
        <v>2.9457892E7</v>
      </c>
      <c r="C4208" s="14">
        <v>1.18588628E8</v>
      </c>
      <c r="D4208" s="2" t="s">
        <v>3603</v>
      </c>
      <c r="E4208" s="1" t="s">
        <v>121</v>
      </c>
      <c r="F4208" s="14">
        <v>-0.296</v>
      </c>
      <c r="G4208" s="15"/>
      <c r="H4208" s="16"/>
      <c r="I4208" s="14"/>
    </row>
    <row r="4209">
      <c r="A4209" s="14">
        <v>129.0</v>
      </c>
      <c r="B4209" s="14">
        <v>3.1357449E7</v>
      </c>
      <c r="C4209" s="14">
        <v>4.21961263E8</v>
      </c>
      <c r="D4209" s="2" t="s">
        <v>3557</v>
      </c>
      <c r="E4209" s="1" t="s">
        <v>121</v>
      </c>
      <c r="F4209" s="14">
        <v>-0.296</v>
      </c>
      <c r="G4209" s="15"/>
      <c r="H4209" s="16"/>
      <c r="I4209" s="14"/>
    </row>
    <row r="4210">
      <c r="A4210" s="14">
        <v>610.0</v>
      </c>
      <c r="B4210" s="14">
        <v>3.1938453E7</v>
      </c>
      <c r="C4210" s="14">
        <v>1.28030237E8</v>
      </c>
      <c r="D4210" s="2" t="s">
        <v>3542</v>
      </c>
      <c r="E4210" s="1" t="s">
        <v>121</v>
      </c>
      <c r="F4210" s="14">
        <v>-0.296</v>
      </c>
      <c r="G4210" s="15"/>
      <c r="H4210" s="16"/>
      <c r="I4210" s="14"/>
    </row>
    <row r="4211">
      <c r="A4211" s="14">
        <v>602.0</v>
      </c>
      <c r="B4211" s="14">
        <v>3.2199115E7</v>
      </c>
      <c r="C4211" s="14">
        <v>4.33023575E8</v>
      </c>
      <c r="D4211" s="2" t="s">
        <v>3533</v>
      </c>
      <c r="E4211" s="1" t="s">
        <v>121</v>
      </c>
      <c r="F4211" s="14">
        <v>-0.296</v>
      </c>
      <c r="G4211" s="15"/>
      <c r="H4211" s="16"/>
      <c r="I4211" s="14"/>
    </row>
    <row r="4212">
      <c r="A4212" s="14">
        <v>484.0</v>
      </c>
      <c r="B4212" s="14">
        <v>4.8756029E7</v>
      </c>
      <c r="C4212" s="14">
        <v>1.92923262E8</v>
      </c>
      <c r="D4212" s="2" t="s">
        <v>3064</v>
      </c>
      <c r="E4212" s="1" t="s">
        <v>121</v>
      </c>
      <c r="F4212" s="14">
        <v>-0.296</v>
      </c>
      <c r="G4212" s="15"/>
      <c r="H4212" s="16"/>
      <c r="I4212" s="14"/>
    </row>
    <row r="4213">
      <c r="A4213" s="14">
        <v>668.0</v>
      </c>
      <c r="B4213" s="14">
        <v>5.0957967E7</v>
      </c>
      <c r="C4213" s="14">
        <v>2.01876936E8</v>
      </c>
      <c r="D4213" s="2" t="s">
        <v>2990</v>
      </c>
      <c r="E4213" s="1" t="s">
        <v>121</v>
      </c>
      <c r="F4213" s="14">
        <v>-0.296</v>
      </c>
      <c r="G4213" s="15"/>
      <c r="H4213" s="16"/>
      <c r="I4213" s="14"/>
    </row>
    <row r="4214">
      <c r="A4214" s="14">
        <v>129.0</v>
      </c>
      <c r="B4214" s="14">
        <v>6.2957006E7</v>
      </c>
      <c r="C4214" s="14">
        <v>2.54818886E8</v>
      </c>
      <c r="D4214" s="2" t="s">
        <v>2573</v>
      </c>
      <c r="E4214" s="1" t="s">
        <v>121</v>
      </c>
      <c r="F4214" s="14">
        <v>-0.296</v>
      </c>
      <c r="G4214" s="15"/>
      <c r="H4214" s="16"/>
      <c r="I4214" s="14"/>
    </row>
    <row r="4215">
      <c r="A4215" s="14">
        <v>586.0</v>
      </c>
      <c r="B4215" s="14">
        <v>6.354795E7</v>
      </c>
      <c r="C4215" s="14">
        <v>2.57692384E8</v>
      </c>
      <c r="D4215" s="2" t="s">
        <v>2546</v>
      </c>
      <c r="E4215" s="1" t="s">
        <v>121</v>
      </c>
      <c r="F4215" s="14">
        <v>-0.296</v>
      </c>
      <c r="G4215" s="15"/>
      <c r="H4215" s="16"/>
      <c r="I4215" s="14"/>
    </row>
    <row r="4216">
      <c r="A4216" s="14">
        <v>215.0</v>
      </c>
      <c r="B4216" s="14">
        <v>7.0054409E7</v>
      </c>
      <c r="C4216" s="14">
        <v>2.88840944E8</v>
      </c>
      <c r="D4216" s="2" t="s">
        <v>2219</v>
      </c>
      <c r="E4216" s="1" t="s">
        <v>121</v>
      </c>
      <c r="F4216" s="14">
        <v>-0.296</v>
      </c>
      <c r="G4216" s="15"/>
      <c r="H4216" s="16"/>
      <c r="I4216" s="14"/>
    </row>
    <row r="4217">
      <c r="A4217" s="14">
        <v>715.0</v>
      </c>
      <c r="B4217" s="14">
        <v>7.017699E7</v>
      </c>
      <c r="C4217" s="14">
        <v>2.89241876E8</v>
      </c>
      <c r="D4217" s="2" t="s">
        <v>2212</v>
      </c>
      <c r="E4217" s="1" t="s">
        <v>121</v>
      </c>
      <c r="F4217" s="14">
        <v>-0.296</v>
      </c>
      <c r="G4217" s="15"/>
      <c r="H4217" s="16"/>
      <c r="I4217" s="14"/>
    </row>
    <row r="4218">
      <c r="A4218" s="14">
        <v>129.0</v>
      </c>
      <c r="B4218" s="14">
        <v>7.1672595E7</v>
      </c>
      <c r="C4218" s="14">
        <v>3.28421866E8</v>
      </c>
      <c r="D4218" s="2" t="s">
        <v>2144</v>
      </c>
      <c r="E4218" s="1" t="s">
        <v>121</v>
      </c>
      <c r="F4218" s="14">
        <v>-0.296</v>
      </c>
      <c r="G4218" s="15"/>
      <c r="H4218" s="16"/>
      <c r="I4218" s="14"/>
    </row>
    <row r="4219">
      <c r="A4219" s="14">
        <v>719.0</v>
      </c>
      <c r="B4219" s="14">
        <v>7.6750955E7</v>
      </c>
      <c r="C4219" s="14">
        <v>3.18864097E8</v>
      </c>
      <c r="D4219" s="2" t="s">
        <v>1930</v>
      </c>
      <c r="E4219" s="1" t="s">
        <v>121</v>
      </c>
      <c r="F4219" s="14">
        <v>-0.296</v>
      </c>
      <c r="G4219" s="15"/>
      <c r="H4219" s="16"/>
      <c r="I4219" s="14"/>
    </row>
    <row r="4220">
      <c r="A4220" s="14">
        <v>571.0</v>
      </c>
      <c r="B4220" s="14">
        <v>8.1830136E7</v>
      </c>
      <c r="C4220" s="14">
        <v>3.42672971E8</v>
      </c>
      <c r="D4220" s="2" t="s">
        <v>1650</v>
      </c>
      <c r="E4220" s="1" t="s">
        <v>121</v>
      </c>
      <c r="F4220" s="14">
        <v>-0.296</v>
      </c>
      <c r="G4220" s="15"/>
      <c r="H4220" s="16"/>
      <c r="I4220" s="14"/>
    </row>
    <row r="4221">
      <c r="A4221" s="14">
        <v>661.0</v>
      </c>
      <c r="B4221" s="14">
        <v>8.254391E7</v>
      </c>
      <c r="C4221" s="14">
        <v>3.4610627E8</v>
      </c>
      <c r="D4221" s="2" t="s">
        <v>1596</v>
      </c>
      <c r="E4221" s="1" t="s">
        <v>121</v>
      </c>
      <c r="F4221" s="14">
        <v>-0.296</v>
      </c>
      <c r="G4221" s="15"/>
      <c r="H4221" s="16"/>
      <c r="I4221" s="14"/>
    </row>
    <row r="4222">
      <c r="A4222" s="14">
        <v>654.0</v>
      </c>
      <c r="B4222" s="14">
        <v>8.5203957E7</v>
      </c>
      <c r="C4222" s="14">
        <v>3.5955366E8</v>
      </c>
      <c r="D4222" s="2" t="s">
        <v>1414</v>
      </c>
      <c r="E4222" s="1" t="s">
        <v>121</v>
      </c>
      <c r="F4222" s="14">
        <v>-0.296</v>
      </c>
      <c r="G4222" s="15"/>
      <c r="H4222" s="16"/>
      <c r="I4222" s="14"/>
    </row>
    <row r="4223">
      <c r="A4223" s="14">
        <v>421.0</v>
      </c>
      <c r="B4223" s="14">
        <v>8.5923256E7</v>
      </c>
      <c r="C4223" s="14">
        <v>3.62483111E8</v>
      </c>
      <c r="D4223" s="2" t="s">
        <v>1374</v>
      </c>
      <c r="E4223" s="1" t="s">
        <v>121</v>
      </c>
      <c r="F4223" s="14">
        <v>-0.296</v>
      </c>
      <c r="G4223" s="15"/>
      <c r="H4223" s="16"/>
      <c r="I4223" s="14"/>
    </row>
    <row r="4224">
      <c r="A4224" s="14">
        <v>471.0</v>
      </c>
      <c r="B4224" s="14">
        <v>9.2566182E7</v>
      </c>
      <c r="C4224" s="14">
        <v>3.93106095E8</v>
      </c>
      <c r="D4224" s="2" t="s">
        <v>1001</v>
      </c>
      <c r="E4224" s="1" t="s">
        <v>121</v>
      </c>
      <c r="F4224" s="14">
        <v>-0.296</v>
      </c>
      <c r="G4224" s="15"/>
      <c r="H4224" s="16"/>
      <c r="I4224" s="14"/>
    </row>
    <row r="4225">
      <c r="A4225" s="14">
        <v>522.0</v>
      </c>
      <c r="B4225" s="14">
        <v>9.3744865E7</v>
      </c>
      <c r="C4225" s="14">
        <v>3.98329739E8</v>
      </c>
      <c r="D4225" s="2" t="s">
        <v>944</v>
      </c>
      <c r="E4225" s="1" t="s">
        <v>121</v>
      </c>
      <c r="F4225" s="14">
        <v>-0.296</v>
      </c>
      <c r="G4225" s="15"/>
      <c r="H4225" s="16"/>
      <c r="I4225" s="14"/>
    </row>
    <row r="4226">
      <c r="A4226" s="14">
        <v>403.0</v>
      </c>
      <c r="B4226" s="14">
        <v>9.556344E7</v>
      </c>
      <c r="C4226" s="14">
        <v>4.0697924E8</v>
      </c>
      <c r="D4226" s="2" t="s">
        <v>846</v>
      </c>
      <c r="E4226" s="1" t="s">
        <v>121</v>
      </c>
      <c r="F4226" s="14">
        <v>-0.296</v>
      </c>
      <c r="G4226" s="15"/>
      <c r="H4226" s="16"/>
      <c r="I4226" s="14"/>
    </row>
    <row r="4227">
      <c r="A4227" s="14">
        <v>410.0</v>
      </c>
      <c r="B4227" s="14">
        <v>1.0017643E8</v>
      </c>
      <c r="C4227" s="14">
        <v>4.29268451E8</v>
      </c>
      <c r="D4227" s="2" t="s">
        <v>580</v>
      </c>
      <c r="E4227" s="1" t="s">
        <v>121</v>
      </c>
      <c r="F4227" s="14">
        <v>-0.296</v>
      </c>
      <c r="G4227" s="15"/>
      <c r="H4227" s="16"/>
      <c r="I4227" s="14"/>
    </row>
    <row r="4228">
      <c r="A4228" s="14">
        <v>644.0</v>
      </c>
      <c r="B4228" s="14">
        <v>1.0050005E8</v>
      </c>
      <c r="C4228" s="14">
        <v>4.30681088E8</v>
      </c>
      <c r="D4228" s="2" t="s">
        <v>562</v>
      </c>
      <c r="E4228" s="1" t="s">
        <v>121</v>
      </c>
      <c r="F4228" s="14">
        <v>-0.296</v>
      </c>
      <c r="G4228" s="15"/>
      <c r="H4228" s="16"/>
      <c r="I4228" s="14"/>
    </row>
    <row r="4229">
      <c r="A4229" s="14">
        <v>671.0</v>
      </c>
      <c r="B4229" s="14">
        <v>1.00509403E8</v>
      </c>
      <c r="C4229" s="14">
        <v>4.30651358E8</v>
      </c>
      <c r="D4229" s="2" t="s">
        <v>560</v>
      </c>
      <c r="E4229" s="1" t="s">
        <v>121</v>
      </c>
      <c r="F4229" s="14">
        <v>-0.296</v>
      </c>
      <c r="G4229" s="15"/>
      <c r="H4229" s="16"/>
      <c r="I4229" s="14"/>
    </row>
    <row r="4230">
      <c r="A4230" s="14">
        <v>629.0</v>
      </c>
      <c r="B4230" s="14">
        <v>1.02646856E8</v>
      </c>
      <c r="C4230" s="14">
        <v>4.41190103E8</v>
      </c>
      <c r="D4230" s="2" t="s">
        <v>432</v>
      </c>
      <c r="E4230" s="1" t="s">
        <v>121</v>
      </c>
      <c r="F4230" s="14">
        <v>-0.296</v>
      </c>
      <c r="G4230" s="15"/>
      <c r="H4230" s="16"/>
      <c r="I4230" s="14"/>
    </row>
    <row r="4231">
      <c r="A4231" s="14">
        <v>673.0</v>
      </c>
      <c r="B4231" s="14">
        <v>1.10385847E8</v>
      </c>
      <c r="C4231" s="14">
        <v>4.7812891E8</v>
      </c>
      <c r="D4231" s="2" t="s">
        <v>69</v>
      </c>
      <c r="E4231" s="1" t="s">
        <v>121</v>
      </c>
      <c r="F4231" s="14">
        <v>-0.296</v>
      </c>
      <c r="G4231" s="15"/>
      <c r="H4231" s="16"/>
      <c r="I4231" s="14"/>
    </row>
    <row r="4232">
      <c r="A4232" s="14">
        <v>378.0</v>
      </c>
      <c r="B4232" s="14">
        <v>1.13151122E8</v>
      </c>
      <c r="C4232" s="14">
        <v>4.91725243E8</v>
      </c>
      <c r="D4232" s="2" t="s">
        <v>7</v>
      </c>
      <c r="E4232" s="1" t="s">
        <v>121</v>
      </c>
      <c r="F4232" s="14">
        <v>-0.296</v>
      </c>
      <c r="G4232" s="15"/>
      <c r="H4232" s="16"/>
      <c r="I4232" s="14"/>
    </row>
    <row r="4233">
      <c r="A4233" s="14">
        <v>461.0</v>
      </c>
      <c r="B4233" s="14">
        <v>4.7105879E7</v>
      </c>
      <c r="C4233" s="14">
        <v>1.86026095E8</v>
      </c>
      <c r="D4233" s="2" t="s">
        <v>3149</v>
      </c>
      <c r="E4233" s="1" t="s">
        <v>121</v>
      </c>
      <c r="F4233" s="14">
        <v>-0.2973</v>
      </c>
      <c r="G4233" s="15"/>
      <c r="H4233" s="16"/>
      <c r="I4233" s="14"/>
    </row>
    <row r="4234">
      <c r="A4234" s="14">
        <v>713.0</v>
      </c>
      <c r="B4234" s="14">
        <v>6.7368319E7</v>
      </c>
      <c r="C4234" s="14">
        <v>2.76172497E8</v>
      </c>
      <c r="D4234" s="2" t="s">
        <v>2362</v>
      </c>
      <c r="E4234" s="1" t="s">
        <v>121</v>
      </c>
      <c r="F4234" s="14">
        <v>-0.2982</v>
      </c>
      <c r="G4234" s="15"/>
      <c r="H4234" s="16"/>
      <c r="I4234" s="14"/>
    </row>
    <row r="4235">
      <c r="A4235" s="14">
        <v>210.0</v>
      </c>
      <c r="B4235" s="14">
        <v>1.0533048E8</v>
      </c>
      <c r="C4235" s="14">
        <v>4.53819278E8</v>
      </c>
      <c r="D4235" s="2" t="s">
        <v>334</v>
      </c>
      <c r="E4235" s="1" t="s">
        <v>121</v>
      </c>
      <c r="F4235" s="14">
        <v>-0.3009</v>
      </c>
      <c r="G4235" s="15"/>
      <c r="H4235" s="16"/>
      <c r="I4235" s="14"/>
    </row>
    <row r="4236">
      <c r="A4236" s="14">
        <v>256.0</v>
      </c>
      <c r="B4236" s="14">
        <v>4.1356743E7</v>
      </c>
      <c r="C4236" s="14">
        <v>1.63917541E8</v>
      </c>
      <c r="D4236" s="2" t="s">
        <v>3346</v>
      </c>
      <c r="E4236" s="1" t="s">
        <v>121</v>
      </c>
      <c r="F4236" s="14">
        <v>-0.3025</v>
      </c>
      <c r="G4236" s="15"/>
      <c r="H4236" s="16"/>
      <c r="I4236" s="14"/>
    </row>
    <row r="4237">
      <c r="A4237" s="14">
        <v>320.0</v>
      </c>
      <c r="B4237" s="14">
        <v>1.4324148E7</v>
      </c>
      <c r="C4237" s="14">
        <v>6.0921018E7</v>
      </c>
      <c r="D4237" s="2" t="s">
        <v>4137</v>
      </c>
      <c r="E4237" s="1" t="s">
        <v>107</v>
      </c>
      <c r="F4237" s="14">
        <v>-0.3036</v>
      </c>
      <c r="G4237" s="15"/>
      <c r="H4237" s="16"/>
      <c r="I4237" s="14"/>
    </row>
    <row r="4238">
      <c r="A4238" s="14">
        <v>676.0</v>
      </c>
      <c r="B4238" s="14">
        <v>6.7316933E7</v>
      </c>
      <c r="C4238" s="14">
        <v>2.75901414E8</v>
      </c>
      <c r="D4238" s="2" t="s">
        <v>2367</v>
      </c>
      <c r="E4238" s="1" t="s">
        <v>121</v>
      </c>
      <c r="F4238" s="14">
        <v>-0.3071</v>
      </c>
      <c r="G4238" s="15"/>
      <c r="H4238" s="16"/>
      <c r="I4238" s="14"/>
    </row>
    <row r="4239">
      <c r="A4239" s="14">
        <v>223.0</v>
      </c>
      <c r="B4239" s="14">
        <v>371630.0</v>
      </c>
      <c r="C4239" s="14">
        <v>1618796.0</v>
      </c>
      <c r="D4239" s="2" t="s">
        <v>5165</v>
      </c>
      <c r="E4239" s="1" t="s">
        <v>121</v>
      </c>
      <c r="F4239" s="14">
        <v>-0.3089</v>
      </c>
      <c r="G4239" s="15"/>
      <c r="H4239" s="16"/>
      <c r="I4239" s="14"/>
    </row>
    <row r="4240">
      <c r="A4240" s="14">
        <v>546.0</v>
      </c>
      <c r="B4240" s="14">
        <v>1.0864854E7</v>
      </c>
      <c r="C4240" s="14">
        <v>4.6158598E7</v>
      </c>
      <c r="D4240" s="2" t="s">
        <v>4329</v>
      </c>
      <c r="E4240" s="1" t="s">
        <v>121</v>
      </c>
      <c r="F4240" s="14">
        <v>-0.3089</v>
      </c>
      <c r="G4240" s="15"/>
      <c r="H4240" s="16"/>
      <c r="I4240" s="14"/>
    </row>
    <row r="4241">
      <c r="A4241" s="14">
        <v>702.0</v>
      </c>
      <c r="B4241" s="14">
        <v>2.7436177E7</v>
      </c>
      <c r="C4241" s="14">
        <v>1.14614718E8</v>
      </c>
      <c r="D4241" s="2" t="s">
        <v>3665</v>
      </c>
      <c r="E4241" s="1" t="s">
        <v>121</v>
      </c>
      <c r="F4241" s="14">
        <v>-0.3089</v>
      </c>
      <c r="G4241" s="15"/>
      <c r="H4241" s="16"/>
      <c r="I4241" s="14"/>
    </row>
    <row r="4242">
      <c r="A4242" s="14">
        <v>644.0</v>
      </c>
      <c r="B4242" s="14">
        <v>6.7980814E7</v>
      </c>
      <c r="C4242" s="14">
        <v>2.79190281E8</v>
      </c>
      <c r="D4242" s="2" t="s">
        <v>2345</v>
      </c>
      <c r="E4242" s="1" t="s">
        <v>121</v>
      </c>
      <c r="F4242" s="14">
        <v>-0.3089</v>
      </c>
      <c r="G4242" s="15"/>
      <c r="H4242" s="16"/>
      <c r="I4242" s="14"/>
    </row>
    <row r="4243">
      <c r="A4243" s="14">
        <v>593.0</v>
      </c>
      <c r="B4243" s="14">
        <v>7.7795844E7</v>
      </c>
      <c r="C4243" s="14">
        <v>3.79579221E8</v>
      </c>
      <c r="D4243" s="2" t="s">
        <v>1877</v>
      </c>
      <c r="E4243" s="1" t="s">
        <v>121</v>
      </c>
      <c r="F4243" s="14">
        <v>-0.3089</v>
      </c>
      <c r="G4243" s="15"/>
      <c r="H4243" s="16"/>
      <c r="I4243" s="14"/>
    </row>
    <row r="4244">
      <c r="A4244" s="14">
        <v>664.0</v>
      </c>
      <c r="B4244" s="14">
        <v>1.12829974E8</v>
      </c>
      <c r="C4244" s="14">
        <v>4.90252971E8</v>
      </c>
      <c r="D4244" s="2" t="s">
        <v>17</v>
      </c>
      <c r="E4244" s="1" t="s">
        <v>699</v>
      </c>
      <c r="F4244" s="14">
        <v>-0.3125</v>
      </c>
      <c r="G4244" s="15"/>
      <c r="H4244" s="16"/>
      <c r="I4244" s="14"/>
    </row>
    <row r="4245">
      <c r="A4245" s="14">
        <v>504.0</v>
      </c>
      <c r="B4245" s="14">
        <v>5851315.0</v>
      </c>
      <c r="C4245" s="14">
        <v>4.9023964E7</v>
      </c>
      <c r="D4245" s="2" t="s">
        <v>4713</v>
      </c>
      <c r="E4245" s="1" t="s">
        <v>121</v>
      </c>
      <c r="F4245" s="14">
        <v>-0.3136</v>
      </c>
      <c r="G4245" s="15"/>
      <c r="H4245" s="16"/>
      <c r="I4245" s="14"/>
    </row>
    <row r="4246">
      <c r="A4246" s="14">
        <v>504.0</v>
      </c>
      <c r="B4246" s="14">
        <v>2.3756754E7</v>
      </c>
      <c r="C4246" s="14">
        <v>9.7783023E7</v>
      </c>
      <c r="D4246" s="2" t="s">
        <v>3763</v>
      </c>
      <c r="E4246" s="1" t="s">
        <v>121</v>
      </c>
      <c r="F4246" s="14">
        <v>-0.3145</v>
      </c>
      <c r="G4246" s="15"/>
      <c r="H4246" s="16"/>
      <c r="I4246" s="14"/>
    </row>
    <row r="4247">
      <c r="A4247" s="14">
        <v>557.0</v>
      </c>
      <c r="B4247" s="14">
        <v>3.5369095E7</v>
      </c>
      <c r="C4247" s="14">
        <v>1.41139346E8</v>
      </c>
      <c r="D4247" s="2" t="s">
        <v>3477</v>
      </c>
      <c r="E4247" s="1" t="s">
        <v>121</v>
      </c>
      <c r="F4247" s="14">
        <v>-0.3149</v>
      </c>
      <c r="G4247" s="15"/>
      <c r="H4247" s="16"/>
      <c r="I4247" s="14"/>
    </row>
    <row r="4248">
      <c r="A4248" s="14">
        <v>107.0</v>
      </c>
      <c r="B4248" s="14">
        <v>174473.0</v>
      </c>
      <c r="C4248" s="14">
        <v>694855.0</v>
      </c>
      <c r="D4248" s="2" t="s">
        <v>5174</v>
      </c>
      <c r="E4248" s="1" t="s">
        <v>699</v>
      </c>
      <c r="F4248" s="14">
        <v>-0.3164</v>
      </c>
      <c r="G4248" s="15"/>
      <c r="H4248" s="16"/>
      <c r="I4248" s="14"/>
    </row>
    <row r="4249">
      <c r="A4249" s="14">
        <v>578.0</v>
      </c>
      <c r="B4249" s="14">
        <v>5.9849538E7</v>
      </c>
      <c r="C4249" s="14">
        <v>2.39738651E8</v>
      </c>
      <c r="D4249" s="2" t="s">
        <v>2699</v>
      </c>
      <c r="E4249" s="1" t="s">
        <v>699</v>
      </c>
      <c r="F4249" s="14">
        <v>-0.3164</v>
      </c>
      <c r="G4249" s="15"/>
      <c r="H4249" s="16"/>
      <c r="I4249" s="14"/>
    </row>
    <row r="4250">
      <c r="A4250" s="14">
        <v>557.0</v>
      </c>
      <c r="B4250" s="14">
        <v>5.792562E7</v>
      </c>
      <c r="C4250" s="14">
        <v>2.30954032E8</v>
      </c>
      <c r="D4250" s="2" t="s">
        <v>2758</v>
      </c>
      <c r="E4250" s="1" t="s">
        <v>121</v>
      </c>
      <c r="F4250" s="14">
        <v>-0.3167</v>
      </c>
      <c r="G4250" s="15"/>
      <c r="H4250" s="16"/>
      <c r="I4250" s="14"/>
    </row>
    <row r="4251">
      <c r="A4251" s="14">
        <v>674.0</v>
      </c>
      <c r="B4251" s="14">
        <v>2.5700041E7</v>
      </c>
      <c r="C4251" s="14">
        <v>1.04488303E8</v>
      </c>
      <c r="D4251" s="2" t="s">
        <v>3708</v>
      </c>
      <c r="E4251" s="1" t="s">
        <v>121</v>
      </c>
      <c r="F4251" s="14">
        <v>-0.318</v>
      </c>
      <c r="G4251" s="15"/>
      <c r="H4251" s="16"/>
      <c r="I4251" s="14"/>
    </row>
    <row r="4252">
      <c r="A4252" s="14">
        <v>609.0</v>
      </c>
      <c r="B4252" s="14">
        <v>1.0421804E7</v>
      </c>
      <c r="C4252" s="14">
        <v>4.4299178E7</v>
      </c>
      <c r="D4252" s="2" t="s">
        <v>4368</v>
      </c>
      <c r="E4252" s="1" t="s">
        <v>699</v>
      </c>
      <c r="F4252" s="14">
        <v>-0.3182</v>
      </c>
      <c r="G4252" s="15"/>
      <c r="H4252" s="16"/>
      <c r="I4252" s="14"/>
    </row>
    <row r="4253">
      <c r="A4253" s="14">
        <v>676.0</v>
      </c>
      <c r="B4253" s="14">
        <v>1.483557E7</v>
      </c>
      <c r="C4253" s="14">
        <v>6.3062239E7</v>
      </c>
      <c r="D4253" s="2" t="s">
        <v>4115</v>
      </c>
      <c r="E4253" s="1" t="s">
        <v>699</v>
      </c>
      <c r="F4253" s="14">
        <v>-0.3182</v>
      </c>
      <c r="G4253" s="15"/>
      <c r="H4253" s="16"/>
      <c r="I4253" s="14"/>
    </row>
    <row r="4254">
      <c r="A4254" s="14">
        <v>458.0</v>
      </c>
      <c r="B4254" s="14">
        <v>1.890618E7</v>
      </c>
      <c r="C4254" s="14">
        <v>7.9443888E7</v>
      </c>
      <c r="D4254" s="2" t="s">
        <v>3903</v>
      </c>
      <c r="E4254" s="1" t="s">
        <v>699</v>
      </c>
      <c r="F4254" s="14">
        <v>-0.3182</v>
      </c>
      <c r="G4254" s="15"/>
      <c r="H4254" s="16"/>
      <c r="I4254" s="14"/>
    </row>
    <row r="4255">
      <c r="A4255" s="14">
        <v>120.0</v>
      </c>
      <c r="B4255" s="14">
        <v>311048.0</v>
      </c>
      <c r="C4255" s="14">
        <v>1328511.0</v>
      </c>
      <c r="D4255" s="2" t="s">
        <v>5169</v>
      </c>
      <c r="E4255" s="1" t="s">
        <v>121</v>
      </c>
      <c r="F4255" s="14">
        <v>-0.3182</v>
      </c>
      <c r="G4255" s="15"/>
      <c r="H4255" s="16"/>
      <c r="I4255" s="14"/>
    </row>
    <row r="4256">
      <c r="A4256" s="14">
        <v>571.0</v>
      </c>
      <c r="B4256" s="14">
        <v>2492807.0</v>
      </c>
      <c r="C4256" s="14">
        <v>1.0597801E7</v>
      </c>
      <c r="D4256" s="2" t="s">
        <v>5020</v>
      </c>
      <c r="E4256" s="1" t="s">
        <v>121</v>
      </c>
      <c r="F4256" s="14">
        <v>-0.3182</v>
      </c>
      <c r="G4256" s="15"/>
      <c r="H4256" s="16"/>
      <c r="I4256" s="14"/>
    </row>
    <row r="4257">
      <c r="A4257" s="14">
        <v>531.0</v>
      </c>
      <c r="B4257" s="14">
        <v>5451444.0</v>
      </c>
      <c r="C4257" s="14">
        <v>2.3324079E7</v>
      </c>
      <c r="D4257" s="2" t="s">
        <v>4744</v>
      </c>
      <c r="E4257" s="1" t="s">
        <v>121</v>
      </c>
      <c r="F4257" s="14">
        <v>-0.3182</v>
      </c>
      <c r="G4257" s="15"/>
      <c r="H4257" s="16"/>
      <c r="I4257" s="14"/>
    </row>
    <row r="4258">
      <c r="A4258" s="14">
        <v>715.0</v>
      </c>
      <c r="B4258" s="14">
        <v>8888143.0</v>
      </c>
      <c r="C4258" s="14">
        <v>8.572115E7</v>
      </c>
      <c r="D4258" s="2" t="s">
        <v>4480</v>
      </c>
      <c r="E4258" s="1" t="s">
        <v>121</v>
      </c>
      <c r="F4258" s="14">
        <v>-0.3182</v>
      </c>
      <c r="G4258" s="15"/>
      <c r="H4258" s="16"/>
      <c r="I4258" s="14"/>
    </row>
    <row r="4259">
      <c r="A4259" s="14">
        <v>484.0</v>
      </c>
      <c r="B4259" s="14">
        <v>8964082.0</v>
      </c>
      <c r="C4259" s="14">
        <v>3.8054661E7</v>
      </c>
      <c r="D4259" s="2" t="s">
        <v>4474</v>
      </c>
      <c r="E4259" s="1" t="s">
        <v>121</v>
      </c>
      <c r="F4259" s="14">
        <v>-0.3182</v>
      </c>
      <c r="G4259" s="15"/>
      <c r="H4259" s="16"/>
      <c r="I4259" s="14"/>
    </row>
    <row r="4260">
      <c r="A4260" s="14">
        <v>458.0</v>
      </c>
      <c r="B4260" s="14">
        <v>1.3930972E7</v>
      </c>
      <c r="C4260" s="14">
        <v>5.9135639E7</v>
      </c>
      <c r="D4260" s="2" t="s">
        <v>4162</v>
      </c>
      <c r="E4260" s="1" t="s">
        <v>121</v>
      </c>
      <c r="F4260" s="14">
        <v>-0.3182</v>
      </c>
      <c r="G4260" s="15"/>
      <c r="H4260" s="16"/>
      <c r="I4260" s="14"/>
    </row>
    <row r="4261">
      <c r="A4261" s="14">
        <v>355.0</v>
      </c>
      <c r="B4261" s="14">
        <v>7.6116612E7</v>
      </c>
      <c r="C4261" s="14">
        <v>3.15756061E8</v>
      </c>
      <c r="D4261" s="2" t="s">
        <v>1964</v>
      </c>
      <c r="E4261" s="1" t="s">
        <v>121</v>
      </c>
      <c r="F4261" s="14">
        <v>-0.3182</v>
      </c>
      <c r="G4261" s="15"/>
      <c r="H4261" s="16"/>
      <c r="I4261" s="14"/>
    </row>
    <row r="4262">
      <c r="A4262" s="14">
        <v>403.0</v>
      </c>
      <c r="B4262" s="14">
        <v>7.6434268E7</v>
      </c>
      <c r="C4262" s="14">
        <v>3.17248138E8</v>
      </c>
      <c r="D4262" s="2" t="s">
        <v>1949</v>
      </c>
      <c r="E4262" s="1" t="s">
        <v>121</v>
      </c>
      <c r="F4262" s="14">
        <v>-0.3182</v>
      </c>
      <c r="G4262" s="15"/>
      <c r="H4262" s="16"/>
      <c r="I4262" s="14"/>
    </row>
    <row r="4263">
      <c r="A4263" s="14">
        <v>173.0</v>
      </c>
      <c r="B4263" s="14">
        <v>1.01555963E8</v>
      </c>
      <c r="C4263" s="14">
        <v>4.35826644E8</v>
      </c>
      <c r="D4263" s="2" t="s">
        <v>497</v>
      </c>
      <c r="E4263" s="1" t="s">
        <v>121</v>
      </c>
      <c r="F4263" s="14">
        <v>-0.3182</v>
      </c>
      <c r="G4263" s="15"/>
      <c r="H4263" s="16"/>
      <c r="I4263" s="14"/>
    </row>
    <row r="4264">
      <c r="A4264" s="14">
        <v>721.0</v>
      </c>
      <c r="B4264" s="14">
        <v>1.1798299E7</v>
      </c>
      <c r="C4264" s="14">
        <v>5.0154449E7</v>
      </c>
      <c r="D4264" s="2" t="s">
        <v>4265</v>
      </c>
      <c r="E4264" s="1" t="s">
        <v>121</v>
      </c>
      <c r="F4264" s="14">
        <v>-0.3187</v>
      </c>
      <c r="G4264" s="15"/>
      <c r="H4264" s="16"/>
      <c r="I4264" s="14"/>
    </row>
    <row r="4265">
      <c r="A4265" s="14">
        <v>665.0</v>
      </c>
      <c r="B4265" s="14">
        <v>1.4575665E7</v>
      </c>
      <c r="C4265" s="14">
        <v>6.203979E7</v>
      </c>
      <c r="D4265" s="2" t="s">
        <v>4123</v>
      </c>
      <c r="E4265" s="1" t="s">
        <v>121</v>
      </c>
      <c r="F4265" s="14">
        <v>-0.3222</v>
      </c>
      <c r="G4265" s="15"/>
      <c r="H4265" s="16"/>
      <c r="I4265" s="14"/>
    </row>
    <row r="4266">
      <c r="A4266" s="14">
        <v>601.0</v>
      </c>
      <c r="B4266" s="14">
        <v>2585977.0</v>
      </c>
      <c r="C4266" s="14">
        <v>1.0939354E7</v>
      </c>
      <c r="D4266" s="2" t="s">
        <v>5015</v>
      </c>
      <c r="E4266" s="1" t="s">
        <v>121</v>
      </c>
      <c r="F4266" s="14">
        <v>-0.323</v>
      </c>
      <c r="G4266" s="15"/>
      <c r="H4266" s="16"/>
      <c r="I4266" s="14"/>
    </row>
    <row r="4267">
      <c r="A4267" s="14">
        <v>571.0</v>
      </c>
      <c r="B4267" s="14">
        <v>2.6978734E7</v>
      </c>
      <c r="C4267" s="14">
        <v>3.623228E8</v>
      </c>
      <c r="D4267" s="2" t="s">
        <v>3676</v>
      </c>
      <c r="E4267" s="1" t="s">
        <v>699</v>
      </c>
      <c r="F4267" s="14">
        <v>-0.3252</v>
      </c>
      <c r="G4267" s="15"/>
      <c r="H4267" s="16"/>
      <c r="I4267" s="14"/>
    </row>
    <row r="4268">
      <c r="A4268" s="14">
        <v>601.0</v>
      </c>
      <c r="B4268" s="14">
        <v>2.0995494E7</v>
      </c>
      <c r="C4268" s="14">
        <v>8.7269939E7</v>
      </c>
      <c r="D4268" s="2" t="s">
        <v>3835</v>
      </c>
      <c r="E4268" s="1" t="s">
        <v>121</v>
      </c>
      <c r="F4268" s="14">
        <v>-0.3252</v>
      </c>
      <c r="G4268" s="15"/>
      <c r="H4268" s="16"/>
      <c r="I4268" s="14"/>
    </row>
    <row r="4269">
      <c r="A4269" s="14">
        <v>378.0</v>
      </c>
      <c r="B4269" s="14">
        <v>3.6573254E7</v>
      </c>
      <c r="C4269" s="14">
        <v>1.45588439E8</v>
      </c>
      <c r="D4269" s="2" t="s">
        <v>3456</v>
      </c>
      <c r="E4269" s="1" t="s">
        <v>121</v>
      </c>
      <c r="F4269" s="14">
        <v>-0.3252</v>
      </c>
      <c r="G4269" s="15"/>
      <c r="H4269" s="16"/>
      <c r="I4269" s="14"/>
    </row>
    <row r="4270">
      <c r="A4270" s="14">
        <v>677.0</v>
      </c>
      <c r="B4270" s="14">
        <v>1.8646942E7</v>
      </c>
      <c r="C4270" s="14">
        <v>7.8230293E7</v>
      </c>
      <c r="D4270" s="2" t="s">
        <v>3910</v>
      </c>
      <c r="E4270" s="1" t="s">
        <v>121</v>
      </c>
      <c r="F4270" s="14">
        <v>-0.3274</v>
      </c>
      <c r="G4270" s="15"/>
      <c r="H4270" s="16"/>
      <c r="I4270" s="14"/>
    </row>
    <row r="4271">
      <c r="A4271" s="14">
        <v>473.0</v>
      </c>
      <c r="B4271" s="14">
        <v>1262508.0</v>
      </c>
      <c r="C4271" s="14">
        <v>5630226.0</v>
      </c>
      <c r="D4271" s="2" t="s">
        <v>5096</v>
      </c>
      <c r="E4271" s="1" t="s">
        <v>121</v>
      </c>
      <c r="F4271" s="14">
        <v>-0.3291</v>
      </c>
      <c r="G4271" s="15"/>
      <c r="H4271" s="16"/>
      <c r="I4271" s="14"/>
    </row>
    <row r="4272">
      <c r="A4272" s="14">
        <v>355.0</v>
      </c>
      <c r="B4272" s="14">
        <v>4.0205889E7</v>
      </c>
      <c r="C4272" s="14">
        <v>1.59358984E8</v>
      </c>
      <c r="D4272" s="2" t="s">
        <v>3373</v>
      </c>
      <c r="E4272" s="1" t="s">
        <v>121</v>
      </c>
      <c r="F4272" s="14">
        <v>-0.3291</v>
      </c>
      <c r="G4272" s="15"/>
      <c r="H4272" s="16"/>
      <c r="I4272" s="14"/>
    </row>
    <row r="4273">
      <c r="A4273" s="14">
        <v>414.0</v>
      </c>
      <c r="B4273" s="14">
        <v>4.1404158E7</v>
      </c>
      <c r="C4273" s="14">
        <v>1.63867921E8</v>
      </c>
      <c r="D4273" s="2" t="s">
        <v>3344</v>
      </c>
      <c r="E4273" s="1" t="s">
        <v>121</v>
      </c>
      <c r="F4273" s="14">
        <v>-0.3291</v>
      </c>
      <c r="G4273" s="15"/>
      <c r="H4273" s="16"/>
      <c r="I4273" s="14"/>
    </row>
    <row r="4274">
      <c r="A4274" s="14">
        <v>353.0</v>
      </c>
      <c r="B4274" s="14">
        <v>8.7818927E7</v>
      </c>
      <c r="C4274" s="14">
        <v>3.71370021E8</v>
      </c>
      <c r="D4274" s="2" t="s">
        <v>1250</v>
      </c>
      <c r="E4274" s="1" t="s">
        <v>121</v>
      </c>
      <c r="F4274" s="14">
        <v>-0.3299</v>
      </c>
      <c r="G4274" s="15"/>
      <c r="H4274" s="16"/>
      <c r="I4274" s="14"/>
    </row>
    <row r="4275">
      <c r="A4275" s="14">
        <v>625.0</v>
      </c>
      <c r="B4275" s="14">
        <v>4483442.0</v>
      </c>
      <c r="C4275" s="14">
        <v>1.9035782E7</v>
      </c>
      <c r="D4275" s="2" t="s">
        <v>4824</v>
      </c>
      <c r="E4275" s="1" t="s">
        <v>121</v>
      </c>
      <c r="F4275" s="14">
        <v>-0.3305</v>
      </c>
      <c r="G4275" s="15"/>
      <c r="H4275" s="16"/>
      <c r="I4275" s="14"/>
    </row>
    <row r="4276">
      <c r="A4276" s="14">
        <v>571.0</v>
      </c>
      <c r="B4276" s="14">
        <v>2235549.0</v>
      </c>
      <c r="C4276" s="14">
        <v>9592903.0</v>
      </c>
      <c r="D4276" s="2" t="s">
        <v>5038</v>
      </c>
      <c r="E4276" s="1" t="s">
        <v>121</v>
      </c>
      <c r="F4276" s="14">
        <v>-0.3356</v>
      </c>
      <c r="G4276" s="15"/>
      <c r="H4276" s="16"/>
      <c r="I4276" s="14"/>
    </row>
    <row r="4277">
      <c r="A4277" s="14">
        <v>593.0</v>
      </c>
      <c r="B4277" s="14">
        <v>8.7014191E7</v>
      </c>
      <c r="C4277" s="14">
        <v>3.67633894E8</v>
      </c>
      <c r="D4277" s="2" t="s">
        <v>1295</v>
      </c>
      <c r="E4277" s="1" t="s">
        <v>121</v>
      </c>
      <c r="F4277" s="14">
        <v>-0.3356</v>
      </c>
      <c r="G4277" s="15"/>
      <c r="H4277" s="16"/>
      <c r="I4277" s="14"/>
    </row>
    <row r="4278">
      <c r="A4278" s="14">
        <v>602.0</v>
      </c>
      <c r="B4278" s="14">
        <v>2626952.0</v>
      </c>
      <c r="C4278" s="14">
        <v>8.3126751E7</v>
      </c>
      <c r="D4278" s="2" t="s">
        <v>5014</v>
      </c>
      <c r="E4278" s="1" t="s">
        <v>121</v>
      </c>
      <c r="F4278" s="14">
        <v>-0.3374</v>
      </c>
      <c r="G4278" s="15"/>
      <c r="H4278" s="16"/>
      <c r="I4278" s="14"/>
    </row>
    <row r="4279">
      <c r="A4279" s="14">
        <v>414.0</v>
      </c>
      <c r="B4279" s="14">
        <v>1.5860903E7</v>
      </c>
      <c r="C4279" s="14">
        <v>6.8330782E7</v>
      </c>
      <c r="D4279" s="2" t="s">
        <v>4046</v>
      </c>
      <c r="E4279" s="1" t="s">
        <v>699</v>
      </c>
      <c r="F4279" s="14">
        <v>-0.3382</v>
      </c>
      <c r="G4279" s="15"/>
      <c r="H4279" s="16"/>
      <c r="I4279" s="14"/>
    </row>
    <row r="4280">
      <c r="A4280" s="14">
        <v>578.0</v>
      </c>
      <c r="B4280" s="14">
        <v>4.647757E7</v>
      </c>
      <c r="C4280" s="14">
        <v>1.83584283E8</v>
      </c>
      <c r="D4280" s="2" t="s">
        <v>3187</v>
      </c>
      <c r="E4280" s="1" t="s">
        <v>699</v>
      </c>
      <c r="F4280" s="14">
        <v>-0.34</v>
      </c>
      <c r="G4280" s="15"/>
      <c r="H4280" s="16"/>
      <c r="I4280" s="14"/>
    </row>
    <row r="4281">
      <c r="A4281" s="14">
        <v>403.0</v>
      </c>
      <c r="B4281" s="14">
        <v>676017.0</v>
      </c>
      <c r="C4281" s="14">
        <v>3277605.0</v>
      </c>
      <c r="D4281" s="2" t="s">
        <v>5149</v>
      </c>
      <c r="E4281" s="1" t="s">
        <v>121</v>
      </c>
      <c r="F4281" s="14">
        <v>-0.34</v>
      </c>
      <c r="G4281" s="15"/>
      <c r="H4281" s="16"/>
      <c r="I4281" s="14"/>
    </row>
    <row r="4282">
      <c r="A4282" s="14">
        <v>571.0</v>
      </c>
      <c r="B4282" s="14">
        <v>3300970.0</v>
      </c>
      <c r="C4282" s="14">
        <v>1.4036612E7</v>
      </c>
      <c r="D4282" s="2" t="s">
        <v>4939</v>
      </c>
      <c r="E4282" s="1" t="s">
        <v>121</v>
      </c>
      <c r="F4282" s="14">
        <v>-0.34</v>
      </c>
      <c r="G4282" s="15"/>
      <c r="H4282" s="16"/>
      <c r="I4282" s="14"/>
    </row>
    <row r="4283">
      <c r="A4283" s="14">
        <v>661.0</v>
      </c>
      <c r="B4283" s="14">
        <v>4326764.0</v>
      </c>
      <c r="C4283" s="14">
        <v>1.9300036E8</v>
      </c>
      <c r="D4283" s="2" t="s">
        <v>4841</v>
      </c>
      <c r="E4283" s="1" t="s">
        <v>121</v>
      </c>
      <c r="F4283" s="14">
        <v>-0.34</v>
      </c>
      <c r="G4283" s="15"/>
      <c r="H4283" s="16"/>
      <c r="I4283" s="14"/>
    </row>
    <row r="4284">
      <c r="A4284" s="14">
        <v>395.0</v>
      </c>
      <c r="B4284" s="14">
        <v>5294987.0</v>
      </c>
      <c r="C4284" s="14">
        <v>2.2630837E7</v>
      </c>
      <c r="D4284" s="2" t="s">
        <v>4759</v>
      </c>
      <c r="E4284" s="1" t="s">
        <v>121</v>
      </c>
      <c r="F4284" s="14">
        <v>-0.34</v>
      </c>
      <c r="G4284" s="15"/>
      <c r="H4284" s="16"/>
      <c r="I4284" s="14"/>
    </row>
    <row r="4285">
      <c r="A4285" s="14">
        <v>120.0</v>
      </c>
      <c r="B4285" s="14">
        <v>2.0460043E7</v>
      </c>
      <c r="C4285" s="14">
        <v>8.4989247E7</v>
      </c>
      <c r="D4285" s="2" t="s">
        <v>3864</v>
      </c>
      <c r="E4285" s="1" t="s">
        <v>121</v>
      </c>
      <c r="F4285" s="14">
        <v>-0.34</v>
      </c>
      <c r="G4285" s="15"/>
      <c r="H4285" s="16"/>
      <c r="I4285" s="14"/>
    </row>
    <row r="4286">
      <c r="A4286" s="14">
        <v>665.0</v>
      </c>
      <c r="B4286" s="14">
        <v>2.7416427E7</v>
      </c>
      <c r="C4286" s="14">
        <v>1.10716984E8</v>
      </c>
      <c r="D4286" s="2" t="s">
        <v>3667</v>
      </c>
      <c r="E4286" s="1" t="s">
        <v>121</v>
      </c>
      <c r="F4286" s="14">
        <v>-0.34</v>
      </c>
      <c r="G4286" s="15"/>
      <c r="H4286" s="16"/>
      <c r="I4286" s="14"/>
    </row>
    <row r="4287">
      <c r="A4287" s="14">
        <v>678.0</v>
      </c>
      <c r="B4287" s="14">
        <v>2.7574777E7</v>
      </c>
      <c r="C4287" s="14">
        <v>1.11273541E8</v>
      </c>
      <c r="D4287" s="2" t="s">
        <v>3659</v>
      </c>
      <c r="E4287" s="1" t="s">
        <v>121</v>
      </c>
      <c r="F4287" s="14">
        <v>-0.34</v>
      </c>
      <c r="G4287" s="15"/>
      <c r="H4287" s="16"/>
      <c r="I4287" s="14"/>
    </row>
    <row r="4288">
      <c r="A4288" s="14">
        <v>586.0</v>
      </c>
      <c r="B4288" s="14">
        <v>6.2994574E7</v>
      </c>
      <c r="C4288" s="14">
        <v>2.54972971E8</v>
      </c>
      <c r="D4288" s="2" t="s">
        <v>2571</v>
      </c>
      <c r="E4288" s="1" t="s">
        <v>121</v>
      </c>
      <c r="F4288" s="14">
        <v>-0.34</v>
      </c>
      <c r="G4288" s="15"/>
      <c r="H4288" s="16"/>
      <c r="I4288" s="14"/>
    </row>
    <row r="4289">
      <c r="A4289" s="14">
        <v>601.0</v>
      </c>
      <c r="B4289" s="14">
        <v>8.3638649E7</v>
      </c>
      <c r="C4289" s="14">
        <v>3.51263313E8</v>
      </c>
      <c r="D4289" s="2" t="s">
        <v>1536</v>
      </c>
      <c r="E4289" s="1" t="s">
        <v>121</v>
      </c>
      <c r="F4289" s="14">
        <v>-0.34</v>
      </c>
      <c r="G4289" s="15"/>
      <c r="H4289" s="16"/>
      <c r="I4289" s="14"/>
    </row>
    <row r="4290">
      <c r="A4290" s="14">
        <v>667.0</v>
      </c>
      <c r="B4290" s="14">
        <v>9.0111285E7</v>
      </c>
      <c r="C4290" s="14">
        <v>3.82034808E8</v>
      </c>
      <c r="D4290" s="2" t="s">
        <v>1135</v>
      </c>
      <c r="E4290" s="1" t="s">
        <v>121</v>
      </c>
      <c r="F4290" s="14">
        <v>-0.34</v>
      </c>
      <c r="G4290" s="15"/>
      <c r="H4290" s="16"/>
      <c r="I4290" s="14"/>
    </row>
    <row r="4291">
      <c r="A4291" s="14">
        <v>531.0</v>
      </c>
      <c r="B4291" s="14">
        <v>9.5611794E7</v>
      </c>
      <c r="C4291" s="14">
        <v>4.07559144E8</v>
      </c>
      <c r="D4291" s="2" t="s">
        <v>839</v>
      </c>
      <c r="E4291" s="1" t="s">
        <v>121</v>
      </c>
      <c r="F4291" s="14">
        <v>-0.34</v>
      </c>
      <c r="G4291" s="15"/>
      <c r="H4291" s="16"/>
      <c r="I4291" s="14"/>
    </row>
    <row r="4292">
      <c r="A4292" s="14">
        <v>571.0</v>
      </c>
      <c r="B4292" s="14">
        <v>9.9353756E7</v>
      </c>
      <c r="C4292" s="14">
        <v>4.25168198E8</v>
      </c>
      <c r="D4292" s="2" t="s">
        <v>625</v>
      </c>
      <c r="E4292" s="1" t="s">
        <v>121</v>
      </c>
      <c r="F4292" s="14">
        <v>-0.34</v>
      </c>
      <c r="G4292" s="15"/>
      <c r="H4292" s="16"/>
      <c r="I4292" s="14"/>
    </row>
    <row r="4293">
      <c r="A4293" s="14">
        <v>504.0</v>
      </c>
      <c r="B4293" s="14">
        <v>1.10117979E8</v>
      </c>
      <c r="C4293" s="14">
        <v>4.76890084E8</v>
      </c>
      <c r="D4293" s="2" t="s">
        <v>87</v>
      </c>
      <c r="E4293" s="1" t="s">
        <v>121</v>
      </c>
      <c r="F4293" s="14">
        <v>-0.34</v>
      </c>
      <c r="G4293" s="15"/>
      <c r="H4293" s="16"/>
      <c r="I4293" s="14"/>
    </row>
    <row r="4294">
      <c r="A4294" s="14">
        <v>504.0</v>
      </c>
      <c r="B4294" s="14">
        <v>9.5640971E7</v>
      </c>
      <c r="C4294" s="14">
        <v>4.07508952E8</v>
      </c>
      <c r="D4294" s="2" t="s">
        <v>837</v>
      </c>
      <c r="E4294" s="1" t="s">
        <v>699</v>
      </c>
      <c r="F4294" s="14">
        <v>-0.3404</v>
      </c>
      <c r="G4294" s="15"/>
      <c r="H4294" s="16"/>
      <c r="I4294" s="14"/>
    </row>
    <row r="4295">
      <c r="A4295" s="14">
        <v>173.0</v>
      </c>
      <c r="B4295" s="14">
        <v>9.4391734E7</v>
      </c>
      <c r="C4295" s="14">
        <v>4.0194857E8</v>
      </c>
      <c r="D4295" s="2" t="s">
        <v>914</v>
      </c>
      <c r="E4295" s="1" t="s">
        <v>107</v>
      </c>
      <c r="F4295" s="14">
        <v>-0.3412</v>
      </c>
      <c r="G4295" s="15"/>
      <c r="H4295" s="16"/>
      <c r="I4295" s="14"/>
    </row>
    <row r="4296">
      <c r="A4296" s="14">
        <v>215.0</v>
      </c>
      <c r="B4296" s="14">
        <v>5183744.0</v>
      </c>
      <c r="C4296" s="14">
        <v>2.2100141E7</v>
      </c>
      <c r="D4296" s="2" t="s">
        <v>4781</v>
      </c>
      <c r="E4296" s="1" t="s">
        <v>699</v>
      </c>
      <c r="F4296" s="14">
        <v>-0.3412</v>
      </c>
      <c r="G4296" s="15"/>
      <c r="H4296" s="16"/>
      <c r="I4296" s="14"/>
    </row>
    <row r="4297">
      <c r="A4297" s="14">
        <v>194.0</v>
      </c>
      <c r="B4297" s="14">
        <v>7.8785437E7</v>
      </c>
      <c r="C4297" s="14">
        <v>3.29217455E8</v>
      </c>
      <c r="D4297" s="2" t="s">
        <v>1816</v>
      </c>
      <c r="E4297" s="1" t="s">
        <v>699</v>
      </c>
      <c r="F4297" s="14">
        <v>-0.3412</v>
      </c>
      <c r="G4297" s="15"/>
      <c r="H4297" s="16"/>
      <c r="I4297" s="14"/>
    </row>
    <row r="4298">
      <c r="A4298" s="14">
        <v>212.0</v>
      </c>
      <c r="B4298" s="14">
        <v>2679219.0</v>
      </c>
      <c r="C4298" s="14">
        <v>1.1274332E7</v>
      </c>
      <c r="D4298" s="2" t="s">
        <v>5010</v>
      </c>
      <c r="E4298" s="1" t="s">
        <v>121</v>
      </c>
      <c r="F4298" s="14">
        <v>-0.3412</v>
      </c>
      <c r="G4298" s="15"/>
      <c r="H4298" s="16"/>
      <c r="I4298" s="14"/>
    </row>
    <row r="4299">
      <c r="A4299" s="14">
        <v>671.0</v>
      </c>
      <c r="B4299" s="14">
        <v>3324043.0</v>
      </c>
      <c r="C4299" s="14">
        <v>2.64942196E8</v>
      </c>
      <c r="D4299" s="2" t="s">
        <v>4937</v>
      </c>
      <c r="E4299" s="1" t="s">
        <v>121</v>
      </c>
      <c r="F4299" s="14">
        <v>-0.3412</v>
      </c>
      <c r="G4299" s="15"/>
      <c r="H4299" s="16"/>
      <c r="I4299" s="14"/>
    </row>
    <row r="4300">
      <c r="A4300" s="14">
        <v>713.0</v>
      </c>
      <c r="B4300" s="14">
        <v>6604844.0</v>
      </c>
      <c r="C4300" s="14">
        <v>2.8130561E7</v>
      </c>
      <c r="D4300" s="2" t="s">
        <v>4652</v>
      </c>
      <c r="E4300" s="1" t="s">
        <v>121</v>
      </c>
      <c r="F4300" s="14">
        <v>-0.3412</v>
      </c>
      <c r="G4300" s="15"/>
      <c r="H4300" s="16"/>
      <c r="I4300" s="14"/>
    </row>
    <row r="4301">
      <c r="A4301" s="14">
        <v>531.0</v>
      </c>
      <c r="B4301" s="14">
        <v>9931117.0</v>
      </c>
      <c r="C4301" s="14">
        <v>4.2210038E7</v>
      </c>
      <c r="D4301" s="2" t="s">
        <v>4403</v>
      </c>
      <c r="E4301" s="1" t="s">
        <v>121</v>
      </c>
      <c r="F4301" s="14">
        <v>-0.3412</v>
      </c>
      <c r="G4301" s="15"/>
      <c r="H4301" s="16"/>
      <c r="I4301" s="14"/>
    </row>
    <row r="4302">
      <c r="A4302" s="14">
        <v>531.0</v>
      </c>
      <c r="B4302" s="14">
        <v>1.2176098E7</v>
      </c>
      <c r="C4302" s="14">
        <v>5.166518E7</v>
      </c>
      <c r="D4302" s="2" t="s">
        <v>4250</v>
      </c>
      <c r="E4302" s="1" t="s">
        <v>121</v>
      </c>
      <c r="F4302" s="14">
        <v>-0.3412</v>
      </c>
      <c r="G4302" s="15"/>
      <c r="H4302" s="16"/>
      <c r="I4302" s="14"/>
    </row>
    <row r="4303">
      <c r="A4303" s="14">
        <v>504.0</v>
      </c>
      <c r="B4303" s="14">
        <v>1.4607524E7</v>
      </c>
      <c r="C4303" s="14">
        <v>6.2135955E7</v>
      </c>
      <c r="D4303" s="2" t="s">
        <v>4120</v>
      </c>
      <c r="E4303" s="1" t="s">
        <v>121</v>
      </c>
      <c r="F4303" s="14">
        <v>-0.3412</v>
      </c>
      <c r="G4303" s="15"/>
      <c r="H4303" s="16"/>
      <c r="I4303" s="14"/>
    </row>
    <row r="4304">
      <c r="A4304" s="14">
        <v>602.0</v>
      </c>
      <c r="B4304" s="14">
        <v>2.4373696E7</v>
      </c>
      <c r="C4304" s="14">
        <v>3.78666111E8</v>
      </c>
      <c r="D4304" s="2" t="s">
        <v>3737</v>
      </c>
      <c r="E4304" s="1" t="s">
        <v>121</v>
      </c>
      <c r="F4304" s="14">
        <v>-0.3412</v>
      </c>
      <c r="G4304" s="15"/>
      <c r="H4304" s="16"/>
      <c r="I4304" s="14"/>
    </row>
    <row r="4305">
      <c r="A4305" s="14">
        <v>256.0</v>
      </c>
      <c r="B4305" s="14">
        <v>9.8977172E7</v>
      </c>
      <c r="C4305" s="14">
        <v>4.23338663E8</v>
      </c>
      <c r="D4305" s="2" t="s">
        <v>654</v>
      </c>
      <c r="E4305" s="1" t="s">
        <v>121</v>
      </c>
      <c r="F4305" s="14">
        <v>-0.3412</v>
      </c>
      <c r="G4305" s="15"/>
      <c r="H4305" s="16"/>
      <c r="I4305" s="14"/>
    </row>
    <row r="4306">
      <c r="A4306" s="14">
        <v>593.0</v>
      </c>
      <c r="B4306" s="14">
        <v>1.01122596E8</v>
      </c>
      <c r="C4306" s="14">
        <v>4.3367899E8</v>
      </c>
      <c r="D4306" s="2" t="s">
        <v>527</v>
      </c>
      <c r="E4306" s="1" t="s">
        <v>121</v>
      </c>
      <c r="F4306" s="14">
        <v>-0.3412</v>
      </c>
      <c r="G4306" s="15"/>
      <c r="H4306" s="16"/>
      <c r="I4306" s="14"/>
    </row>
    <row r="4307">
      <c r="A4307" s="14">
        <v>409.0</v>
      </c>
      <c r="B4307" s="14">
        <v>3090802.0</v>
      </c>
      <c r="C4307" s="14">
        <v>1.3082702E7</v>
      </c>
      <c r="D4307" s="2" t="s">
        <v>4959</v>
      </c>
      <c r="E4307" s="1" t="s">
        <v>699</v>
      </c>
      <c r="F4307" s="14">
        <v>-0.3441</v>
      </c>
      <c r="G4307" s="15"/>
      <c r="H4307" s="16"/>
      <c r="I4307" s="14"/>
    </row>
    <row r="4308">
      <c r="A4308" s="14">
        <v>462.0</v>
      </c>
      <c r="B4308" s="14">
        <v>9.3692841E7</v>
      </c>
      <c r="C4308" s="14">
        <v>3.9792389E8</v>
      </c>
      <c r="D4308" s="2" t="s">
        <v>950</v>
      </c>
      <c r="E4308" s="1" t="s">
        <v>121</v>
      </c>
      <c r="F4308" s="14">
        <v>-0.3468</v>
      </c>
      <c r="G4308" s="15"/>
      <c r="H4308" s="16"/>
      <c r="I4308" s="14"/>
    </row>
    <row r="4309">
      <c r="A4309" s="14">
        <v>630.0</v>
      </c>
      <c r="B4309" s="14">
        <v>9.8398342E7</v>
      </c>
      <c r="C4309" s="14">
        <v>4.20812755E8</v>
      </c>
      <c r="D4309" s="2" t="s">
        <v>677</v>
      </c>
      <c r="E4309" s="1" t="s">
        <v>121</v>
      </c>
      <c r="F4309" s="14">
        <v>-0.347</v>
      </c>
      <c r="G4309" s="15"/>
      <c r="H4309" s="16"/>
      <c r="I4309" s="14"/>
    </row>
    <row r="4310">
      <c r="A4310" s="14">
        <v>671.0</v>
      </c>
      <c r="B4310" s="14">
        <v>1.01372386E8</v>
      </c>
      <c r="C4310" s="14">
        <v>4.34858957E8</v>
      </c>
      <c r="D4310" s="2" t="s">
        <v>507</v>
      </c>
      <c r="E4310" s="1" t="s">
        <v>699</v>
      </c>
      <c r="F4310" s="14">
        <v>-0.3491</v>
      </c>
      <c r="G4310" s="15"/>
      <c r="H4310" s="16"/>
      <c r="I4310" s="14"/>
    </row>
    <row r="4311">
      <c r="A4311" s="14">
        <v>204.0</v>
      </c>
      <c r="B4311" s="14">
        <v>7.8473244E7</v>
      </c>
      <c r="C4311" s="14">
        <v>3.2672546E8</v>
      </c>
      <c r="D4311" s="2" t="s">
        <v>1823</v>
      </c>
      <c r="E4311" s="1" t="s">
        <v>121</v>
      </c>
      <c r="F4311" s="14">
        <v>-0.3506</v>
      </c>
      <c r="G4311" s="15"/>
      <c r="H4311" s="16"/>
      <c r="I4311" s="14"/>
    </row>
    <row r="4312">
      <c r="A4312" s="14">
        <v>678.0</v>
      </c>
      <c r="B4312" s="14">
        <v>1.02008614E8</v>
      </c>
      <c r="C4312" s="14">
        <v>4.37818652E8</v>
      </c>
      <c r="D4312" s="2" t="s">
        <v>460</v>
      </c>
      <c r="E4312" s="1" t="s">
        <v>121</v>
      </c>
      <c r="F4312" s="14">
        <v>-0.3535</v>
      </c>
      <c r="G4312" s="15"/>
      <c r="H4312" s="16"/>
      <c r="I4312" s="14"/>
    </row>
    <row r="4313">
      <c r="A4313" s="14">
        <v>602.0</v>
      </c>
      <c r="B4313" s="14">
        <v>1.0829207E7</v>
      </c>
      <c r="C4313" s="14">
        <v>4.6065032E7</v>
      </c>
      <c r="D4313" s="2" t="s">
        <v>4332</v>
      </c>
      <c r="E4313" s="1" t="s">
        <v>107</v>
      </c>
      <c r="F4313" s="14">
        <v>-0.3565</v>
      </c>
      <c r="G4313" s="15"/>
      <c r="H4313" s="16"/>
      <c r="I4313" s="14"/>
    </row>
    <row r="4314">
      <c r="A4314" s="14">
        <v>484.0</v>
      </c>
      <c r="B4314" s="14">
        <v>4386034.0</v>
      </c>
      <c r="C4314" s="14">
        <v>1.859067E7</v>
      </c>
      <c r="D4314" s="2" t="s">
        <v>4832</v>
      </c>
      <c r="E4314" s="1" t="s">
        <v>699</v>
      </c>
      <c r="F4314" s="14">
        <v>-0.3566</v>
      </c>
      <c r="G4314" s="15"/>
      <c r="H4314" s="16"/>
      <c r="I4314" s="14"/>
    </row>
    <row r="4315">
      <c r="A4315" s="14">
        <v>404.0</v>
      </c>
      <c r="B4315" s="14">
        <v>820388.0</v>
      </c>
      <c r="C4315" s="14">
        <v>2.0535923E7</v>
      </c>
      <c r="D4315" s="2" t="s">
        <v>5145</v>
      </c>
      <c r="E4315" s="1" t="s">
        <v>121</v>
      </c>
      <c r="F4315" s="14">
        <v>-0.3595</v>
      </c>
      <c r="G4315" s="15"/>
      <c r="H4315" s="16"/>
      <c r="I4315" s="14"/>
    </row>
    <row r="4316">
      <c r="A4316" s="14">
        <v>571.0</v>
      </c>
      <c r="B4316" s="14">
        <v>1.1489245E7</v>
      </c>
      <c r="C4316" s="14">
        <v>4.46907612E8</v>
      </c>
      <c r="D4316" s="2" t="s">
        <v>4286</v>
      </c>
      <c r="E4316" s="1" t="s">
        <v>121</v>
      </c>
      <c r="F4316" s="14">
        <v>-0.3595</v>
      </c>
      <c r="G4316" s="15"/>
      <c r="H4316" s="16"/>
      <c r="I4316" s="14"/>
    </row>
    <row r="4317">
      <c r="A4317" s="14">
        <v>609.0</v>
      </c>
      <c r="B4317" s="14">
        <v>2.7886388E7</v>
      </c>
      <c r="C4317" s="14">
        <v>1.12395299E8</v>
      </c>
      <c r="D4317" s="2" t="s">
        <v>3653</v>
      </c>
      <c r="E4317" s="1" t="s">
        <v>121</v>
      </c>
      <c r="F4317" s="14">
        <v>-0.3595</v>
      </c>
      <c r="G4317" s="15"/>
      <c r="H4317" s="16"/>
      <c r="I4317" s="14"/>
    </row>
    <row r="4318">
      <c r="A4318" s="14">
        <v>288.0</v>
      </c>
      <c r="B4318" s="14">
        <v>5.143128E7</v>
      </c>
      <c r="C4318" s="14">
        <v>2.03815112E8</v>
      </c>
      <c r="D4318" s="2" t="s">
        <v>2970</v>
      </c>
      <c r="E4318" s="1" t="s">
        <v>121</v>
      </c>
      <c r="F4318" s="14">
        <v>-0.3595</v>
      </c>
      <c r="G4318" s="15"/>
      <c r="H4318" s="16"/>
      <c r="I4318" s="14"/>
    </row>
    <row r="4319">
      <c r="A4319" s="14">
        <v>643.0</v>
      </c>
      <c r="B4319" s="14">
        <v>8.631657E7</v>
      </c>
      <c r="C4319" s="14">
        <v>3.6438136E8</v>
      </c>
      <c r="D4319" s="2" t="s">
        <v>1342</v>
      </c>
      <c r="E4319" s="1" t="s">
        <v>121</v>
      </c>
      <c r="F4319" s="14">
        <v>-0.3595</v>
      </c>
      <c r="G4319" s="15"/>
      <c r="H4319" s="16"/>
      <c r="I4319" s="14"/>
    </row>
    <row r="4320">
      <c r="A4320" s="14">
        <v>225.0</v>
      </c>
      <c r="B4320" s="14">
        <v>2.0344605E7</v>
      </c>
      <c r="C4320" s="14">
        <v>8.4696673E7</v>
      </c>
      <c r="D4320" s="2" t="s">
        <v>3869</v>
      </c>
      <c r="E4320" s="1" t="s">
        <v>121</v>
      </c>
      <c r="F4320" s="14">
        <v>-0.3599</v>
      </c>
      <c r="G4320" s="15"/>
      <c r="H4320" s="16"/>
      <c r="I4320" s="14"/>
    </row>
    <row r="4321">
      <c r="A4321" s="14">
        <v>564.0</v>
      </c>
      <c r="B4321" s="14">
        <v>8336640.0</v>
      </c>
      <c r="C4321" s="14">
        <v>3.5321358E7</v>
      </c>
      <c r="D4321" s="2" t="s">
        <v>4520</v>
      </c>
      <c r="E4321" s="1" t="s">
        <v>699</v>
      </c>
      <c r="F4321" s="14">
        <v>-0.3612</v>
      </c>
      <c r="G4321" s="15"/>
      <c r="H4321" s="16"/>
      <c r="I4321" s="14"/>
    </row>
    <row r="4322">
      <c r="A4322" s="14">
        <v>414.0</v>
      </c>
      <c r="B4322" s="14">
        <v>1.1275081E7</v>
      </c>
      <c r="C4322" s="14">
        <v>4.7858334E7</v>
      </c>
      <c r="D4322" s="2" t="s">
        <v>4298</v>
      </c>
      <c r="E4322" s="1" t="s">
        <v>699</v>
      </c>
      <c r="F4322" s="14">
        <v>-0.3612</v>
      </c>
      <c r="G4322" s="15"/>
      <c r="H4322" s="16"/>
      <c r="I4322" s="14"/>
    </row>
    <row r="4323">
      <c r="A4323" s="14">
        <v>715.0</v>
      </c>
      <c r="B4323" s="14">
        <v>8.6591287E7</v>
      </c>
      <c r="C4323" s="14">
        <v>3.65507475E8</v>
      </c>
      <c r="D4323" s="2" t="s">
        <v>1313</v>
      </c>
      <c r="E4323" s="1" t="s">
        <v>699</v>
      </c>
      <c r="F4323" s="14">
        <v>-0.3612</v>
      </c>
      <c r="G4323" s="15"/>
      <c r="H4323" s="16"/>
      <c r="I4323" s="14"/>
    </row>
    <row r="4324">
      <c r="A4324" s="14">
        <v>484.0</v>
      </c>
      <c r="B4324" s="14">
        <v>1.12918296E8</v>
      </c>
      <c r="C4324" s="14">
        <v>4.91682424E8</v>
      </c>
      <c r="D4324" s="2" t="s">
        <v>13</v>
      </c>
      <c r="E4324" s="1" t="s">
        <v>699</v>
      </c>
      <c r="F4324" s="14">
        <v>-0.3612</v>
      </c>
      <c r="G4324" s="15"/>
      <c r="H4324" s="16"/>
      <c r="I4324" s="14"/>
    </row>
    <row r="4325">
      <c r="A4325" s="14">
        <v>339.0</v>
      </c>
      <c r="B4325" s="14">
        <v>515489.0</v>
      </c>
      <c r="C4325" s="14">
        <v>2459827.0</v>
      </c>
      <c r="D4325" s="2" t="s">
        <v>5157</v>
      </c>
      <c r="E4325" s="1" t="s">
        <v>121</v>
      </c>
      <c r="F4325" s="14">
        <v>-0.3612</v>
      </c>
      <c r="G4325" s="15"/>
      <c r="H4325" s="16"/>
      <c r="I4325" s="14"/>
    </row>
    <row r="4326">
      <c r="A4326" s="14">
        <v>388.0</v>
      </c>
      <c r="B4326" s="14">
        <v>1138284.0</v>
      </c>
      <c r="C4326" s="14">
        <v>2.1086049E7</v>
      </c>
      <c r="D4326" s="2" t="s">
        <v>5127</v>
      </c>
      <c r="E4326" s="1" t="s">
        <v>121</v>
      </c>
      <c r="F4326" s="14">
        <v>-0.3612</v>
      </c>
      <c r="G4326" s="15"/>
      <c r="H4326" s="16"/>
      <c r="I4326" s="14"/>
    </row>
    <row r="4327">
      <c r="A4327" s="14">
        <v>504.0</v>
      </c>
      <c r="B4327" s="14">
        <v>6913479.0</v>
      </c>
      <c r="C4327" s="14">
        <v>2.9422012E7</v>
      </c>
      <c r="D4327" s="2" t="s">
        <v>4622</v>
      </c>
      <c r="E4327" s="1" t="s">
        <v>121</v>
      </c>
      <c r="F4327" s="14">
        <v>-0.3612</v>
      </c>
      <c r="G4327" s="15"/>
      <c r="H4327" s="16"/>
      <c r="I4327" s="14"/>
    </row>
    <row r="4328">
      <c r="A4328" s="14">
        <v>571.0</v>
      </c>
      <c r="B4328" s="14">
        <v>1.4073685E7</v>
      </c>
      <c r="C4328" s="14">
        <v>5.9871969E7</v>
      </c>
      <c r="D4328" s="2" t="s">
        <v>4146</v>
      </c>
      <c r="E4328" s="1" t="s">
        <v>121</v>
      </c>
      <c r="F4328" s="14">
        <v>-0.3612</v>
      </c>
      <c r="G4328" s="15"/>
      <c r="H4328" s="16"/>
      <c r="I4328" s="14"/>
    </row>
    <row r="4329">
      <c r="A4329" s="14">
        <v>694.0</v>
      </c>
      <c r="B4329" s="14">
        <v>1.5200577E7</v>
      </c>
      <c r="C4329" s="14">
        <v>6.4653451E7</v>
      </c>
      <c r="D4329" s="2" t="s">
        <v>4084</v>
      </c>
      <c r="E4329" s="1" t="s">
        <v>121</v>
      </c>
      <c r="F4329" s="14">
        <v>-0.3612</v>
      </c>
      <c r="G4329" s="15"/>
      <c r="H4329" s="16"/>
      <c r="I4329" s="14"/>
    </row>
    <row r="4330">
      <c r="A4330" s="14">
        <v>674.0</v>
      </c>
      <c r="B4330" s="14">
        <v>3.1780726E7</v>
      </c>
      <c r="C4330" s="14">
        <v>1.27679644E8</v>
      </c>
      <c r="D4330" s="2" t="s">
        <v>3547</v>
      </c>
      <c r="E4330" s="1" t="s">
        <v>121</v>
      </c>
      <c r="F4330" s="14">
        <v>-0.3612</v>
      </c>
      <c r="G4330" s="15"/>
      <c r="H4330" s="16"/>
      <c r="I4330" s="14"/>
    </row>
    <row r="4331">
      <c r="A4331" s="14">
        <v>557.0</v>
      </c>
      <c r="B4331" s="14">
        <v>9.7452239E7</v>
      </c>
      <c r="C4331" s="14">
        <v>4.1651778E8</v>
      </c>
      <c r="D4331" s="2" t="s">
        <v>745</v>
      </c>
      <c r="E4331" s="1" t="s">
        <v>121</v>
      </c>
      <c r="F4331" s="14">
        <v>-0.3612</v>
      </c>
      <c r="G4331" s="15"/>
      <c r="H4331" s="16"/>
      <c r="I4331" s="14"/>
    </row>
    <row r="4332">
      <c r="A4332" s="14">
        <v>225.0</v>
      </c>
      <c r="B4332" s="14">
        <v>1.0952371E7</v>
      </c>
      <c r="C4332" s="14">
        <v>4.6570257E7</v>
      </c>
      <c r="D4332" s="2" t="s">
        <v>4323</v>
      </c>
      <c r="E4332" s="1" t="s">
        <v>699</v>
      </c>
      <c r="F4332" s="14">
        <v>-0.3616</v>
      </c>
      <c r="G4332" s="15"/>
      <c r="H4332" s="16"/>
      <c r="I4332" s="14"/>
    </row>
    <row r="4333">
      <c r="A4333" s="14">
        <v>565.0</v>
      </c>
      <c r="B4333" s="14">
        <v>4233134.0</v>
      </c>
      <c r="C4333" s="14">
        <v>1.7947905E7</v>
      </c>
      <c r="D4333" s="2" t="s">
        <v>4859</v>
      </c>
      <c r="E4333" s="1" t="s">
        <v>121</v>
      </c>
      <c r="F4333" s="14">
        <v>-0.3634</v>
      </c>
      <c r="G4333" s="15"/>
      <c r="H4333" s="16"/>
      <c r="I4333" s="14"/>
    </row>
    <row r="4334">
      <c r="A4334" s="14">
        <v>414.0</v>
      </c>
      <c r="B4334" s="14">
        <v>1.0183883E7</v>
      </c>
      <c r="C4334" s="14">
        <v>4.3202397E7</v>
      </c>
      <c r="D4334" s="2" t="s">
        <v>4383</v>
      </c>
      <c r="E4334" s="1" t="s">
        <v>121</v>
      </c>
      <c r="F4334" s="14">
        <v>-0.3658</v>
      </c>
      <c r="G4334" s="15"/>
      <c r="H4334" s="16"/>
      <c r="I4334" s="14"/>
    </row>
    <row r="4335">
      <c r="A4335" s="14">
        <v>120.0</v>
      </c>
      <c r="B4335" s="14">
        <v>371061.0</v>
      </c>
      <c r="C4335" s="14">
        <v>1618675.0</v>
      </c>
      <c r="D4335" s="2" t="s">
        <v>5166</v>
      </c>
      <c r="E4335" s="1" t="s">
        <v>121</v>
      </c>
      <c r="F4335" s="14">
        <v>-0.3724</v>
      </c>
      <c r="G4335" s="15"/>
      <c r="H4335" s="16"/>
      <c r="I4335" s="14"/>
    </row>
    <row r="4336">
      <c r="A4336" s="14">
        <v>488.0</v>
      </c>
      <c r="B4336" s="14">
        <v>6917338.0</v>
      </c>
      <c r="C4336" s="14">
        <v>2.9434728E7</v>
      </c>
      <c r="D4336" s="2" t="s">
        <v>4619</v>
      </c>
      <c r="E4336" s="1" t="s">
        <v>121</v>
      </c>
      <c r="F4336" s="14">
        <v>-0.3753</v>
      </c>
      <c r="G4336" s="15"/>
      <c r="H4336" s="16"/>
      <c r="I4336" s="14"/>
    </row>
    <row r="4337">
      <c r="A4337" s="14">
        <v>573.0</v>
      </c>
      <c r="B4337" s="14">
        <v>1.8041309E7</v>
      </c>
      <c r="C4337" s="14">
        <v>7.5897098E7</v>
      </c>
      <c r="D4337" s="2" t="s">
        <v>3934</v>
      </c>
      <c r="E4337" s="1" t="s">
        <v>121</v>
      </c>
      <c r="F4337" s="14">
        <v>-0.3758</v>
      </c>
      <c r="G4337" s="15"/>
      <c r="H4337" s="16"/>
      <c r="I4337" s="14"/>
    </row>
    <row r="4338">
      <c r="A4338" s="14">
        <v>524.0</v>
      </c>
      <c r="B4338" s="14">
        <v>4430954.0</v>
      </c>
      <c r="C4338" s="14">
        <v>1.8781023E7</v>
      </c>
      <c r="D4338" s="2" t="s">
        <v>4827</v>
      </c>
      <c r="E4338" s="1" t="s">
        <v>121</v>
      </c>
      <c r="F4338" s="14">
        <v>-0.3775</v>
      </c>
      <c r="G4338" s="15"/>
      <c r="H4338" s="16"/>
      <c r="I4338" s="14"/>
    </row>
    <row r="4339">
      <c r="A4339" s="14">
        <v>557.0</v>
      </c>
      <c r="B4339" s="14">
        <v>4.0322189E7</v>
      </c>
      <c r="C4339" s="14">
        <v>1.59770055E8</v>
      </c>
      <c r="D4339" s="2" t="s">
        <v>3367</v>
      </c>
      <c r="E4339" s="1" t="s">
        <v>699</v>
      </c>
      <c r="F4339" s="14">
        <v>-0.3786</v>
      </c>
      <c r="G4339" s="15"/>
      <c r="H4339" s="16"/>
      <c r="I4339" s="14"/>
    </row>
    <row r="4340">
      <c r="A4340" s="14">
        <v>671.0</v>
      </c>
      <c r="B4340" s="14">
        <v>4660728.0</v>
      </c>
      <c r="C4340" s="14">
        <v>1.9779827E7</v>
      </c>
      <c r="D4340" s="2" t="s">
        <v>4811</v>
      </c>
      <c r="E4340" s="1" t="s">
        <v>121</v>
      </c>
      <c r="F4340" s="14">
        <v>-0.3804</v>
      </c>
      <c r="G4340" s="15"/>
      <c r="H4340" s="16"/>
      <c r="I4340" s="14"/>
    </row>
    <row r="4341">
      <c r="A4341" s="14">
        <v>570.0</v>
      </c>
      <c r="B4341" s="14">
        <v>6.6352091E7</v>
      </c>
      <c r="C4341" s="14">
        <v>2.71096533E8</v>
      </c>
      <c r="D4341" s="2" t="s">
        <v>2419</v>
      </c>
      <c r="E4341" s="1" t="s">
        <v>121</v>
      </c>
      <c r="F4341" s="14">
        <v>-0.3804</v>
      </c>
      <c r="G4341" s="15"/>
      <c r="H4341" s="16"/>
      <c r="I4341" s="14"/>
    </row>
    <row r="4342">
      <c r="A4342" s="14">
        <v>602.0</v>
      </c>
      <c r="B4342" s="14">
        <v>4535420.0</v>
      </c>
      <c r="C4342" s="14">
        <v>2.33095683E8</v>
      </c>
      <c r="D4342" s="2" t="s">
        <v>4820</v>
      </c>
      <c r="E4342" s="1" t="s">
        <v>699</v>
      </c>
      <c r="F4342" s="14">
        <v>-0.3818</v>
      </c>
      <c r="G4342" s="15"/>
      <c r="H4342" s="16"/>
      <c r="I4342" s="14"/>
    </row>
    <row r="4343">
      <c r="A4343" s="14">
        <v>713.0</v>
      </c>
      <c r="B4343" s="14">
        <v>5.2268935E7</v>
      </c>
      <c r="C4343" s="14">
        <v>2.07616013E8</v>
      </c>
      <c r="D4343" s="2" t="s">
        <v>2935</v>
      </c>
      <c r="E4343" s="1" t="s">
        <v>699</v>
      </c>
      <c r="F4343" s="14">
        <v>-0.3818</v>
      </c>
      <c r="G4343" s="15"/>
      <c r="H4343" s="16"/>
      <c r="I4343" s="14"/>
    </row>
    <row r="4344">
      <c r="A4344" s="14">
        <v>602.0</v>
      </c>
      <c r="B4344" s="14">
        <v>1464278.0</v>
      </c>
      <c r="C4344" s="14">
        <v>2.5418588E7</v>
      </c>
      <c r="D4344" s="2" t="s">
        <v>5085</v>
      </c>
      <c r="E4344" s="1" t="s">
        <v>121</v>
      </c>
      <c r="F4344" s="14">
        <v>-0.3818</v>
      </c>
      <c r="G4344" s="15"/>
      <c r="H4344" s="16"/>
      <c r="I4344" s="14"/>
    </row>
    <row r="4345">
      <c r="A4345" s="14">
        <v>421.0</v>
      </c>
      <c r="B4345" s="14">
        <v>2.0436317E7</v>
      </c>
      <c r="C4345" s="14">
        <v>8.5046823E7</v>
      </c>
      <c r="D4345" s="2" t="s">
        <v>3865</v>
      </c>
      <c r="E4345" s="1" t="s">
        <v>121</v>
      </c>
      <c r="F4345" s="14">
        <v>-0.3818</v>
      </c>
      <c r="G4345" s="15"/>
      <c r="H4345" s="16"/>
      <c r="I4345" s="14"/>
    </row>
    <row r="4346">
      <c r="A4346" s="14">
        <v>609.0</v>
      </c>
      <c r="B4346" s="14">
        <v>2.6829107E7</v>
      </c>
      <c r="C4346" s="14">
        <v>1.08470008E8</v>
      </c>
      <c r="D4346" s="2" t="s">
        <v>3678</v>
      </c>
      <c r="E4346" s="1" t="s">
        <v>121</v>
      </c>
      <c r="F4346" s="14">
        <v>-0.3818</v>
      </c>
      <c r="G4346" s="15"/>
      <c r="H4346" s="16"/>
      <c r="I4346" s="14"/>
    </row>
    <row r="4347">
      <c r="A4347" s="14">
        <v>492.0</v>
      </c>
      <c r="B4347" s="14">
        <v>9.5473402E7</v>
      </c>
      <c r="C4347" s="14">
        <v>4.07054059E8</v>
      </c>
      <c r="D4347" s="2" t="s">
        <v>855</v>
      </c>
      <c r="E4347" s="1" t="s">
        <v>121</v>
      </c>
      <c r="F4347" s="14">
        <v>-0.3818</v>
      </c>
      <c r="G4347" s="15"/>
      <c r="H4347" s="16"/>
      <c r="I4347" s="14"/>
    </row>
    <row r="4348">
      <c r="A4348" s="14">
        <v>602.0</v>
      </c>
      <c r="B4348" s="14">
        <v>9.8372362E7</v>
      </c>
      <c r="C4348" s="14">
        <v>4.20525798E8</v>
      </c>
      <c r="D4348" s="2" t="s">
        <v>680</v>
      </c>
      <c r="E4348" s="1" t="s">
        <v>121</v>
      </c>
      <c r="F4348" s="14">
        <v>-0.3818</v>
      </c>
      <c r="G4348" s="15"/>
      <c r="H4348" s="16"/>
      <c r="I4348" s="14"/>
    </row>
    <row r="4349">
      <c r="A4349" s="14">
        <v>380.0</v>
      </c>
      <c r="B4349" s="14">
        <v>2.3968651E7</v>
      </c>
      <c r="C4349" s="14">
        <v>9.8774322E7</v>
      </c>
      <c r="D4349" s="2" t="s">
        <v>3753</v>
      </c>
      <c r="E4349" s="1" t="s">
        <v>121</v>
      </c>
      <c r="F4349" s="14">
        <v>-0.3827</v>
      </c>
      <c r="G4349" s="15"/>
      <c r="H4349" s="16"/>
      <c r="I4349" s="14"/>
    </row>
    <row r="4350">
      <c r="A4350" s="14">
        <v>609.0</v>
      </c>
      <c r="B4350" s="14">
        <v>1.7915268E7</v>
      </c>
      <c r="C4350" s="14">
        <v>7.5444403E7</v>
      </c>
      <c r="D4350" s="2" t="s">
        <v>3941</v>
      </c>
      <c r="E4350" s="1" t="s">
        <v>121</v>
      </c>
      <c r="F4350" s="14">
        <v>-0.3832</v>
      </c>
      <c r="G4350" s="15"/>
      <c r="H4350" s="16"/>
      <c r="I4350" s="14"/>
    </row>
    <row r="4351">
      <c r="A4351" s="14">
        <v>337.0</v>
      </c>
      <c r="B4351" s="14">
        <v>1.428564E7</v>
      </c>
      <c r="C4351" s="14">
        <v>6.0801803E7</v>
      </c>
      <c r="D4351" s="2" t="s">
        <v>4138</v>
      </c>
      <c r="E4351" s="1" t="s">
        <v>121</v>
      </c>
      <c r="F4351" s="14">
        <v>-0.3839</v>
      </c>
      <c r="G4351" s="15"/>
      <c r="H4351" s="16"/>
      <c r="I4351" s="14"/>
    </row>
    <row r="4352">
      <c r="A4352" s="14">
        <v>458.0</v>
      </c>
      <c r="B4352" s="14">
        <v>8.7953532E7</v>
      </c>
      <c r="C4352" s="14">
        <v>3.71850337E8</v>
      </c>
      <c r="D4352" s="2" t="s">
        <v>1241</v>
      </c>
      <c r="E4352" s="1" t="s">
        <v>121</v>
      </c>
      <c r="F4352" s="14">
        <v>-0.3843</v>
      </c>
      <c r="G4352" s="15"/>
      <c r="H4352" s="16"/>
      <c r="I4352" s="14"/>
    </row>
    <row r="4353">
      <c r="A4353" s="14">
        <v>129.0</v>
      </c>
      <c r="B4353" s="14">
        <v>5.5493248E7</v>
      </c>
      <c r="C4353" s="14">
        <v>2.90310614E8</v>
      </c>
      <c r="D4353" s="2" t="s">
        <v>2828</v>
      </c>
      <c r="E4353" s="1" t="s">
        <v>121</v>
      </c>
      <c r="F4353" s="14">
        <v>-0.3875</v>
      </c>
      <c r="G4353" s="15"/>
      <c r="H4353" s="16"/>
      <c r="I4353" s="14"/>
    </row>
    <row r="4354">
      <c r="A4354" s="14">
        <v>713.0</v>
      </c>
      <c r="B4354" s="14">
        <v>7.847155E7</v>
      </c>
      <c r="C4354" s="14">
        <v>3.27236162E8</v>
      </c>
      <c r="D4354" s="2" t="s">
        <v>1825</v>
      </c>
      <c r="E4354" s="1" t="s">
        <v>121</v>
      </c>
      <c r="F4354" s="14">
        <v>-0.3875</v>
      </c>
      <c r="G4354" s="15"/>
      <c r="H4354" s="16"/>
      <c r="I4354" s="14"/>
    </row>
    <row r="4355">
      <c r="A4355" s="14">
        <v>597.0</v>
      </c>
      <c r="B4355" s="14">
        <v>4.1637592E7</v>
      </c>
      <c r="C4355" s="14">
        <v>1.64673687E8</v>
      </c>
      <c r="D4355" s="2" t="s">
        <v>3332</v>
      </c>
      <c r="E4355" s="1" t="s">
        <v>121</v>
      </c>
      <c r="F4355" s="14">
        <v>-0.3883</v>
      </c>
      <c r="G4355" s="15"/>
      <c r="H4355" s="16"/>
      <c r="I4355" s="14"/>
    </row>
    <row r="4356">
      <c r="A4356" s="14">
        <v>570.0</v>
      </c>
      <c r="B4356" s="14">
        <v>8301512.0</v>
      </c>
      <c r="C4356" s="14">
        <v>3.5198615E7</v>
      </c>
      <c r="D4356" s="2" t="s">
        <v>4522</v>
      </c>
      <c r="E4356" s="1" t="s">
        <v>121</v>
      </c>
      <c r="F4356" s="14">
        <v>-0.3897</v>
      </c>
      <c r="G4356" s="15"/>
      <c r="H4356" s="16"/>
      <c r="I4356" s="14"/>
    </row>
    <row r="4357">
      <c r="A4357" s="14">
        <v>392.0</v>
      </c>
      <c r="B4357" s="14">
        <v>1.1446458E7</v>
      </c>
      <c r="C4357" s="14">
        <v>4.8657443E7</v>
      </c>
      <c r="D4357" s="2" t="s">
        <v>4288</v>
      </c>
      <c r="E4357" s="1" t="s">
        <v>121</v>
      </c>
      <c r="F4357" s="14">
        <v>-0.3919</v>
      </c>
      <c r="G4357" s="15"/>
      <c r="H4357" s="16"/>
      <c r="I4357" s="14"/>
    </row>
    <row r="4358">
      <c r="A4358" s="14">
        <v>319.0</v>
      </c>
      <c r="B4358" s="14">
        <v>3187141.0</v>
      </c>
      <c r="C4358" s="14">
        <v>1.3531056E7</v>
      </c>
      <c r="D4358" s="2" t="s">
        <v>4943</v>
      </c>
      <c r="E4358" s="1" t="s">
        <v>121</v>
      </c>
      <c r="F4358" s="14">
        <v>-0.3921</v>
      </c>
      <c r="G4358" s="15"/>
      <c r="H4358" s="16"/>
      <c r="I4358" s="14"/>
    </row>
    <row r="4359">
      <c r="A4359" s="14">
        <v>571.0</v>
      </c>
      <c r="B4359" s="14">
        <v>3074161.0</v>
      </c>
      <c r="C4359" s="14">
        <v>1.3077528E7</v>
      </c>
      <c r="D4359" s="2" t="s">
        <v>4963</v>
      </c>
      <c r="E4359" s="1" t="s">
        <v>121</v>
      </c>
      <c r="F4359" s="14">
        <v>-0.3925</v>
      </c>
      <c r="G4359" s="15"/>
      <c r="H4359" s="16"/>
      <c r="I4359" s="14"/>
    </row>
    <row r="4360">
      <c r="A4360" s="14">
        <v>503.0</v>
      </c>
      <c r="B4360" s="14">
        <v>2.6687338E7</v>
      </c>
      <c r="C4360" s="14">
        <v>1.07960524E8</v>
      </c>
      <c r="D4360" s="2" t="s">
        <v>3688</v>
      </c>
      <c r="E4360" s="1" t="s">
        <v>699</v>
      </c>
      <c r="F4360" s="14">
        <v>-0.395</v>
      </c>
      <c r="G4360" s="15"/>
      <c r="H4360" s="16"/>
      <c r="I4360" s="14"/>
    </row>
    <row r="4361">
      <c r="A4361" s="14">
        <v>484.0</v>
      </c>
      <c r="B4361" s="14">
        <v>7.8044408E7</v>
      </c>
      <c r="C4361" s="14">
        <v>3.25655208E8</v>
      </c>
      <c r="D4361" s="2" t="s">
        <v>1854</v>
      </c>
      <c r="E4361" s="1" t="s">
        <v>121</v>
      </c>
      <c r="F4361" s="14">
        <v>-0.3961</v>
      </c>
      <c r="G4361" s="15"/>
      <c r="H4361" s="16"/>
      <c r="I4361" s="14"/>
    </row>
    <row r="4362">
      <c r="A4362" s="14">
        <v>716.0</v>
      </c>
      <c r="B4362" s="14">
        <v>8.2084208E7</v>
      </c>
      <c r="C4362" s="14">
        <v>3.43925945E8</v>
      </c>
      <c r="D4362" s="2" t="s">
        <v>1627</v>
      </c>
      <c r="E4362" s="1" t="s">
        <v>699</v>
      </c>
      <c r="F4362" s="14">
        <v>-0.4005</v>
      </c>
      <c r="G4362" s="15"/>
      <c r="H4362" s="16"/>
      <c r="I4362" s="14"/>
    </row>
    <row r="4363">
      <c r="A4363" s="14">
        <v>578.0</v>
      </c>
      <c r="B4363" s="14">
        <v>1.6530946E7</v>
      </c>
      <c r="C4363" s="14">
        <v>7.0001307E7</v>
      </c>
      <c r="D4363" s="2" t="s">
        <v>3999</v>
      </c>
      <c r="E4363" s="1" t="s">
        <v>121</v>
      </c>
      <c r="F4363" s="14">
        <v>-0.4005</v>
      </c>
      <c r="G4363" s="15"/>
      <c r="H4363" s="16"/>
      <c r="I4363" s="14"/>
    </row>
    <row r="4364">
      <c r="A4364" s="14">
        <v>665.0</v>
      </c>
      <c r="B4364" s="14">
        <v>1.8753619E7</v>
      </c>
      <c r="C4364" s="14">
        <v>7.8597309E7</v>
      </c>
      <c r="D4364" s="2" t="s">
        <v>3906</v>
      </c>
      <c r="E4364" s="1" t="s">
        <v>107</v>
      </c>
      <c r="F4364" s="14">
        <v>-0.4019</v>
      </c>
      <c r="G4364" s="15"/>
      <c r="H4364" s="16"/>
      <c r="I4364" s="14"/>
    </row>
    <row r="4365">
      <c r="A4365" s="14">
        <v>425.0</v>
      </c>
      <c r="B4365" s="14">
        <v>3688709.0</v>
      </c>
      <c r="C4365" s="14">
        <v>1.5644468E7</v>
      </c>
      <c r="D4365" s="2" t="s">
        <v>4901</v>
      </c>
      <c r="E4365" s="1" t="s">
        <v>699</v>
      </c>
      <c r="F4365" s="14">
        <v>-0.4019</v>
      </c>
      <c r="G4365" s="15"/>
      <c r="H4365" s="16"/>
      <c r="I4365" s="14"/>
    </row>
    <row r="4366">
      <c r="A4366" s="14">
        <v>564.0</v>
      </c>
      <c r="B4366" s="14">
        <v>1602515.0</v>
      </c>
      <c r="C4366" s="14">
        <v>7030510.0</v>
      </c>
      <c r="D4366" s="2" t="s">
        <v>5073</v>
      </c>
      <c r="E4366" s="1" t="s">
        <v>121</v>
      </c>
      <c r="F4366" s="14">
        <v>-0.4019</v>
      </c>
      <c r="G4366" s="15"/>
      <c r="H4366" s="16"/>
      <c r="I4366" s="14"/>
    </row>
    <row r="4367">
      <c r="A4367" s="14">
        <v>403.0</v>
      </c>
      <c r="B4367" s="14">
        <v>1846596.0</v>
      </c>
      <c r="C4367" s="14">
        <v>2.82955561E8</v>
      </c>
      <c r="D4367" s="2" t="s">
        <v>5061</v>
      </c>
      <c r="E4367" s="1" t="s">
        <v>121</v>
      </c>
      <c r="F4367" s="14">
        <v>-0.4019</v>
      </c>
      <c r="G4367" s="15"/>
      <c r="H4367" s="16"/>
      <c r="I4367" s="14"/>
    </row>
    <row r="4368">
      <c r="A4368" s="14">
        <v>715.0</v>
      </c>
      <c r="B4368" s="14">
        <v>3349021.0</v>
      </c>
      <c r="C4368" s="14">
        <v>1.419185E7</v>
      </c>
      <c r="D4368" s="2" t="s">
        <v>4934</v>
      </c>
      <c r="E4368" s="1" t="s">
        <v>121</v>
      </c>
      <c r="F4368" s="14">
        <v>-0.4019</v>
      </c>
      <c r="G4368" s="15"/>
      <c r="H4368" s="16"/>
      <c r="I4368" s="14"/>
    </row>
    <row r="4369">
      <c r="A4369" s="14">
        <v>630.0</v>
      </c>
      <c r="B4369" s="14">
        <v>4072822.0</v>
      </c>
      <c r="C4369" s="14">
        <v>8.0795308E7</v>
      </c>
      <c r="D4369" s="2" t="s">
        <v>4865</v>
      </c>
      <c r="E4369" s="1" t="s">
        <v>121</v>
      </c>
      <c r="F4369" s="14">
        <v>-0.4019</v>
      </c>
      <c r="G4369" s="15"/>
      <c r="H4369" s="16"/>
      <c r="I4369" s="14"/>
    </row>
    <row r="4370">
      <c r="A4370" s="14">
        <v>571.0</v>
      </c>
      <c r="B4370" s="14">
        <v>1.5940886E7</v>
      </c>
      <c r="C4370" s="14">
        <v>6.7718468E7</v>
      </c>
      <c r="D4370" s="2" t="s">
        <v>4038</v>
      </c>
      <c r="E4370" s="1" t="s">
        <v>121</v>
      </c>
      <c r="F4370" s="14">
        <v>-0.4019</v>
      </c>
      <c r="G4370" s="15"/>
      <c r="H4370" s="16"/>
      <c r="I4370" s="14"/>
    </row>
    <row r="4371">
      <c r="A4371" s="14">
        <v>120.0</v>
      </c>
      <c r="B4371" s="14">
        <v>4.867257E7</v>
      </c>
      <c r="C4371" s="14">
        <v>1.92509956E8</v>
      </c>
      <c r="D4371" s="2" t="s">
        <v>3071</v>
      </c>
      <c r="E4371" s="1" t="s">
        <v>121</v>
      </c>
      <c r="F4371" s="14">
        <v>-0.4019</v>
      </c>
      <c r="G4371" s="15"/>
      <c r="H4371" s="16"/>
      <c r="I4371" s="14"/>
    </row>
    <row r="4372">
      <c r="A4372" s="14">
        <v>671.0</v>
      </c>
      <c r="B4372" s="14">
        <v>5.6023157E7</v>
      </c>
      <c r="C4372" s="14">
        <v>2.60911477E8</v>
      </c>
      <c r="D4372" s="2" t="s">
        <v>2813</v>
      </c>
      <c r="E4372" s="1" t="s">
        <v>121</v>
      </c>
      <c r="F4372" s="14">
        <v>-0.4019</v>
      </c>
      <c r="G4372" s="15"/>
      <c r="H4372" s="16"/>
      <c r="I4372" s="14"/>
    </row>
    <row r="4373">
      <c r="A4373" s="14">
        <v>661.0</v>
      </c>
      <c r="B4373" s="14">
        <v>5.6994128E7</v>
      </c>
      <c r="C4373" s="14">
        <v>2.2685371E8</v>
      </c>
      <c r="D4373" s="2" t="s">
        <v>2786</v>
      </c>
      <c r="E4373" s="1" t="s">
        <v>121</v>
      </c>
      <c r="F4373" s="14">
        <v>-0.4019</v>
      </c>
      <c r="G4373" s="15"/>
      <c r="H4373" s="16"/>
      <c r="I4373" s="14"/>
    </row>
    <row r="4374">
      <c r="A4374" s="14">
        <v>601.0</v>
      </c>
      <c r="B4374" s="14">
        <v>7.8098591E7</v>
      </c>
      <c r="C4374" s="14">
        <v>3.2510558E8</v>
      </c>
      <c r="D4374" s="2" t="s">
        <v>1849</v>
      </c>
      <c r="E4374" s="1" t="s">
        <v>121</v>
      </c>
      <c r="F4374" s="14">
        <v>-0.4019</v>
      </c>
      <c r="G4374" s="15"/>
      <c r="H4374" s="16"/>
      <c r="I4374" s="14"/>
    </row>
    <row r="4375">
      <c r="A4375" s="14">
        <v>720.0</v>
      </c>
      <c r="B4375" s="14">
        <v>8.0194368E7</v>
      </c>
      <c r="C4375" s="14">
        <v>3.35299203E8</v>
      </c>
      <c r="D4375" s="2" t="s">
        <v>1736</v>
      </c>
      <c r="E4375" s="1" t="s">
        <v>121</v>
      </c>
      <c r="F4375" s="14">
        <v>-0.4019</v>
      </c>
      <c r="G4375" s="15"/>
      <c r="H4375" s="16"/>
      <c r="I4375" s="14"/>
    </row>
    <row r="4376">
      <c r="A4376" s="14">
        <v>602.0</v>
      </c>
      <c r="B4376" s="14">
        <v>8.5396113E7</v>
      </c>
      <c r="C4376" s="14">
        <v>3.59810145E8</v>
      </c>
      <c r="D4376" s="2" t="s">
        <v>1399</v>
      </c>
      <c r="E4376" s="1" t="s">
        <v>121</v>
      </c>
      <c r="F4376" s="14">
        <v>-0.4019</v>
      </c>
      <c r="G4376" s="15"/>
      <c r="H4376" s="16"/>
      <c r="I4376" s="14"/>
    </row>
    <row r="4377">
      <c r="A4377" s="14">
        <v>571.0</v>
      </c>
      <c r="B4377" s="14">
        <v>8.6429771E7</v>
      </c>
      <c r="C4377" s="14">
        <v>3.65571459E8</v>
      </c>
      <c r="D4377" s="2" t="s">
        <v>1331</v>
      </c>
      <c r="E4377" s="1" t="s">
        <v>121</v>
      </c>
      <c r="F4377" s="14">
        <v>-0.4019</v>
      </c>
      <c r="G4377" s="15"/>
      <c r="H4377" s="16"/>
      <c r="I4377" s="14"/>
    </row>
    <row r="4378">
      <c r="A4378" s="14">
        <v>587.0</v>
      </c>
      <c r="B4378" s="14">
        <v>9.4756038E7</v>
      </c>
      <c r="C4378" s="14">
        <v>4.03143258E8</v>
      </c>
      <c r="D4378" s="2" t="s">
        <v>893</v>
      </c>
      <c r="E4378" s="1" t="s">
        <v>121</v>
      </c>
      <c r="F4378" s="14">
        <v>-0.4019</v>
      </c>
      <c r="G4378" s="15"/>
      <c r="H4378" s="16"/>
      <c r="I4378" s="14"/>
    </row>
    <row r="4379">
      <c r="A4379" s="14">
        <v>665.0</v>
      </c>
      <c r="B4379" s="14">
        <v>8032135.0</v>
      </c>
      <c r="C4379" s="14">
        <v>3.408907E7</v>
      </c>
      <c r="D4379" s="2" t="s">
        <v>4542</v>
      </c>
      <c r="E4379" s="1" t="s">
        <v>699</v>
      </c>
      <c r="F4379" s="14">
        <v>-0.4023</v>
      </c>
      <c r="G4379" s="15"/>
      <c r="H4379" s="16"/>
      <c r="I4379" s="14"/>
    </row>
    <row r="4380">
      <c r="A4380" s="14">
        <v>526.0</v>
      </c>
      <c r="B4380" s="14">
        <v>1.656045E7</v>
      </c>
      <c r="C4380" s="14">
        <v>7.0215514E7</v>
      </c>
      <c r="D4380" s="2" t="s">
        <v>3993</v>
      </c>
      <c r="E4380" s="1" t="s">
        <v>699</v>
      </c>
      <c r="F4380" s="14">
        <v>-0.4023</v>
      </c>
      <c r="G4380" s="15"/>
      <c r="H4380" s="16"/>
      <c r="I4380" s="14"/>
    </row>
    <row r="4381">
      <c r="A4381" s="14">
        <v>550.0</v>
      </c>
      <c r="B4381" s="14">
        <v>8.1386071E7</v>
      </c>
      <c r="C4381" s="14">
        <v>3.40852336E8</v>
      </c>
      <c r="D4381" s="2" t="s">
        <v>1677</v>
      </c>
      <c r="E4381" s="1" t="s">
        <v>121</v>
      </c>
      <c r="F4381" s="14">
        <v>-0.4023</v>
      </c>
      <c r="G4381" s="15"/>
      <c r="H4381" s="16"/>
      <c r="I4381" s="14"/>
    </row>
    <row r="4382">
      <c r="A4382" s="14">
        <v>395.0</v>
      </c>
      <c r="B4382" s="14">
        <v>6829122.0</v>
      </c>
      <c r="C4382" s="14">
        <v>2.9073582E7</v>
      </c>
      <c r="D4382" s="2" t="s">
        <v>4629</v>
      </c>
      <c r="E4382" s="1" t="s">
        <v>121</v>
      </c>
      <c r="F4382" s="14">
        <v>-0.4033</v>
      </c>
      <c r="G4382" s="15"/>
      <c r="H4382" s="16"/>
      <c r="I4382" s="14"/>
    </row>
    <row r="4383">
      <c r="A4383" s="14">
        <v>173.0</v>
      </c>
      <c r="B4383" s="14">
        <v>9.6045367E7</v>
      </c>
      <c r="C4383" s="14">
        <v>4.09533861E8</v>
      </c>
      <c r="D4383" s="2" t="s">
        <v>816</v>
      </c>
      <c r="E4383" s="1" t="s">
        <v>121</v>
      </c>
      <c r="F4383" s="14">
        <v>-0.4039</v>
      </c>
      <c r="G4383" s="15"/>
      <c r="H4383" s="16"/>
      <c r="I4383" s="14"/>
    </row>
    <row r="4384">
      <c r="A4384" s="14">
        <v>394.0</v>
      </c>
      <c r="B4384" s="14">
        <v>1.0538556E7</v>
      </c>
      <c r="C4384" s="14">
        <v>4.4732005E7</v>
      </c>
      <c r="D4384" s="2" t="s">
        <v>4359</v>
      </c>
      <c r="E4384" s="1" t="s">
        <v>699</v>
      </c>
      <c r="F4384" s="14">
        <v>-0.4098</v>
      </c>
      <c r="G4384" s="15"/>
      <c r="H4384" s="16"/>
      <c r="I4384" s="14"/>
    </row>
    <row r="4385">
      <c r="A4385" s="14">
        <v>602.0</v>
      </c>
      <c r="B4385" s="14">
        <v>7.5208288E7</v>
      </c>
      <c r="C4385" s="14">
        <v>3.11646331E8</v>
      </c>
      <c r="D4385" s="2" t="s">
        <v>2021</v>
      </c>
      <c r="E4385" s="1" t="s">
        <v>699</v>
      </c>
      <c r="F4385" s="14">
        <v>-0.4098</v>
      </c>
      <c r="G4385" s="15"/>
      <c r="H4385" s="16"/>
      <c r="I4385" s="14"/>
    </row>
    <row r="4386">
      <c r="A4386" s="14">
        <v>503.0</v>
      </c>
      <c r="B4386" s="14">
        <v>7588174.0</v>
      </c>
      <c r="C4386" s="14">
        <v>3.2246701E7</v>
      </c>
      <c r="D4386" s="2" t="s">
        <v>4566</v>
      </c>
      <c r="E4386" s="1" t="s">
        <v>121</v>
      </c>
      <c r="F4386" s="14">
        <v>-0.4109</v>
      </c>
      <c r="G4386" s="15"/>
      <c r="H4386" s="16"/>
      <c r="I4386" s="14"/>
    </row>
    <row r="4387">
      <c r="A4387" s="14">
        <v>671.0</v>
      </c>
      <c r="B4387" s="14">
        <v>2.7154003E7</v>
      </c>
      <c r="C4387" s="14">
        <v>3.85264601E8</v>
      </c>
      <c r="D4387" s="2" t="s">
        <v>3671</v>
      </c>
      <c r="E4387" s="1" t="s">
        <v>121</v>
      </c>
      <c r="F4387" s="14">
        <v>-0.4137</v>
      </c>
      <c r="G4387" s="15"/>
      <c r="H4387" s="16"/>
      <c r="I4387" s="14"/>
    </row>
    <row r="4388">
      <c r="A4388" s="14">
        <v>484.0</v>
      </c>
      <c r="B4388" s="14">
        <v>6525898.0</v>
      </c>
      <c r="C4388" s="14">
        <v>2.7783843E7</v>
      </c>
      <c r="D4388" s="2" t="s">
        <v>4661</v>
      </c>
      <c r="E4388" s="1" t="s">
        <v>121</v>
      </c>
      <c r="F4388" s="14">
        <v>-0.4179</v>
      </c>
      <c r="G4388" s="15"/>
      <c r="H4388" s="16"/>
      <c r="I4388" s="14"/>
    </row>
    <row r="4389">
      <c r="A4389" s="14">
        <v>129.0</v>
      </c>
      <c r="B4389" s="14">
        <v>4.8911303E7</v>
      </c>
      <c r="C4389" s="14">
        <v>1.93311685E8</v>
      </c>
      <c r="D4389" s="2" t="s">
        <v>3056</v>
      </c>
      <c r="E4389" s="1" t="s">
        <v>121</v>
      </c>
      <c r="F4389" s="14">
        <v>-0.4184</v>
      </c>
      <c r="G4389" s="15"/>
      <c r="H4389" s="16"/>
      <c r="I4389" s="14"/>
    </row>
    <row r="4390">
      <c r="A4390" s="14">
        <v>531.0</v>
      </c>
      <c r="B4390" s="14">
        <v>7.6954885E7</v>
      </c>
      <c r="C4390" s="14">
        <v>3.19894209E8</v>
      </c>
      <c r="D4390" s="2" t="s">
        <v>1921</v>
      </c>
      <c r="E4390" s="1" t="s">
        <v>121</v>
      </c>
      <c r="F4390" s="14">
        <v>-0.4184</v>
      </c>
      <c r="G4390" s="15"/>
      <c r="H4390" s="16"/>
      <c r="I4390" s="14"/>
    </row>
    <row r="4391">
      <c r="A4391" s="14">
        <v>504.0</v>
      </c>
      <c r="B4391" s="14">
        <v>9417864.0</v>
      </c>
      <c r="C4391" s="14">
        <v>3.9987464E7</v>
      </c>
      <c r="D4391" s="2" t="s">
        <v>4437</v>
      </c>
      <c r="E4391" s="1" t="s">
        <v>121</v>
      </c>
      <c r="F4391" s="14">
        <v>-0.4199</v>
      </c>
      <c r="G4391" s="15"/>
      <c r="H4391" s="16"/>
      <c r="I4391" s="14"/>
    </row>
    <row r="4392">
      <c r="A4392" s="14">
        <v>609.0</v>
      </c>
      <c r="B4392" s="14">
        <v>2794359.0</v>
      </c>
      <c r="C4392" s="14">
        <v>1.1783082E7</v>
      </c>
      <c r="D4392" s="2" t="s">
        <v>4991</v>
      </c>
      <c r="E4392" s="1" t="s">
        <v>121</v>
      </c>
      <c r="F4392" s="14">
        <v>-0.4201</v>
      </c>
      <c r="G4392" s="15"/>
      <c r="H4392" s="16"/>
      <c r="I4392" s="14"/>
    </row>
    <row r="4393">
      <c r="A4393" s="14">
        <v>680.0</v>
      </c>
      <c r="B4393" s="14">
        <v>3.2476921E7</v>
      </c>
      <c r="C4393" s="14">
        <v>1.95796544E8</v>
      </c>
      <c r="D4393" s="2" t="s">
        <v>3526</v>
      </c>
      <c r="E4393" s="1" t="s">
        <v>121</v>
      </c>
      <c r="F4393" s="14">
        <v>-0.4201</v>
      </c>
      <c r="G4393" s="15"/>
      <c r="H4393" s="16"/>
      <c r="I4393" s="14"/>
    </row>
    <row r="4394">
      <c r="A4394" s="14">
        <v>206.0</v>
      </c>
      <c r="B4394" s="14">
        <v>1498006.0</v>
      </c>
      <c r="C4394" s="14">
        <v>6587905.0</v>
      </c>
      <c r="D4394" s="2" t="s">
        <v>5083</v>
      </c>
      <c r="E4394" s="1" t="s">
        <v>699</v>
      </c>
      <c r="F4394" s="14">
        <v>-0.4215</v>
      </c>
      <c r="G4394" s="15"/>
      <c r="H4394" s="16"/>
      <c r="I4394" s="14"/>
    </row>
    <row r="4395">
      <c r="A4395" s="14">
        <v>587.0</v>
      </c>
      <c r="B4395" s="14">
        <v>1560229.0</v>
      </c>
      <c r="C4395" s="14">
        <v>6848941.0</v>
      </c>
      <c r="D4395" s="2" t="s">
        <v>5076</v>
      </c>
      <c r="E4395" s="1" t="s">
        <v>699</v>
      </c>
      <c r="F4395" s="14">
        <v>-0.4215</v>
      </c>
      <c r="G4395" s="15"/>
      <c r="H4395" s="16"/>
      <c r="I4395" s="14"/>
    </row>
    <row r="4396">
      <c r="A4396" s="14">
        <v>225.0</v>
      </c>
      <c r="B4396" s="14">
        <v>2484443.0</v>
      </c>
      <c r="C4396" s="14">
        <v>1.0515731E7</v>
      </c>
      <c r="D4396" s="2" t="s">
        <v>5023</v>
      </c>
      <c r="E4396" s="1" t="s">
        <v>699</v>
      </c>
      <c r="F4396" s="14">
        <v>-0.4215</v>
      </c>
      <c r="G4396" s="15"/>
      <c r="H4396" s="16"/>
      <c r="I4396" s="14"/>
    </row>
    <row r="4397">
      <c r="A4397" s="14">
        <v>257.0</v>
      </c>
      <c r="B4397" s="14">
        <v>2780783.0</v>
      </c>
      <c r="C4397" s="14">
        <v>1.1725132E7</v>
      </c>
      <c r="D4397" s="2" t="s">
        <v>4994</v>
      </c>
      <c r="E4397" s="1" t="s">
        <v>699</v>
      </c>
      <c r="F4397" s="14">
        <v>-0.4215</v>
      </c>
      <c r="G4397" s="15"/>
      <c r="H4397" s="16"/>
      <c r="I4397" s="14"/>
    </row>
    <row r="4398">
      <c r="A4398" s="14">
        <v>488.0</v>
      </c>
      <c r="B4398" s="14">
        <v>2828728.0</v>
      </c>
      <c r="C4398" s="14">
        <v>1.199475E7</v>
      </c>
      <c r="D4398" s="2" t="s">
        <v>4988</v>
      </c>
      <c r="E4398" s="1" t="s">
        <v>699</v>
      </c>
      <c r="F4398" s="14">
        <v>-0.4215</v>
      </c>
      <c r="G4398" s="15"/>
      <c r="H4398" s="16"/>
      <c r="I4398" s="14"/>
    </row>
    <row r="4399">
      <c r="A4399" s="14">
        <v>671.0</v>
      </c>
      <c r="B4399" s="14">
        <v>3968598.0</v>
      </c>
      <c r="C4399" s="14">
        <v>1.6817145E7</v>
      </c>
      <c r="D4399" s="2" t="s">
        <v>4878</v>
      </c>
      <c r="E4399" s="1" t="s">
        <v>699</v>
      </c>
      <c r="F4399" s="14">
        <v>-0.4215</v>
      </c>
      <c r="G4399" s="15"/>
      <c r="H4399" s="16"/>
      <c r="I4399" s="14"/>
    </row>
    <row r="4400">
      <c r="A4400" s="14">
        <v>456.0</v>
      </c>
      <c r="B4400" s="14">
        <v>6456700.0</v>
      </c>
      <c r="C4400" s="14">
        <v>2.7427803E7</v>
      </c>
      <c r="D4400" s="2" t="s">
        <v>4667</v>
      </c>
      <c r="E4400" s="1" t="s">
        <v>699</v>
      </c>
      <c r="F4400" s="14">
        <v>-0.4215</v>
      </c>
      <c r="G4400" s="15"/>
      <c r="H4400" s="16"/>
      <c r="I4400" s="14"/>
    </row>
    <row r="4401">
      <c r="A4401" s="14">
        <v>488.0</v>
      </c>
      <c r="B4401" s="14">
        <v>9097554.0</v>
      </c>
      <c r="C4401" s="14">
        <v>3.8516486E7</v>
      </c>
      <c r="D4401" s="2" t="s">
        <v>4467</v>
      </c>
      <c r="E4401" s="1" t="s">
        <v>699</v>
      </c>
      <c r="F4401" s="14">
        <v>-0.4215</v>
      </c>
      <c r="G4401" s="15"/>
      <c r="H4401" s="16"/>
      <c r="I4401" s="14"/>
    </row>
    <row r="4402">
      <c r="A4402" s="14">
        <v>546.0</v>
      </c>
      <c r="B4402" s="14">
        <v>9866828.0</v>
      </c>
      <c r="C4402" s="14">
        <v>4.1855235E7</v>
      </c>
      <c r="D4402" s="2" t="s">
        <v>4405</v>
      </c>
      <c r="E4402" s="1" t="s">
        <v>699</v>
      </c>
      <c r="F4402" s="14">
        <v>-0.4215</v>
      </c>
      <c r="G4402" s="15"/>
      <c r="H4402" s="16"/>
      <c r="I4402" s="14"/>
    </row>
    <row r="4403">
      <c r="A4403" s="14">
        <v>203.0</v>
      </c>
      <c r="B4403" s="14">
        <v>1.4023517E7</v>
      </c>
      <c r="C4403" s="14">
        <v>1.29207923E8</v>
      </c>
      <c r="D4403" s="2" t="s">
        <v>4154</v>
      </c>
      <c r="E4403" s="1" t="s">
        <v>699</v>
      </c>
      <c r="F4403" s="14">
        <v>-0.4215</v>
      </c>
      <c r="G4403" s="15"/>
      <c r="H4403" s="16"/>
      <c r="I4403" s="14"/>
    </row>
    <row r="4404">
      <c r="A4404" s="14">
        <v>671.0</v>
      </c>
      <c r="B4404" s="14">
        <v>1.5418729E7</v>
      </c>
      <c r="C4404" s="14">
        <v>6.5710224E7</v>
      </c>
      <c r="D4404" s="2" t="s">
        <v>4071</v>
      </c>
      <c r="E4404" s="1" t="s">
        <v>699</v>
      </c>
      <c r="F4404" s="14">
        <v>-0.4215</v>
      </c>
      <c r="G4404" s="15"/>
      <c r="H4404" s="16"/>
      <c r="I4404" s="14"/>
    </row>
    <row r="4405">
      <c r="A4405" s="14">
        <v>504.0</v>
      </c>
      <c r="B4405" s="14">
        <v>1.6690939E7</v>
      </c>
      <c r="C4405" s="14">
        <v>7.0654464E7</v>
      </c>
      <c r="D4405" s="2" t="s">
        <v>3989</v>
      </c>
      <c r="E4405" s="1" t="s">
        <v>699</v>
      </c>
      <c r="F4405" s="14">
        <v>-0.4215</v>
      </c>
      <c r="G4405" s="15"/>
      <c r="H4405" s="16"/>
      <c r="I4405" s="14"/>
    </row>
    <row r="4406">
      <c r="A4406" s="14">
        <v>458.0</v>
      </c>
      <c r="B4406" s="14">
        <v>2.0342068E7</v>
      </c>
      <c r="C4406" s="14">
        <v>8.4640485E7</v>
      </c>
      <c r="D4406" s="2" t="s">
        <v>3871</v>
      </c>
      <c r="E4406" s="1" t="s">
        <v>699</v>
      </c>
      <c r="F4406" s="14">
        <v>-0.4215</v>
      </c>
      <c r="G4406" s="15"/>
      <c r="H4406" s="16"/>
      <c r="I4406" s="14"/>
    </row>
    <row r="4407">
      <c r="A4407" s="14">
        <v>256.0</v>
      </c>
      <c r="B4407" s="14">
        <v>2.8963123E7</v>
      </c>
      <c r="C4407" s="14">
        <v>1.16449764E8</v>
      </c>
      <c r="D4407" s="2" t="s">
        <v>3612</v>
      </c>
      <c r="E4407" s="1" t="s">
        <v>699</v>
      </c>
      <c r="F4407" s="14">
        <v>-0.4215</v>
      </c>
      <c r="G4407" s="15"/>
      <c r="H4407" s="16"/>
      <c r="I4407" s="14"/>
    </row>
    <row r="4408">
      <c r="A4408" s="14">
        <v>244.0</v>
      </c>
      <c r="B4408" s="14">
        <v>2.9851178E7</v>
      </c>
      <c r="C4408" s="14">
        <v>1.19732187E8</v>
      </c>
      <c r="D4408" s="2" t="s">
        <v>3591</v>
      </c>
      <c r="E4408" s="1" t="s">
        <v>699</v>
      </c>
      <c r="F4408" s="14">
        <v>-0.4215</v>
      </c>
      <c r="G4408" s="15"/>
      <c r="H4408" s="16"/>
      <c r="I4408" s="14"/>
    </row>
    <row r="4409">
      <c r="A4409" s="14">
        <v>665.0</v>
      </c>
      <c r="B4409" s="14">
        <v>4.416015E7</v>
      </c>
      <c r="C4409" s="14">
        <v>1.74465283E8</v>
      </c>
      <c r="D4409" s="2" t="s">
        <v>3263</v>
      </c>
      <c r="E4409" s="1" t="s">
        <v>699</v>
      </c>
      <c r="F4409" s="14">
        <v>-0.4215</v>
      </c>
      <c r="G4409" s="15"/>
      <c r="H4409" s="16"/>
      <c r="I4409" s="14"/>
    </row>
    <row r="4410">
      <c r="A4410" s="14">
        <v>129.0</v>
      </c>
      <c r="B4410" s="14">
        <v>4.9059155E7</v>
      </c>
      <c r="C4410" s="14">
        <v>1.93995466E8</v>
      </c>
      <c r="D4410" s="2" t="s">
        <v>3054</v>
      </c>
      <c r="E4410" s="1" t="s">
        <v>699</v>
      </c>
      <c r="F4410" s="14">
        <v>-0.4215</v>
      </c>
      <c r="G4410" s="15"/>
      <c r="H4410" s="16"/>
      <c r="I4410" s="14"/>
    </row>
    <row r="4411">
      <c r="A4411" s="14">
        <v>410.0</v>
      </c>
      <c r="B4411" s="14">
        <v>4.9312024E7</v>
      </c>
      <c r="C4411" s="14">
        <v>1.95099572E8</v>
      </c>
      <c r="D4411" s="2" t="s">
        <v>3045</v>
      </c>
      <c r="E4411" s="1" t="s">
        <v>699</v>
      </c>
      <c r="F4411" s="14">
        <v>-0.4215</v>
      </c>
      <c r="G4411" s="15"/>
      <c r="H4411" s="16"/>
      <c r="I4411" s="14"/>
    </row>
    <row r="4412">
      <c r="A4412" s="14">
        <v>677.0</v>
      </c>
      <c r="B4412" s="14">
        <v>5.2374504E7</v>
      </c>
      <c r="C4412" s="14">
        <v>2.07622843E8</v>
      </c>
      <c r="D4412" s="2" t="s">
        <v>2540</v>
      </c>
      <c r="E4412" s="1" t="s">
        <v>699</v>
      </c>
      <c r="F4412" s="14">
        <v>-0.4215</v>
      </c>
      <c r="G4412" s="15"/>
      <c r="H4412" s="16"/>
      <c r="I4412" s="14"/>
    </row>
    <row r="4413">
      <c r="A4413" s="14">
        <v>320.0</v>
      </c>
      <c r="B4413" s="14">
        <v>6.115555E7</v>
      </c>
      <c r="C4413" s="14">
        <v>2.45934275E8</v>
      </c>
      <c r="D4413" s="2" t="s">
        <v>2647</v>
      </c>
      <c r="E4413" s="1" t="s">
        <v>699</v>
      </c>
      <c r="F4413" s="14">
        <v>-0.4215</v>
      </c>
      <c r="G4413" s="15"/>
      <c r="H4413" s="16"/>
      <c r="I4413" s="14"/>
    </row>
    <row r="4414">
      <c r="A4414" s="14">
        <v>215.0</v>
      </c>
      <c r="B4414" s="14">
        <v>6.3663569E7</v>
      </c>
      <c r="C4414" s="14">
        <v>2.58614656E8</v>
      </c>
      <c r="D4414" s="2" t="s">
        <v>2540</v>
      </c>
      <c r="E4414" s="1" t="s">
        <v>699</v>
      </c>
      <c r="F4414" s="14">
        <v>-0.4215</v>
      </c>
      <c r="G4414" s="15"/>
      <c r="H4414" s="16"/>
      <c r="I4414" s="14"/>
    </row>
    <row r="4415">
      <c r="A4415" s="14">
        <v>676.0</v>
      </c>
      <c r="B4415" s="14">
        <v>1.00691605E8</v>
      </c>
      <c r="C4415" s="14">
        <v>4.31708674E8</v>
      </c>
      <c r="D4415" s="2" t="s">
        <v>550</v>
      </c>
      <c r="E4415" s="1" t="s">
        <v>699</v>
      </c>
      <c r="F4415" s="14">
        <v>-0.4215</v>
      </c>
      <c r="G4415" s="15"/>
      <c r="H4415" s="16"/>
      <c r="I4415" s="14"/>
    </row>
    <row r="4416">
      <c r="A4416" s="14">
        <v>403.0</v>
      </c>
      <c r="B4416" s="14">
        <v>1886991.0</v>
      </c>
      <c r="C4416" s="14">
        <v>2.44419259E8</v>
      </c>
      <c r="D4416" s="2" t="s">
        <v>5057</v>
      </c>
      <c r="E4416" s="1" t="s">
        <v>121</v>
      </c>
      <c r="F4416" s="14">
        <v>-0.4215</v>
      </c>
      <c r="G4416" s="15"/>
      <c r="H4416" s="16"/>
      <c r="I4416" s="14"/>
    </row>
    <row r="4417">
      <c r="A4417" s="14">
        <v>594.0</v>
      </c>
      <c r="B4417" s="14">
        <v>2969697.0</v>
      </c>
      <c r="C4417" s="14">
        <v>1.2598795E7</v>
      </c>
      <c r="D4417" s="2" t="s">
        <v>4974</v>
      </c>
      <c r="E4417" s="1" t="s">
        <v>121</v>
      </c>
      <c r="F4417" s="14">
        <v>-0.4215</v>
      </c>
      <c r="G4417" s="15"/>
      <c r="H4417" s="16"/>
      <c r="I4417" s="14"/>
    </row>
    <row r="4418">
      <c r="A4418" s="14">
        <v>142.0</v>
      </c>
      <c r="B4418" s="14">
        <v>3487263.0</v>
      </c>
      <c r="C4418" s="14">
        <v>1.4834312E7</v>
      </c>
      <c r="D4418" s="2" t="s">
        <v>4924</v>
      </c>
      <c r="E4418" s="1" t="s">
        <v>121</v>
      </c>
      <c r="F4418" s="14">
        <v>-0.4215</v>
      </c>
      <c r="G4418" s="15"/>
      <c r="H4418" s="16"/>
      <c r="I4418" s="14"/>
    </row>
    <row r="4419">
      <c r="A4419" s="14">
        <v>484.0</v>
      </c>
      <c r="B4419" s="14">
        <v>8824117.0</v>
      </c>
      <c r="C4419" s="14">
        <v>3.7523585E7</v>
      </c>
      <c r="D4419" s="2" t="s">
        <v>4487</v>
      </c>
      <c r="E4419" s="1" t="s">
        <v>121</v>
      </c>
      <c r="F4419" s="14">
        <v>-0.4215</v>
      </c>
      <c r="G4419" s="15"/>
      <c r="H4419" s="16"/>
      <c r="I4419" s="14"/>
    </row>
    <row r="4420">
      <c r="A4420" s="14">
        <v>488.0</v>
      </c>
      <c r="B4420" s="14">
        <v>9258636.0</v>
      </c>
      <c r="C4420" s="14">
        <v>3.9344351E7</v>
      </c>
      <c r="D4420" s="2" t="s">
        <v>4448</v>
      </c>
      <c r="E4420" s="1" t="s">
        <v>121</v>
      </c>
      <c r="F4420" s="14">
        <v>-0.4215</v>
      </c>
      <c r="G4420" s="15"/>
      <c r="H4420" s="16"/>
      <c r="I4420" s="14"/>
    </row>
    <row r="4421">
      <c r="A4421" s="14">
        <v>656.0</v>
      </c>
      <c r="B4421" s="14">
        <v>4.437565E7</v>
      </c>
      <c r="C4421" s="14">
        <v>1.75531727E8</v>
      </c>
      <c r="D4421" s="2" t="s">
        <v>3259</v>
      </c>
      <c r="E4421" s="1" t="s">
        <v>121</v>
      </c>
      <c r="F4421" s="14">
        <v>-0.4215</v>
      </c>
      <c r="G4421" s="15"/>
      <c r="H4421" s="16"/>
      <c r="I4421" s="14"/>
    </row>
    <row r="4422">
      <c r="A4422" s="14">
        <v>504.0</v>
      </c>
      <c r="B4422" s="14">
        <v>6.0452647E7</v>
      </c>
      <c r="C4422" s="14">
        <v>3.60983291E8</v>
      </c>
      <c r="D4422" s="2" t="s">
        <v>2669</v>
      </c>
      <c r="E4422" s="1" t="s">
        <v>121</v>
      </c>
      <c r="F4422" s="14">
        <v>-0.4215</v>
      </c>
      <c r="G4422" s="15"/>
      <c r="H4422" s="16"/>
      <c r="I4422" s="14"/>
    </row>
    <row r="4423">
      <c r="A4423" s="14">
        <v>571.0</v>
      </c>
      <c r="B4423" s="14">
        <v>7.8005648E7</v>
      </c>
      <c r="C4423" s="14">
        <v>3.24851979E8</v>
      </c>
      <c r="D4423" s="2" t="s">
        <v>1859</v>
      </c>
      <c r="E4423" s="1" t="s">
        <v>121</v>
      </c>
      <c r="F4423" s="14">
        <v>-0.4215</v>
      </c>
      <c r="G4423" s="15"/>
      <c r="H4423" s="16"/>
      <c r="I4423" s="14"/>
    </row>
    <row r="4424">
      <c r="A4424" s="14">
        <v>380.0</v>
      </c>
      <c r="B4424" s="14">
        <v>8.5812215E7</v>
      </c>
      <c r="C4424" s="14">
        <v>3.61909108E8</v>
      </c>
      <c r="D4424" s="2" t="s">
        <v>1377</v>
      </c>
      <c r="E4424" s="1" t="s">
        <v>121</v>
      </c>
      <c r="F4424" s="14">
        <v>-0.4215</v>
      </c>
      <c r="G4424" s="15"/>
      <c r="H4424" s="16"/>
      <c r="I4424" s="14"/>
    </row>
    <row r="4425">
      <c r="A4425" s="14">
        <v>587.0</v>
      </c>
      <c r="B4425" s="14">
        <v>9.7658116E7</v>
      </c>
      <c r="C4425" s="14">
        <v>4.17024707E8</v>
      </c>
      <c r="D4425" s="2" t="s">
        <v>735</v>
      </c>
      <c r="E4425" s="1" t="s">
        <v>121</v>
      </c>
      <c r="F4425" s="14">
        <v>-0.4215</v>
      </c>
      <c r="G4425" s="15"/>
      <c r="H4425" s="16"/>
      <c r="I4425" s="14"/>
    </row>
    <row r="4426">
      <c r="A4426" s="14">
        <v>407.0</v>
      </c>
      <c r="B4426" s="14">
        <v>1.078274E8</v>
      </c>
      <c r="C4426" s="14">
        <v>4.65526301E8</v>
      </c>
      <c r="D4426" s="2" t="s">
        <v>215</v>
      </c>
      <c r="E4426" s="1" t="s">
        <v>121</v>
      </c>
      <c r="F4426" s="14">
        <v>-0.4215</v>
      </c>
      <c r="G4426" s="15"/>
      <c r="H4426" s="16"/>
      <c r="I4426" s="14"/>
    </row>
    <row r="4427">
      <c r="A4427" s="14">
        <v>671.0</v>
      </c>
      <c r="B4427" s="14">
        <v>1.10036303E8</v>
      </c>
      <c r="C4427" s="14">
        <v>4.76684772E8</v>
      </c>
      <c r="D4427" s="2" t="s">
        <v>91</v>
      </c>
      <c r="E4427" s="1" t="s">
        <v>121</v>
      </c>
      <c r="F4427" s="14">
        <v>-0.4215</v>
      </c>
      <c r="G4427" s="15"/>
      <c r="H4427" s="16"/>
      <c r="I4427" s="14"/>
    </row>
    <row r="4428">
      <c r="A4428" s="14">
        <v>557.0</v>
      </c>
      <c r="B4428" s="14">
        <v>2.2835227E7</v>
      </c>
      <c r="C4428" s="14">
        <v>9.4201955E7</v>
      </c>
      <c r="D4428" s="2" t="s">
        <v>3779</v>
      </c>
      <c r="E4428" s="1" t="s">
        <v>121</v>
      </c>
      <c r="F4428" s="14">
        <v>-0.4228</v>
      </c>
      <c r="G4428" s="15"/>
      <c r="H4428" s="16"/>
      <c r="I4428" s="14"/>
    </row>
    <row r="4429">
      <c r="A4429" s="14">
        <v>602.0</v>
      </c>
      <c r="B4429" s="14">
        <v>8908460.0</v>
      </c>
      <c r="C4429" s="14">
        <v>3.7725384E7</v>
      </c>
      <c r="D4429" s="2" t="s">
        <v>4478</v>
      </c>
      <c r="E4429" s="1" t="s">
        <v>121</v>
      </c>
      <c r="F4429" s="14">
        <v>-0.4234</v>
      </c>
      <c r="G4429" s="15"/>
      <c r="H4429" s="16"/>
      <c r="I4429" s="14"/>
    </row>
    <row r="4430">
      <c r="A4430" s="14">
        <v>645.0</v>
      </c>
      <c r="B4430" s="14">
        <v>3170334.0</v>
      </c>
      <c r="C4430" s="14">
        <v>1.3468877E7</v>
      </c>
      <c r="D4430" s="2" t="s">
        <v>4948</v>
      </c>
      <c r="E4430" s="1" t="s">
        <v>121</v>
      </c>
      <c r="F4430" s="14">
        <v>-0.4295</v>
      </c>
      <c r="G4430" s="15"/>
      <c r="H4430" s="16"/>
      <c r="I4430" s="14"/>
    </row>
    <row r="4431">
      <c r="A4431" s="14">
        <v>503.0</v>
      </c>
      <c r="B4431" s="14">
        <v>3927335.0</v>
      </c>
      <c r="C4431" s="14">
        <v>1.6655081E7</v>
      </c>
      <c r="D4431" s="2" t="s">
        <v>4884</v>
      </c>
      <c r="E4431" s="1" t="s">
        <v>121</v>
      </c>
      <c r="F4431" s="14">
        <v>-0.4323</v>
      </c>
      <c r="G4431" s="15"/>
      <c r="H4431" s="16"/>
      <c r="I4431" s="14"/>
    </row>
    <row r="4432">
      <c r="A4432" s="14">
        <v>462.0</v>
      </c>
      <c r="B4432" s="14">
        <v>6698512.0</v>
      </c>
      <c r="C4432" s="14">
        <v>2.8534509E7</v>
      </c>
      <c r="D4432" s="2" t="s">
        <v>4643</v>
      </c>
      <c r="E4432" s="1" t="s">
        <v>121</v>
      </c>
      <c r="F4432" s="14">
        <v>-0.4325</v>
      </c>
      <c r="G4432" s="15"/>
      <c r="H4432" s="16"/>
      <c r="I4432" s="14"/>
    </row>
    <row r="4433">
      <c r="A4433" s="14">
        <v>353.0</v>
      </c>
      <c r="B4433" s="14">
        <v>2.4134651E7</v>
      </c>
      <c r="C4433" s="14">
        <v>9.9122373E7</v>
      </c>
      <c r="D4433" s="2" t="s">
        <v>3745</v>
      </c>
      <c r="E4433" s="1" t="s">
        <v>121</v>
      </c>
      <c r="F4433" s="14">
        <v>-0.4336</v>
      </c>
      <c r="G4433" s="15"/>
      <c r="H4433" s="16"/>
      <c r="I4433" s="14"/>
    </row>
    <row r="4434">
      <c r="A4434" s="14">
        <v>645.0</v>
      </c>
      <c r="B4434" s="14">
        <v>8.6103924E7</v>
      </c>
      <c r="C4434" s="14">
        <v>3.63153616E8</v>
      </c>
      <c r="D4434" s="2" t="s">
        <v>1361</v>
      </c>
      <c r="E4434" s="1" t="s">
        <v>699</v>
      </c>
      <c r="F4434" s="14">
        <v>-0.4389</v>
      </c>
      <c r="G4434" s="15"/>
      <c r="H4434" s="16"/>
      <c r="I4434" s="14"/>
    </row>
    <row r="4435">
      <c r="A4435" s="14">
        <v>571.0</v>
      </c>
      <c r="B4435" s="14">
        <v>3.5811059E7</v>
      </c>
      <c r="C4435" s="14">
        <v>1.43208474E8</v>
      </c>
      <c r="D4435" s="2" t="s">
        <v>3472</v>
      </c>
      <c r="E4435" s="1" t="s">
        <v>121</v>
      </c>
      <c r="F4435" s="14">
        <v>-0.4391</v>
      </c>
      <c r="G4435" s="15"/>
      <c r="H4435" s="16"/>
      <c r="I4435" s="14"/>
    </row>
    <row r="4436">
      <c r="A4436" s="14">
        <v>120.0</v>
      </c>
      <c r="B4436" s="14">
        <v>1150940.0</v>
      </c>
      <c r="C4436" s="14">
        <v>3.03446462E8</v>
      </c>
      <c r="D4436" s="2" t="s">
        <v>5121</v>
      </c>
      <c r="E4436" s="1" t="s">
        <v>699</v>
      </c>
      <c r="F4436" s="14">
        <v>-0.4404</v>
      </c>
      <c r="G4436" s="15"/>
      <c r="H4436" s="16"/>
      <c r="I4436" s="14"/>
    </row>
    <row r="4437">
      <c r="A4437" s="14">
        <v>609.0</v>
      </c>
      <c r="B4437" s="14">
        <v>3337149.0</v>
      </c>
      <c r="C4437" s="14">
        <v>1.4144933E7</v>
      </c>
      <c r="D4437" s="2" t="s">
        <v>4935</v>
      </c>
      <c r="E4437" s="1" t="s">
        <v>121</v>
      </c>
      <c r="F4437" s="14">
        <v>-0.4404</v>
      </c>
      <c r="G4437" s="15"/>
      <c r="H4437" s="16"/>
      <c r="I4437" s="14"/>
    </row>
    <row r="4438">
      <c r="A4438" s="14">
        <v>384.0</v>
      </c>
      <c r="B4438" s="14">
        <v>3397512.0</v>
      </c>
      <c r="C4438" s="14">
        <v>1.4403208E7</v>
      </c>
      <c r="D4438" s="2" t="s">
        <v>4932</v>
      </c>
      <c r="E4438" s="1" t="s">
        <v>121</v>
      </c>
      <c r="F4438" s="14">
        <v>-0.4404</v>
      </c>
      <c r="G4438" s="15"/>
      <c r="H4438" s="16"/>
      <c r="I4438" s="14"/>
    </row>
    <row r="4439">
      <c r="A4439" s="14">
        <v>570.0</v>
      </c>
      <c r="B4439" s="14">
        <v>3669798.0</v>
      </c>
      <c r="C4439" s="14">
        <v>2.84908792E8</v>
      </c>
      <c r="D4439" s="2" t="s">
        <v>4906</v>
      </c>
      <c r="E4439" s="1" t="s">
        <v>121</v>
      </c>
      <c r="F4439" s="14">
        <v>-0.4404</v>
      </c>
      <c r="G4439" s="15"/>
      <c r="H4439" s="16"/>
      <c r="I4439" s="14"/>
    </row>
    <row r="4440">
      <c r="A4440" s="14">
        <v>225.0</v>
      </c>
      <c r="B4440" s="14">
        <v>1.5656607E7</v>
      </c>
      <c r="C4440" s="14">
        <v>6.6606978E7</v>
      </c>
      <c r="D4440" s="2" t="s">
        <v>4058</v>
      </c>
      <c r="E4440" s="1" t="s">
        <v>121</v>
      </c>
      <c r="F4440" s="14">
        <v>-0.4404</v>
      </c>
      <c r="G4440" s="15"/>
      <c r="H4440" s="16"/>
      <c r="I4440" s="14"/>
    </row>
    <row r="4441">
      <c r="A4441" s="14">
        <v>643.0</v>
      </c>
      <c r="B4441" s="14">
        <v>1.9519143E7</v>
      </c>
      <c r="C4441" s="14">
        <v>2.06344925E8</v>
      </c>
      <c r="D4441" s="2" t="s">
        <v>3888</v>
      </c>
      <c r="E4441" s="1" t="s">
        <v>121</v>
      </c>
      <c r="F4441" s="14">
        <v>-0.4404</v>
      </c>
      <c r="G4441" s="15"/>
      <c r="H4441" s="16"/>
      <c r="I4441" s="14"/>
    </row>
    <row r="4442">
      <c r="A4442" s="14">
        <v>677.0</v>
      </c>
      <c r="B4442" s="14">
        <v>2.2999342E7</v>
      </c>
      <c r="C4442" s="14">
        <v>9.4909676E7</v>
      </c>
      <c r="D4442" s="2" t="s">
        <v>3778</v>
      </c>
      <c r="E4442" s="1" t="s">
        <v>121</v>
      </c>
      <c r="F4442" s="14">
        <v>-0.4404</v>
      </c>
      <c r="G4442" s="15"/>
      <c r="H4442" s="16"/>
      <c r="I4442" s="14"/>
    </row>
    <row r="4443">
      <c r="A4443" s="14">
        <v>337.0</v>
      </c>
      <c r="B4443" s="14">
        <v>4.3023745E7</v>
      </c>
      <c r="C4443" s="14">
        <v>1.70883004E8</v>
      </c>
      <c r="D4443" s="2" t="s">
        <v>3296</v>
      </c>
      <c r="E4443" s="1" t="s">
        <v>121</v>
      </c>
      <c r="F4443" s="14">
        <v>-0.4404</v>
      </c>
      <c r="G4443" s="15"/>
      <c r="H4443" s="16"/>
      <c r="I4443" s="14"/>
    </row>
    <row r="4444">
      <c r="A4444" s="14">
        <v>671.0</v>
      </c>
      <c r="B4444" s="14">
        <v>5.9713485E7</v>
      </c>
      <c r="C4444" s="14">
        <v>2.39043031E8</v>
      </c>
      <c r="D4444" s="2" t="s">
        <v>2703</v>
      </c>
      <c r="E4444" s="1" t="s">
        <v>121</v>
      </c>
      <c r="F4444" s="14">
        <v>-0.4404</v>
      </c>
      <c r="G4444" s="15"/>
      <c r="H4444" s="16"/>
      <c r="I4444" s="14"/>
    </row>
    <row r="4445">
      <c r="A4445" s="14">
        <v>696.0</v>
      </c>
      <c r="B4445" s="14">
        <v>7.0034749E7</v>
      </c>
      <c r="C4445" s="14">
        <v>2.8858589E8</v>
      </c>
      <c r="D4445" s="2" t="s">
        <v>2223</v>
      </c>
      <c r="E4445" s="1" t="s">
        <v>121</v>
      </c>
      <c r="F4445" s="14">
        <v>-0.4404</v>
      </c>
      <c r="G4445" s="15"/>
      <c r="H4445" s="16"/>
      <c r="I4445" s="14"/>
    </row>
    <row r="4446">
      <c r="A4446" s="14">
        <v>713.0</v>
      </c>
      <c r="B4446" s="14">
        <v>7.0958174E7</v>
      </c>
      <c r="C4446" s="14">
        <v>2.92909784E8</v>
      </c>
      <c r="D4446" s="2" t="s">
        <v>2174</v>
      </c>
      <c r="E4446" s="1" t="s">
        <v>121</v>
      </c>
      <c r="F4446" s="14">
        <v>-0.4404</v>
      </c>
      <c r="G4446" s="15"/>
      <c r="H4446" s="16"/>
      <c r="I4446" s="14"/>
    </row>
    <row r="4447">
      <c r="A4447" s="14">
        <v>531.0</v>
      </c>
      <c r="B4447" s="14">
        <v>1.11844644E8</v>
      </c>
      <c r="C4447" s="14">
        <v>4.85479787E8</v>
      </c>
      <c r="D4447" s="2" t="s">
        <v>41</v>
      </c>
      <c r="E4447" s="1" t="s">
        <v>121</v>
      </c>
      <c r="F4447" s="14">
        <v>-0.4404</v>
      </c>
      <c r="G4447" s="15"/>
      <c r="H4447" s="16"/>
      <c r="I4447" s="14"/>
    </row>
    <row r="4448">
      <c r="A4448" s="14">
        <v>602.0</v>
      </c>
      <c r="B4448" s="14">
        <v>1.3766736E7</v>
      </c>
      <c r="C4448" s="14">
        <v>5.8482316E7</v>
      </c>
      <c r="D4448" s="2" t="s">
        <v>4174</v>
      </c>
      <c r="E4448" s="1" t="s">
        <v>121</v>
      </c>
      <c r="F4448" s="14">
        <v>-0.4422</v>
      </c>
      <c r="G4448" s="15"/>
      <c r="H4448" s="16"/>
      <c r="I4448" s="14"/>
    </row>
    <row r="4449">
      <c r="A4449" s="14">
        <v>602.0</v>
      </c>
      <c r="B4449" s="14">
        <v>4.4084767E7</v>
      </c>
      <c r="C4449" s="14">
        <v>2.31122709E8</v>
      </c>
      <c r="D4449" s="2" t="s">
        <v>3266</v>
      </c>
      <c r="E4449" s="1" t="s">
        <v>699</v>
      </c>
      <c r="F4449" s="14">
        <v>-0.4466</v>
      </c>
      <c r="G4449" s="15"/>
      <c r="H4449" s="16"/>
      <c r="I4449" s="14"/>
    </row>
    <row r="4450">
      <c r="A4450" s="14">
        <v>173.0</v>
      </c>
      <c r="B4450" s="14">
        <v>9679822.0</v>
      </c>
      <c r="C4450" s="14">
        <v>4.1123086E7</v>
      </c>
      <c r="D4450" s="2" t="s">
        <v>4414</v>
      </c>
      <c r="E4450" s="1" t="s">
        <v>699</v>
      </c>
      <c r="F4450" s="14">
        <v>-0.4497</v>
      </c>
      <c r="G4450" s="15"/>
      <c r="H4450" s="16"/>
      <c r="I4450" s="14"/>
    </row>
    <row r="4451">
      <c r="A4451" s="14">
        <v>571.0</v>
      </c>
      <c r="B4451" s="14">
        <v>5.5607719E7</v>
      </c>
      <c r="C4451" s="14">
        <v>2.20987188E8</v>
      </c>
      <c r="D4451" s="2" t="s">
        <v>2824</v>
      </c>
      <c r="E4451" s="1" t="s">
        <v>121</v>
      </c>
      <c r="F4451" s="14">
        <v>-0.4497</v>
      </c>
      <c r="G4451" s="15"/>
      <c r="H4451" s="16"/>
      <c r="I4451" s="14"/>
    </row>
    <row r="4452">
      <c r="A4452" s="14">
        <v>601.0</v>
      </c>
      <c r="B4452" s="14">
        <v>7588640.0</v>
      </c>
      <c r="C4452" s="14">
        <v>3.2224354E7</v>
      </c>
      <c r="D4452" s="2" t="s">
        <v>4565</v>
      </c>
      <c r="E4452" s="1" t="s">
        <v>121</v>
      </c>
      <c r="F4452" s="14">
        <v>-0.4512</v>
      </c>
      <c r="G4452" s="15"/>
      <c r="H4452" s="16"/>
      <c r="I4452" s="14"/>
    </row>
    <row r="4453">
      <c r="A4453" s="14">
        <v>353.0</v>
      </c>
      <c r="B4453" s="14">
        <v>5.0914442E7</v>
      </c>
      <c r="C4453" s="14">
        <v>2.02101813E8</v>
      </c>
      <c r="D4453" s="2" t="s">
        <v>2991</v>
      </c>
      <c r="E4453" s="1" t="s">
        <v>107</v>
      </c>
      <c r="F4453" s="14">
        <v>-0.4585</v>
      </c>
      <c r="G4453" s="15"/>
      <c r="H4453" s="16"/>
      <c r="I4453" s="14"/>
    </row>
    <row r="4454">
      <c r="A4454" s="14">
        <v>380.0</v>
      </c>
      <c r="B4454" s="14">
        <v>2183428.0</v>
      </c>
      <c r="C4454" s="14">
        <v>9402318.0</v>
      </c>
      <c r="D4454" s="2" t="s">
        <v>5043</v>
      </c>
      <c r="E4454" s="1" t="s">
        <v>121</v>
      </c>
      <c r="F4454" s="14">
        <v>-0.4585</v>
      </c>
      <c r="G4454" s="15"/>
      <c r="H4454" s="16"/>
      <c r="I4454" s="14"/>
    </row>
    <row r="4455">
      <c r="A4455" s="14">
        <v>664.0</v>
      </c>
      <c r="B4455" s="14">
        <v>1.3764234E7</v>
      </c>
      <c r="C4455" s="14">
        <v>5.8507791E7</v>
      </c>
      <c r="D4455" s="2" t="s">
        <v>4175</v>
      </c>
      <c r="E4455" s="1" t="s">
        <v>121</v>
      </c>
      <c r="F4455" s="14">
        <v>-0.4585</v>
      </c>
      <c r="G4455" s="15"/>
      <c r="H4455" s="16"/>
      <c r="I4455" s="14"/>
    </row>
    <row r="4456">
      <c r="A4456" s="14">
        <v>215.0</v>
      </c>
      <c r="B4456" s="14">
        <v>9.3256371E7</v>
      </c>
      <c r="C4456" s="14">
        <v>3.9770857E8</v>
      </c>
      <c r="D4456" s="2" t="s">
        <v>975</v>
      </c>
      <c r="E4456" s="1" t="s">
        <v>121</v>
      </c>
      <c r="F4456" s="14">
        <v>-0.4585</v>
      </c>
      <c r="G4456" s="15"/>
      <c r="H4456" s="16"/>
      <c r="I4456" s="14"/>
    </row>
    <row r="4457">
      <c r="A4457" s="14">
        <v>405.0</v>
      </c>
      <c r="B4457" s="14">
        <v>1.5193349E7</v>
      </c>
      <c r="C4457" s="14">
        <v>6.4615401E7</v>
      </c>
      <c r="D4457" s="2" t="s">
        <v>4087</v>
      </c>
      <c r="E4457" s="1" t="s">
        <v>699</v>
      </c>
      <c r="F4457" s="14">
        <v>-0.4588</v>
      </c>
      <c r="G4457" s="15"/>
      <c r="H4457" s="16"/>
      <c r="I4457" s="14"/>
    </row>
    <row r="4458">
      <c r="A4458" s="14">
        <v>120.0</v>
      </c>
      <c r="B4458" s="14">
        <v>1.9839514E7</v>
      </c>
      <c r="C4458" s="14">
        <v>8.2703207E7</v>
      </c>
      <c r="D4458" s="2" t="s">
        <v>3884</v>
      </c>
      <c r="E4458" s="1" t="s">
        <v>699</v>
      </c>
      <c r="F4458" s="14">
        <v>-0.4588</v>
      </c>
      <c r="G4458" s="15"/>
      <c r="H4458" s="16"/>
      <c r="I4458" s="14"/>
    </row>
    <row r="4459">
      <c r="A4459" s="14">
        <v>204.0</v>
      </c>
      <c r="B4459" s="14">
        <v>192061.0</v>
      </c>
      <c r="C4459" s="14">
        <v>779509.0</v>
      </c>
      <c r="D4459" s="2" t="s">
        <v>5173</v>
      </c>
      <c r="E4459" s="1" t="s">
        <v>121</v>
      </c>
      <c r="F4459" s="14">
        <v>-0.4588</v>
      </c>
      <c r="G4459" s="15"/>
      <c r="H4459" s="16"/>
      <c r="I4459" s="14"/>
    </row>
    <row r="4460">
      <c r="A4460" s="14">
        <v>173.0</v>
      </c>
      <c r="B4460" s="14">
        <v>1873197.0</v>
      </c>
      <c r="C4460" s="14">
        <v>8162429.0</v>
      </c>
      <c r="D4460" s="2" t="s">
        <v>5059</v>
      </c>
      <c r="E4460" s="1" t="s">
        <v>121</v>
      </c>
      <c r="F4460" s="14">
        <v>-0.4588</v>
      </c>
      <c r="G4460" s="15"/>
      <c r="H4460" s="16"/>
      <c r="I4460" s="14"/>
    </row>
    <row r="4461">
      <c r="A4461" s="14">
        <v>395.0</v>
      </c>
      <c r="B4461" s="14">
        <v>2909552.0</v>
      </c>
      <c r="C4461" s="14">
        <v>1.2352114E7</v>
      </c>
      <c r="D4461" s="2" t="s">
        <v>4978</v>
      </c>
      <c r="E4461" s="1" t="s">
        <v>121</v>
      </c>
      <c r="F4461" s="14">
        <v>-0.4588</v>
      </c>
      <c r="G4461" s="15"/>
      <c r="H4461" s="16"/>
      <c r="I4461" s="14"/>
    </row>
    <row r="4462">
      <c r="A4462" s="14">
        <v>405.0</v>
      </c>
      <c r="B4462" s="14">
        <v>5595295.0</v>
      </c>
      <c r="C4462" s="14">
        <v>2.3974251E7</v>
      </c>
      <c r="D4462" s="2" t="s">
        <v>4733</v>
      </c>
      <c r="E4462" s="1" t="s">
        <v>121</v>
      </c>
      <c r="F4462" s="14">
        <v>-0.4588</v>
      </c>
      <c r="G4462" s="15"/>
      <c r="H4462" s="16"/>
      <c r="I4462" s="14"/>
    </row>
    <row r="4463">
      <c r="A4463" s="14">
        <v>380.0</v>
      </c>
      <c r="B4463" s="14">
        <v>6161443.0</v>
      </c>
      <c r="C4463" s="14">
        <v>2.6152108E7</v>
      </c>
      <c r="D4463" s="2" t="s">
        <v>4701</v>
      </c>
      <c r="E4463" s="1" t="s">
        <v>121</v>
      </c>
      <c r="F4463" s="14">
        <v>-0.4588</v>
      </c>
      <c r="G4463" s="15"/>
      <c r="H4463" s="16"/>
      <c r="I4463" s="14"/>
    </row>
    <row r="4464">
      <c r="A4464" s="14">
        <v>244.0</v>
      </c>
      <c r="B4464" s="14">
        <v>7434906.0</v>
      </c>
      <c r="C4464" s="14">
        <v>3.15827E7</v>
      </c>
      <c r="D4464" s="2" t="s">
        <v>4582</v>
      </c>
      <c r="E4464" s="1" t="s">
        <v>121</v>
      </c>
      <c r="F4464" s="14">
        <v>-0.4588</v>
      </c>
      <c r="G4464" s="15"/>
      <c r="H4464" s="16"/>
      <c r="I4464" s="14"/>
    </row>
    <row r="4465">
      <c r="A4465" s="14">
        <v>578.0</v>
      </c>
      <c r="B4465" s="14">
        <v>1.303601E7</v>
      </c>
      <c r="C4465" s="14">
        <v>5.5302818E7</v>
      </c>
      <c r="D4465" s="2" t="s">
        <v>4213</v>
      </c>
      <c r="E4465" s="1" t="s">
        <v>121</v>
      </c>
      <c r="F4465" s="14">
        <v>-0.4588</v>
      </c>
      <c r="G4465" s="15"/>
      <c r="H4465" s="16"/>
      <c r="I4465" s="14"/>
    </row>
    <row r="4466">
      <c r="A4466" s="14">
        <v>531.0</v>
      </c>
      <c r="B4466" s="14">
        <v>2.1305791E7</v>
      </c>
      <c r="C4466" s="14">
        <v>8.8351102E7</v>
      </c>
      <c r="D4466" s="2" t="s">
        <v>3821</v>
      </c>
      <c r="E4466" s="1" t="s">
        <v>121</v>
      </c>
      <c r="F4466" s="14">
        <v>-0.4588</v>
      </c>
      <c r="G4466" s="15"/>
      <c r="H4466" s="16"/>
      <c r="I4466" s="14"/>
    </row>
    <row r="4467">
      <c r="A4467" s="14">
        <v>671.0</v>
      </c>
      <c r="B4467" s="14">
        <v>3.8935328E7</v>
      </c>
      <c r="C4467" s="14">
        <v>1.88339726E8</v>
      </c>
      <c r="D4467" s="2" t="s">
        <v>3410</v>
      </c>
      <c r="E4467" s="1" t="s">
        <v>121</v>
      </c>
      <c r="F4467" s="14">
        <v>-0.4588</v>
      </c>
      <c r="G4467" s="15"/>
      <c r="H4467" s="16"/>
      <c r="I4467" s="14"/>
    </row>
    <row r="4468">
      <c r="A4468" s="14">
        <v>320.0</v>
      </c>
      <c r="B4468" s="14">
        <v>5.3359236E7</v>
      </c>
      <c r="C4468" s="14">
        <v>2.11732982E8</v>
      </c>
      <c r="D4468" s="2" t="s">
        <v>2900</v>
      </c>
      <c r="E4468" s="1" t="s">
        <v>121</v>
      </c>
      <c r="F4468" s="14">
        <v>-0.4588</v>
      </c>
      <c r="G4468" s="15"/>
      <c r="H4468" s="16"/>
      <c r="I4468" s="14"/>
    </row>
    <row r="4469">
      <c r="A4469" s="14">
        <v>484.0</v>
      </c>
      <c r="B4469" s="14">
        <v>6.6088183E7</v>
      </c>
      <c r="C4469" s="14">
        <v>2.69797322E8</v>
      </c>
      <c r="D4469" s="2" t="s">
        <v>2428</v>
      </c>
      <c r="E4469" s="1" t="s">
        <v>121</v>
      </c>
      <c r="F4469" s="14">
        <v>-0.4588</v>
      </c>
      <c r="G4469" s="15"/>
      <c r="H4469" s="16"/>
      <c r="I4469" s="14"/>
    </row>
    <row r="4470">
      <c r="A4470" s="14">
        <v>564.0</v>
      </c>
      <c r="B4470" s="14">
        <v>6.8940553E7</v>
      </c>
      <c r="C4470" s="14">
        <v>2.83997872E8</v>
      </c>
      <c r="D4470" s="2" t="s">
        <v>2287</v>
      </c>
      <c r="E4470" s="1" t="s">
        <v>121</v>
      </c>
      <c r="F4470" s="14">
        <v>-0.4588</v>
      </c>
      <c r="G4470" s="15"/>
      <c r="H4470" s="16"/>
      <c r="I4470" s="14"/>
    </row>
    <row r="4471">
      <c r="A4471" s="14">
        <v>409.0</v>
      </c>
      <c r="B4471" s="14">
        <v>2780412.0</v>
      </c>
      <c r="C4471" s="14">
        <v>1.1726455E7</v>
      </c>
      <c r="D4471" s="2" t="s">
        <v>4995</v>
      </c>
      <c r="E4471" s="1" t="s">
        <v>121</v>
      </c>
      <c r="F4471" s="14">
        <v>-0.4601</v>
      </c>
      <c r="G4471" s="15"/>
      <c r="H4471" s="16"/>
      <c r="I4471" s="14"/>
    </row>
    <row r="4472">
      <c r="A4472" s="14">
        <v>319.0</v>
      </c>
      <c r="B4472" s="14">
        <v>2680968.0</v>
      </c>
      <c r="C4472" s="14">
        <v>1.1381638E7</v>
      </c>
      <c r="D4472" s="2" t="s">
        <v>5009</v>
      </c>
      <c r="E4472" s="1" t="s">
        <v>121</v>
      </c>
      <c r="F4472" s="14">
        <v>-0.4639</v>
      </c>
      <c r="G4472" s="15"/>
      <c r="H4472" s="16"/>
      <c r="I4472" s="14"/>
    </row>
    <row r="4473">
      <c r="A4473" s="14">
        <v>488.0</v>
      </c>
      <c r="B4473" s="14">
        <v>1.8999737E7</v>
      </c>
      <c r="C4473" s="14">
        <v>7.9562733E7</v>
      </c>
      <c r="D4473" s="2" t="s">
        <v>3902</v>
      </c>
      <c r="E4473" s="1" t="s">
        <v>121</v>
      </c>
      <c r="F4473" s="14">
        <v>-0.465</v>
      </c>
      <c r="G4473" s="15"/>
      <c r="H4473" s="16"/>
      <c r="I4473" s="14"/>
    </row>
    <row r="4474">
      <c r="A4474" s="14">
        <v>504.0</v>
      </c>
      <c r="B4474" s="14">
        <v>1.0267188E7</v>
      </c>
      <c r="C4474" s="14">
        <v>4.3628807E7</v>
      </c>
      <c r="D4474" s="2" t="s">
        <v>4377</v>
      </c>
      <c r="E4474" s="1" t="s">
        <v>121</v>
      </c>
      <c r="F4474" s="14">
        <v>-0.466</v>
      </c>
      <c r="G4474" s="15"/>
      <c r="H4474" s="16"/>
      <c r="I4474" s="14"/>
    </row>
    <row r="4475">
      <c r="A4475" s="14">
        <v>244.0</v>
      </c>
      <c r="B4475" s="14">
        <v>6763508.0</v>
      </c>
      <c r="C4475" s="14">
        <v>2.8902079E7</v>
      </c>
      <c r="D4475" s="2" t="s">
        <v>4638</v>
      </c>
      <c r="E4475" s="1" t="s">
        <v>121</v>
      </c>
      <c r="F4475" s="14">
        <v>-0.4689</v>
      </c>
      <c r="G4475" s="15"/>
      <c r="H4475" s="16"/>
      <c r="I4475" s="14"/>
    </row>
    <row r="4476">
      <c r="A4476" s="14">
        <v>630.0</v>
      </c>
      <c r="B4476" s="14">
        <v>2.9001119E7</v>
      </c>
      <c r="C4476" s="14">
        <v>2.96720344E8</v>
      </c>
      <c r="D4476" s="2" t="s">
        <v>3611</v>
      </c>
      <c r="E4476" s="1" t="s">
        <v>121</v>
      </c>
      <c r="F4476" s="14">
        <v>-0.471</v>
      </c>
      <c r="G4476" s="15"/>
      <c r="H4476" s="16"/>
      <c r="I4476" s="14"/>
    </row>
    <row r="4477">
      <c r="A4477" s="14">
        <v>602.0</v>
      </c>
      <c r="B4477" s="14">
        <v>7.5322754E7</v>
      </c>
      <c r="C4477" s="14">
        <v>3.12284492E8</v>
      </c>
      <c r="D4477" s="2" t="s">
        <v>2006</v>
      </c>
      <c r="E4477" s="1" t="s">
        <v>121</v>
      </c>
      <c r="F4477" s="14">
        <v>-0.471</v>
      </c>
      <c r="G4477" s="15"/>
      <c r="H4477" s="16"/>
      <c r="I4477" s="14"/>
    </row>
    <row r="4478">
      <c r="A4478" s="14">
        <v>671.0</v>
      </c>
      <c r="B4478" s="14">
        <v>6690955.0</v>
      </c>
      <c r="C4478" s="14">
        <v>2.8428802E7</v>
      </c>
      <c r="D4478" s="2" t="s">
        <v>4644</v>
      </c>
      <c r="E4478" s="1" t="s">
        <v>121</v>
      </c>
      <c r="F4478" s="14">
        <v>-0.4717</v>
      </c>
      <c r="G4478" s="15"/>
      <c r="H4478" s="16"/>
      <c r="I4478" s="14"/>
    </row>
    <row r="4479">
      <c r="A4479" s="14">
        <v>326.0</v>
      </c>
      <c r="B4479" s="14">
        <v>1286335.0</v>
      </c>
      <c r="C4479" s="14">
        <v>5743962.0</v>
      </c>
      <c r="D4479" s="2" t="s">
        <v>5095</v>
      </c>
      <c r="E4479" s="1" t="s">
        <v>121</v>
      </c>
      <c r="F4479" s="14">
        <v>-0.4736</v>
      </c>
      <c r="G4479" s="15"/>
      <c r="H4479" s="16"/>
      <c r="I4479" s="14"/>
    </row>
    <row r="4480">
      <c r="A4480" s="14">
        <v>120.0</v>
      </c>
      <c r="B4480" s="14">
        <v>817145.0</v>
      </c>
      <c r="C4480" s="14">
        <v>3880078.0</v>
      </c>
      <c r="D4480" s="2" t="s">
        <v>5146</v>
      </c>
      <c r="E4480" s="1" t="s">
        <v>121</v>
      </c>
      <c r="F4480" s="14">
        <v>-0.4744</v>
      </c>
      <c r="G4480" s="15"/>
      <c r="H4480" s="16"/>
      <c r="I4480" s="14"/>
    </row>
    <row r="4481">
      <c r="A4481" s="14">
        <v>531.0</v>
      </c>
      <c r="B4481" s="14">
        <v>1.0873281E7</v>
      </c>
      <c r="C4481" s="14">
        <v>4.6247311E7</v>
      </c>
      <c r="D4481" s="2" t="s">
        <v>4328</v>
      </c>
      <c r="E4481" s="1" t="s">
        <v>121</v>
      </c>
      <c r="F4481" s="14">
        <v>-0.4754</v>
      </c>
      <c r="G4481" s="15"/>
      <c r="H4481" s="16"/>
      <c r="I4481" s="14"/>
    </row>
    <row r="4482">
      <c r="A4482" s="14">
        <v>461.0</v>
      </c>
      <c r="B4482" s="14">
        <v>1.1925919E7</v>
      </c>
      <c r="C4482" s="14">
        <v>1.10262552E8</v>
      </c>
      <c r="D4482" s="2" t="s">
        <v>4258</v>
      </c>
      <c r="E4482" s="1" t="s">
        <v>699</v>
      </c>
      <c r="F4482" s="14">
        <v>-0.4767</v>
      </c>
      <c r="G4482" s="15"/>
      <c r="H4482" s="16"/>
      <c r="I4482" s="14"/>
    </row>
    <row r="4483">
      <c r="A4483" s="14">
        <v>410.0</v>
      </c>
      <c r="B4483" s="14">
        <v>2.9334083E7</v>
      </c>
      <c r="C4483" s="14">
        <v>1.18217554E8</v>
      </c>
      <c r="D4483" s="2" t="s">
        <v>3608</v>
      </c>
      <c r="E4483" s="1" t="s">
        <v>699</v>
      </c>
      <c r="F4483" s="14">
        <v>-0.4767</v>
      </c>
      <c r="G4483" s="15"/>
      <c r="H4483" s="16"/>
      <c r="I4483" s="14"/>
    </row>
    <row r="4484">
      <c r="A4484" s="14">
        <v>244.0</v>
      </c>
      <c r="B4484" s="14">
        <v>4.7659088E7</v>
      </c>
      <c r="C4484" s="14">
        <v>1.88269788E8</v>
      </c>
      <c r="D4484" s="2" t="s">
        <v>3127</v>
      </c>
      <c r="E4484" s="1" t="s">
        <v>699</v>
      </c>
      <c r="F4484" s="14">
        <v>-0.4767</v>
      </c>
      <c r="G4484" s="15"/>
      <c r="H4484" s="16"/>
      <c r="I4484" s="14"/>
    </row>
    <row r="4485">
      <c r="A4485" s="14">
        <v>644.0</v>
      </c>
      <c r="B4485" s="14">
        <v>4.9647076E7</v>
      </c>
      <c r="C4485" s="14">
        <v>1.96538512E8</v>
      </c>
      <c r="D4485" s="2" t="s">
        <v>3030</v>
      </c>
      <c r="E4485" s="1" t="s">
        <v>699</v>
      </c>
      <c r="F4485" s="14">
        <v>-0.4767</v>
      </c>
      <c r="G4485" s="15"/>
      <c r="H4485" s="16"/>
      <c r="I4485" s="14"/>
    </row>
    <row r="4486">
      <c r="A4486" s="14">
        <v>476.0</v>
      </c>
      <c r="B4486" s="14">
        <v>886419.0</v>
      </c>
      <c r="C4486" s="14">
        <v>4183204.0</v>
      </c>
      <c r="D4486" s="2" t="s">
        <v>5142</v>
      </c>
      <c r="E4486" s="1" t="s">
        <v>121</v>
      </c>
      <c r="F4486" s="14">
        <v>-0.4767</v>
      </c>
      <c r="G4486" s="15"/>
      <c r="H4486" s="16"/>
      <c r="I4486" s="14"/>
    </row>
    <row r="4487">
      <c r="A4487" s="14">
        <v>120.0</v>
      </c>
      <c r="B4487" s="14">
        <v>1008085.0</v>
      </c>
      <c r="C4487" s="14">
        <v>4613661.0</v>
      </c>
      <c r="D4487" s="2" t="s">
        <v>5139</v>
      </c>
      <c r="E4487" s="1" t="s">
        <v>121</v>
      </c>
      <c r="F4487" s="14">
        <v>-0.4767</v>
      </c>
      <c r="G4487" s="15"/>
      <c r="H4487" s="16"/>
      <c r="I4487" s="14"/>
    </row>
    <row r="4488">
      <c r="A4488" s="14">
        <v>504.0</v>
      </c>
      <c r="B4488" s="14">
        <v>1260329.0</v>
      </c>
      <c r="C4488" s="14">
        <v>5631140.0</v>
      </c>
      <c r="D4488" s="2" t="s">
        <v>5097</v>
      </c>
      <c r="E4488" s="1" t="s">
        <v>121</v>
      </c>
      <c r="F4488" s="14">
        <v>-0.4767</v>
      </c>
      <c r="G4488" s="15"/>
      <c r="H4488" s="16"/>
      <c r="I4488" s="14"/>
    </row>
    <row r="4489">
      <c r="A4489" s="14">
        <v>353.0</v>
      </c>
      <c r="B4489" s="14">
        <v>1313898.0</v>
      </c>
      <c r="C4489" s="14">
        <v>5872447.0</v>
      </c>
      <c r="D4489" s="2" t="s">
        <v>5094</v>
      </c>
      <c r="E4489" s="1" t="s">
        <v>121</v>
      </c>
      <c r="F4489" s="14">
        <v>-0.4767</v>
      </c>
      <c r="G4489" s="15"/>
      <c r="H4489" s="16"/>
      <c r="I4489" s="14"/>
    </row>
    <row r="4490">
      <c r="A4490" s="14">
        <v>215.0</v>
      </c>
      <c r="B4490" s="14">
        <v>2294457.0</v>
      </c>
      <c r="C4490" s="14">
        <v>1.68105712E8</v>
      </c>
      <c r="D4490" s="2" t="s">
        <v>5033</v>
      </c>
      <c r="E4490" s="1" t="s">
        <v>121</v>
      </c>
      <c r="F4490" s="14">
        <v>-0.4767</v>
      </c>
      <c r="G4490" s="15"/>
      <c r="H4490" s="16"/>
      <c r="I4490" s="14"/>
    </row>
    <row r="4491">
      <c r="A4491" s="14">
        <v>629.0</v>
      </c>
      <c r="B4491" s="14">
        <v>3172946.0</v>
      </c>
      <c r="C4491" s="14">
        <v>1.3477306E7</v>
      </c>
      <c r="D4491" s="2" t="s">
        <v>4946</v>
      </c>
      <c r="E4491" s="1" t="s">
        <v>121</v>
      </c>
      <c r="F4491" s="14">
        <v>-0.4767</v>
      </c>
      <c r="G4491" s="15"/>
      <c r="H4491" s="16"/>
      <c r="I4491" s="14"/>
    </row>
    <row r="4492">
      <c r="A4492" s="14">
        <v>414.0</v>
      </c>
      <c r="B4492" s="14">
        <v>4248937.0</v>
      </c>
      <c r="C4492" s="14">
        <v>1.8008603E7</v>
      </c>
      <c r="D4492" s="2" t="s">
        <v>4857</v>
      </c>
      <c r="E4492" s="1" t="s">
        <v>121</v>
      </c>
      <c r="F4492" s="14">
        <v>-0.4767</v>
      </c>
      <c r="G4492" s="15"/>
      <c r="H4492" s="16"/>
      <c r="I4492" s="14"/>
    </row>
    <row r="4493">
      <c r="A4493" s="14">
        <v>578.0</v>
      </c>
      <c r="B4493" s="14">
        <v>6210700.0</v>
      </c>
      <c r="C4493" s="14">
        <v>2.6415673E7</v>
      </c>
      <c r="D4493" s="2" t="s">
        <v>4696</v>
      </c>
      <c r="E4493" s="1" t="s">
        <v>121</v>
      </c>
      <c r="F4493" s="14">
        <v>-0.4767</v>
      </c>
      <c r="G4493" s="15"/>
      <c r="H4493" s="16"/>
      <c r="I4493" s="14"/>
    </row>
    <row r="4494">
      <c r="A4494" s="14">
        <v>571.0</v>
      </c>
      <c r="B4494" s="14">
        <v>6320484.0</v>
      </c>
      <c r="C4494" s="14">
        <v>1.12553213E8</v>
      </c>
      <c r="D4494" s="2" t="s">
        <v>4683</v>
      </c>
      <c r="E4494" s="1" t="s">
        <v>121</v>
      </c>
      <c r="F4494" s="14">
        <v>-0.4767</v>
      </c>
      <c r="G4494" s="15"/>
      <c r="H4494" s="16"/>
      <c r="I4494" s="14"/>
    </row>
    <row r="4495">
      <c r="A4495" s="14">
        <v>571.0</v>
      </c>
      <c r="B4495" s="14">
        <v>7040064.0</v>
      </c>
      <c r="C4495" s="14">
        <v>4.37913716E8</v>
      </c>
      <c r="D4495" s="2" t="s">
        <v>4606</v>
      </c>
      <c r="E4495" s="1" t="s">
        <v>121</v>
      </c>
      <c r="F4495" s="14">
        <v>-0.4767</v>
      </c>
      <c r="G4495" s="15"/>
      <c r="H4495" s="16"/>
      <c r="I4495" s="14"/>
    </row>
    <row r="4496">
      <c r="A4496" s="14">
        <v>410.0</v>
      </c>
      <c r="B4496" s="14">
        <v>1.0430558E7</v>
      </c>
      <c r="C4496" s="14">
        <v>4.4425107E7</v>
      </c>
      <c r="D4496" s="2" t="s">
        <v>4366</v>
      </c>
      <c r="E4496" s="1" t="s">
        <v>121</v>
      </c>
      <c r="F4496" s="14">
        <v>-0.4767</v>
      </c>
      <c r="G4496" s="15"/>
      <c r="H4496" s="16"/>
      <c r="I4496" s="14"/>
    </row>
    <row r="4497">
      <c r="A4497" s="14">
        <v>414.0</v>
      </c>
      <c r="B4497" s="14">
        <v>1.044937E7</v>
      </c>
      <c r="C4497" s="14">
        <v>4.4381884E7</v>
      </c>
      <c r="D4497" s="2" t="s">
        <v>4362</v>
      </c>
      <c r="E4497" s="1" t="s">
        <v>121</v>
      </c>
      <c r="F4497" s="14">
        <v>-0.4767</v>
      </c>
      <c r="G4497" s="15"/>
      <c r="H4497" s="16"/>
      <c r="I4497" s="14"/>
    </row>
    <row r="4498">
      <c r="A4498" s="14">
        <v>414.0</v>
      </c>
      <c r="B4498" s="14">
        <v>1.2538729E7</v>
      </c>
      <c r="C4498" s="14">
        <v>1.74188565E8</v>
      </c>
      <c r="D4498" s="2" t="s">
        <v>4238</v>
      </c>
      <c r="E4498" s="1" t="s">
        <v>121</v>
      </c>
      <c r="F4498" s="14">
        <v>-0.4767</v>
      </c>
      <c r="G4498" s="15"/>
      <c r="H4498" s="16"/>
      <c r="I4498" s="14"/>
    </row>
    <row r="4499">
      <c r="A4499" s="14">
        <v>531.0</v>
      </c>
      <c r="B4499" s="14">
        <v>1.4026391E7</v>
      </c>
      <c r="C4499" s="14">
        <v>5.96665E7</v>
      </c>
      <c r="D4499" s="2" t="s">
        <v>4153</v>
      </c>
      <c r="E4499" s="1" t="s">
        <v>121</v>
      </c>
      <c r="F4499" s="14">
        <v>-0.4767</v>
      </c>
      <c r="G4499" s="15"/>
      <c r="H4499" s="16"/>
      <c r="I4499" s="14"/>
    </row>
    <row r="4500">
      <c r="A4500" s="14">
        <v>671.0</v>
      </c>
      <c r="B4500" s="14">
        <v>1.4045937E7</v>
      </c>
      <c r="C4500" s="14">
        <v>5.967397E7</v>
      </c>
      <c r="D4500" s="2" t="s">
        <v>4149</v>
      </c>
      <c r="E4500" s="1" t="s">
        <v>121</v>
      </c>
      <c r="F4500" s="14">
        <v>-0.4767</v>
      </c>
      <c r="G4500" s="15"/>
      <c r="H4500" s="16"/>
      <c r="I4500" s="14"/>
    </row>
    <row r="4501">
      <c r="A4501" s="14">
        <v>716.0</v>
      </c>
      <c r="B4501" s="14">
        <v>1.5762229E7</v>
      </c>
      <c r="C4501" s="14">
        <v>6.7011603E7</v>
      </c>
      <c r="D4501" s="2" t="s">
        <v>4048</v>
      </c>
      <c r="E4501" s="1" t="s">
        <v>121</v>
      </c>
      <c r="F4501" s="14">
        <v>-0.4767</v>
      </c>
      <c r="G4501" s="15"/>
      <c r="H4501" s="16"/>
      <c r="I4501" s="14"/>
    </row>
    <row r="4502">
      <c r="A4502" s="14">
        <v>504.0</v>
      </c>
      <c r="B4502" s="14">
        <v>1.6315662E7</v>
      </c>
      <c r="C4502" s="14">
        <v>6.9252096E7</v>
      </c>
      <c r="D4502" s="2" t="s">
        <v>4010</v>
      </c>
      <c r="E4502" s="1" t="s">
        <v>121</v>
      </c>
      <c r="F4502" s="14">
        <v>-0.4767</v>
      </c>
      <c r="G4502" s="15"/>
      <c r="H4502" s="16"/>
      <c r="I4502" s="14"/>
    </row>
    <row r="4503">
      <c r="A4503" s="14">
        <v>410.0</v>
      </c>
      <c r="B4503" s="14">
        <v>1.7060179E7</v>
      </c>
      <c r="C4503" s="14">
        <v>7.2251112E7</v>
      </c>
      <c r="D4503" s="2" t="s">
        <v>3973</v>
      </c>
      <c r="E4503" s="1" t="s">
        <v>121</v>
      </c>
      <c r="F4503" s="14">
        <v>-0.4767</v>
      </c>
      <c r="G4503" s="15"/>
      <c r="H4503" s="16"/>
      <c r="I4503" s="14"/>
    </row>
    <row r="4504">
      <c r="A4504" s="14">
        <v>702.0</v>
      </c>
      <c r="B4504" s="14">
        <v>2.5394133E7</v>
      </c>
      <c r="C4504" s="14">
        <v>1.03158155E8</v>
      </c>
      <c r="D4504" s="2" t="s">
        <v>3718</v>
      </c>
      <c r="E4504" s="1" t="s">
        <v>121</v>
      </c>
      <c r="F4504" s="14">
        <v>-0.4767</v>
      </c>
      <c r="G4504" s="15"/>
      <c r="H4504" s="16"/>
      <c r="I4504" s="14"/>
    </row>
    <row r="4505">
      <c r="A4505" s="14">
        <v>414.0</v>
      </c>
      <c r="B4505" s="14">
        <v>2.793346E7</v>
      </c>
      <c r="C4505" s="14">
        <v>1.12803498E8</v>
      </c>
      <c r="D4505" s="2" t="s">
        <v>3650</v>
      </c>
      <c r="E4505" s="1" t="s">
        <v>121</v>
      </c>
      <c r="F4505" s="14">
        <v>-0.4767</v>
      </c>
      <c r="G4505" s="15"/>
      <c r="H4505" s="16"/>
      <c r="I4505" s="14"/>
    </row>
    <row r="4506">
      <c r="A4506" s="14">
        <v>410.0</v>
      </c>
      <c r="B4506" s="14">
        <v>2.7997777E7</v>
      </c>
      <c r="C4506" s="14">
        <v>1.12864846E8</v>
      </c>
      <c r="D4506" s="2" t="s">
        <v>3647</v>
      </c>
      <c r="E4506" s="1" t="s">
        <v>121</v>
      </c>
      <c r="F4506" s="14">
        <v>-0.4767</v>
      </c>
      <c r="G4506" s="15"/>
      <c r="H4506" s="16"/>
      <c r="I4506" s="14"/>
    </row>
    <row r="4507">
      <c r="A4507" s="14">
        <v>587.0</v>
      </c>
      <c r="B4507" s="14">
        <v>2.9880527E7</v>
      </c>
      <c r="C4507" s="14">
        <v>1.19993323E8</v>
      </c>
      <c r="D4507" s="2" t="s">
        <v>3588</v>
      </c>
      <c r="E4507" s="1" t="s">
        <v>121</v>
      </c>
      <c r="F4507" s="14">
        <v>-0.4767</v>
      </c>
      <c r="G4507" s="15"/>
      <c r="H4507" s="16"/>
      <c r="I4507" s="14"/>
    </row>
    <row r="4508">
      <c r="A4508" s="14">
        <v>504.0</v>
      </c>
      <c r="B4508" s="14">
        <v>3.8401995E7</v>
      </c>
      <c r="C4508" s="14">
        <v>1.52447824E8</v>
      </c>
      <c r="D4508" s="2" t="s">
        <v>3428</v>
      </c>
      <c r="E4508" s="1" t="s">
        <v>121</v>
      </c>
      <c r="F4508" s="14">
        <v>-0.4767</v>
      </c>
      <c r="G4508" s="15"/>
      <c r="H4508" s="16"/>
      <c r="I4508" s="14"/>
    </row>
    <row r="4509">
      <c r="A4509" s="14">
        <v>403.0</v>
      </c>
      <c r="B4509" s="14">
        <v>4.1724121E7</v>
      </c>
      <c r="C4509" s="14">
        <v>1.6511177E8</v>
      </c>
      <c r="D4509" s="2" t="s">
        <v>3327</v>
      </c>
      <c r="E4509" s="1" t="s">
        <v>121</v>
      </c>
      <c r="F4509" s="14">
        <v>-0.4767</v>
      </c>
      <c r="G4509" s="15"/>
      <c r="H4509" s="16"/>
      <c r="I4509" s="14"/>
    </row>
    <row r="4510">
      <c r="A4510" s="14">
        <v>458.0</v>
      </c>
      <c r="B4510" s="14">
        <v>4.7528073E7</v>
      </c>
      <c r="C4510" s="14">
        <v>1.87849992E8</v>
      </c>
      <c r="D4510" s="2" t="s">
        <v>3132</v>
      </c>
      <c r="E4510" s="1" t="s">
        <v>121</v>
      </c>
      <c r="F4510" s="14">
        <v>-0.4767</v>
      </c>
      <c r="G4510" s="15"/>
      <c r="H4510" s="16"/>
      <c r="I4510" s="14"/>
    </row>
    <row r="4511">
      <c r="A4511" s="14">
        <v>571.0</v>
      </c>
      <c r="B4511" s="14">
        <v>4.9328086E7</v>
      </c>
      <c r="C4511" s="14">
        <v>1.95320387E8</v>
      </c>
      <c r="D4511" s="2" t="s">
        <v>3044</v>
      </c>
      <c r="E4511" s="1" t="s">
        <v>121</v>
      </c>
      <c r="F4511" s="14">
        <v>-0.4767</v>
      </c>
      <c r="G4511" s="15"/>
      <c r="H4511" s="16"/>
      <c r="I4511" s="14"/>
    </row>
    <row r="4512">
      <c r="A4512" s="14">
        <v>392.0</v>
      </c>
      <c r="B4512" s="14">
        <v>4.9351392E7</v>
      </c>
      <c r="C4512" s="14">
        <v>1.95553909E8</v>
      </c>
      <c r="D4512" s="2" t="s">
        <v>3041</v>
      </c>
      <c r="E4512" s="1" t="s">
        <v>121</v>
      </c>
      <c r="F4512" s="14">
        <v>-0.4767</v>
      </c>
      <c r="G4512" s="15"/>
      <c r="H4512" s="16"/>
      <c r="I4512" s="14"/>
    </row>
    <row r="4513">
      <c r="A4513" s="14">
        <v>484.0</v>
      </c>
      <c r="B4513" s="14">
        <v>4.9387314E7</v>
      </c>
      <c r="C4513" s="14">
        <v>4.43337256E8</v>
      </c>
      <c r="D4513" s="2" t="s">
        <v>3040</v>
      </c>
      <c r="E4513" s="1" t="s">
        <v>121</v>
      </c>
      <c r="F4513" s="14">
        <v>-0.4767</v>
      </c>
      <c r="G4513" s="15"/>
      <c r="H4513" s="16"/>
      <c r="I4513" s="14"/>
    </row>
    <row r="4514">
      <c r="A4514" s="14">
        <v>353.0</v>
      </c>
      <c r="B4514" s="14">
        <v>5.2515146E7</v>
      </c>
      <c r="C4514" s="14">
        <v>2.08577107E8</v>
      </c>
      <c r="D4514" s="2" t="s">
        <v>2926</v>
      </c>
      <c r="E4514" s="1" t="s">
        <v>121</v>
      </c>
      <c r="F4514" s="14">
        <v>-0.4767</v>
      </c>
      <c r="G4514" s="15"/>
      <c r="H4514" s="16"/>
      <c r="I4514" s="14"/>
    </row>
    <row r="4515">
      <c r="A4515" s="14">
        <v>571.0</v>
      </c>
      <c r="B4515" s="14">
        <v>6.287168E7</v>
      </c>
      <c r="C4515" s="14">
        <v>2.54694609E8</v>
      </c>
      <c r="D4515" s="2" t="s">
        <v>2576</v>
      </c>
      <c r="E4515" s="1" t="s">
        <v>121</v>
      </c>
      <c r="F4515" s="14">
        <v>-0.4767</v>
      </c>
      <c r="G4515" s="15"/>
      <c r="H4515" s="16"/>
      <c r="I4515" s="14"/>
    </row>
    <row r="4516">
      <c r="A4516" s="14">
        <v>116.0</v>
      </c>
      <c r="B4516" s="14">
        <v>8.0714116E7</v>
      </c>
      <c r="C4516" s="14">
        <v>3.37745835E8</v>
      </c>
      <c r="D4516" s="2" t="s">
        <v>1713</v>
      </c>
      <c r="E4516" s="1" t="s">
        <v>121</v>
      </c>
      <c r="F4516" s="14">
        <v>-0.4767</v>
      </c>
      <c r="G4516" s="15"/>
      <c r="H4516" s="16"/>
      <c r="I4516" s="14"/>
    </row>
    <row r="4517">
      <c r="A4517" s="14">
        <v>571.0</v>
      </c>
      <c r="B4517" s="14">
        <v>9.6227216E7</v>
      </c>
      <c r="C4517" s="14">
        <v>4.10800779E8</v>
      </c>
      <c r="D4517" s="2" t="s">
        <v>810</v>
      </c>
      <c r="E4517" s="1" t="s">
        <v>121</v>
      </c>
      <c r="F4517" s="14">
        <v>-0.4767</v>
      </c>
      <c r="G4517" s="15"/>
      <c r="H4517" s="16"/>
      <c r="I4517" s="14"/>
    </row>
    <row r="4518">
      <c r="A4518" s="14">
        <v>484.0</v>
      </c>
      <c r="B4518" s="14">
        <v>9.7672709E7</v>
      </c>
      <c r="C4518" s="14">
        <v>4.17474024E8</v>
      </c>
      <c r="D4518" s="2" t="s">
        <v>733</v>
      </c>
      <c r="E4518" s="1" t="s">
        <v>121</v>
      </c>
      <c r="F4518" s="14">
        <v>-0.4767</v>
      </c>
      <c r="G4518" s="15"/>
      <c r="H4518" s="16"/>
      <c r="I4518" s="14"/>
    </row>
    <row r="4519">
      <c r="A4519" s="14">
        <v>471.0</v>
      </c>
      <c r="B4519" s="14">
        <v>1.090967E8</v>
      </c>
      <c r="C4519" s="14">
        <v>4.72029125E8</v>
      </c>
      <c r="D4519" s="2" t="s">
        <v>142</v>
      </c>
      <c r="E4519" s="1" t="s">
        <v>121</v>
      </c>
      <c r="F4519" s="14">
        <v>-0.4767</v>
      </c>
      <c r="G4519" s="15"/>
      <c r="H4519" s="16"/>
      <c r="I4519" s="14"/>
    </row>
    <row r="4520">
      <c r="A4520" s="14">
        <v>664.0</v>
      </c>
      <c r="B4520" s="14">
        <v>1.12219081E8</v>
      </c>
      <c r="C4520" s="14">
        <v>4.87409415E8</v>
      </c>
      <c r="D4520" s="2" t="s">
        <v>35</v>
      </c>
      <c r="E4520" s="1" t="s">
        <v>121</v>
      </c>
      <c r="F4520" s="14">
        <v>-0.4767</v>
      </c>
      <c r="G4520" s="15"/>
      <c r="H4520" s="16"/>
      <c r="I4520" s="14"/>
    </row>
    <row r="4521">
      <c r="A4521" s="14">
        <v>392.0</v>
      </c>
      <c r="B4521" s="14">
        <v>4978888.0</v>
      </c>
      <c r="C4521" s="14">
        <v>2.1184036E7</v>
      </c>
      <c r="D4521" s="2" t="s">
        <v>4795</v>
      </c>
      <c r="E4521" s="1" t="s">
        <v>121</v>
      </c>
      <c r="F4521" s="14">
        <v>-0.4822</v>
      </c>
      <c r="G4521" s="15"/>
      <c r="H4521" s="16"/>
      <c r="I4521" s="14"/>
    </row>
    <row r="4522">
      <c r="A4522" s="14">
        <v>715.0</v>
      </c>
      <c r="B4522" s="14">
        <v>9617748.0</v>
      </c>
      <c r="C4522" s="14">
        <v>4.0759714E7</v>
      </c>
      <c r="D4522" s="2" t="s">
        <v>4424</v>
      </c>
      <c r="E4522" s="1" t="s">
        <v>121</v>
      </c>
      <c r="F4522" s="14">
        <v>-0.4841</v>
      </c>
      <c r="G4522" s="15"/>
      <c r="H4522" s="16"/>
      <c r="I4522" s="14"/>
    </row>
    <row r="4523">
      <c r="A4523" s="14">
        <v>671.0</v>
      </c>
      <c r="B4523" s="14">
        <v>6589344.0</v>
      </c>
      <c r="C4523" s="14">
        <v>2.8063668E7</v>
      </c>
      <c r="D4523" s="2" t="s">
        <v>4657</v>
      </c>
      <c r="E4523" s="1" t="s">
        <v>121</v>
      </c>
      <c r="F4523" s="14">
        <v>-0.4854</v>
      </c>
      <c r="G4523" s="15"/>
      <c r="H4523" s="16"/>
      <c r="I4523" s="14"/>
    </row>
    <row r="4524">
      <c r="A4524" s="14">
        <v>597.0</v>
      </c>
      <c r="B4524" s="14">
        <v>1.0576686E7</v>
      </c>
      <c r="C4524" s="14">
        <v>4.4906909E7</v>
      </c>
      <c r="D4524" s="2" t="s">
        <v>4354</v>
      </c>
      <c r="E4524" s="1" t="s">
        <v>121</v>
      </c>
      <c r="F4524" s="14">
        <v>-0.4854</v>
      </c>
      <c r="G4524" s="15"/>
      <c r="H4524" s="16"/>
      <c r="I4524" s="14"/>
    </row>
    <row r="4525">
      <c r="A4525" s="14">
        <v>593.0</v>
      </c>
      <c r="B4525" s="14">
        <v>3.3930149E7</v>
      </c>
      <c r="C4525" s="14">
        <v>1.35584147E8</v>
      </c>
      <c r="D4525" s="2" t="s">
        <v>3501</v>
      </c>
      <c r="E4525" s="1" t="s">
        <v>121</v>
      </c>
      <c r="F4525" s="14">
        <v>-0.4871</v>
      </c>
      <c r="G4525" s="15"/>
      <c r="H4525" s="16"/>
      <c r="I4525" s="14"/>
    </row>
    <row r="4526">
      <c r="A4526" s="14">
        <v>410.0</v>
      </c>
      <c r="B4526" s="14">
        <v>5.2128209E7</v>
      </c>
      <c r="C4526" s="14">
        <v>2.06553282E8</v>
      </c>
      <c r="D4526" s="2" t="s">
        <v>2939</v>
      </c>
      <c r="E4526" s="1" t="s">
        <v>121</v>
      </c>
      <c r="F4526" s="14">
        <v>-0.4871</v>
      </c>
      <c r="G4526" s="15"/>
      <c r="H4526" s="16"/>
      <c r="I4526" s="14"/>
    </row>
    <row r="4527">
      <c r="A4527" s="14">
        <v>546.0</v>
      </c>
      <c r="B4527" s="14">
        <v>1.3118901E7</v>
      </c>
      <c r="C4527" s="14">
        <v>5.5840126E7</v>
      </c>
      <c r="D4527" s="2" t="s">
        <v>4204</v>
      </c>
      <c r="E4527" s="1" t="s">
        <v>121</v>
      </c>
      <c r="F4527" s="14">
        <v>-0.489</v>
      </c>
      <c r="G4527" s="15"/>
      <c r="H4527" s="16"/>
      <c r="I4527" s="14"/>
    </row>
    <row r="4528">
      <c r="A4528" s="14">
        <v>285.0</v>
      </c>
      <c r="B4528" s="14">
        <v>2096110.0</v>
      </c>
      <c r="C4528" s="14">
        <v>1.8077414E7</v>
      </c>
      <c r="D4528" s="2" t="s">
        <v>5045</v>
      </c>
      <c r="E4528" s="1" t="s">
        <v>699</v>
      </c>
      <c r="F4528" s="14">
        <v>-0.4926</v>
      </c>
      <c r="G4528" s="15"/>
      <c r="H4528" s="16"/>
      <c r="I4528" s="14"/>
    </row>
    <row r="4529">
      <c r="A4529" s="14">
        <v>678.0</v>
      </c>
      <c r="B4529" s="14">
        <v>1.4489419E7</v>
      </c>
      <c r="C4529" s="14">
        <v>6.1660164E7</v>
      </c>
      <c r="D4529" s="2" t="s">
        <v>4130</v>
      </c>
      <c r="E4529" s="1" t="s">
        <v>121</v>
      </c>
      <c r="F4529" s="14">
        <v>-0.4926</v>
      </c>
      <c r="G4529" s="15"/>
      <c r="H4529" s="16"/>
      <c r="I4529" s="14"/>
    </row>
    <row r="4530">
      <c r="A4530" s="14">
        <v>395.0</v>
      </c>
      <c r="B4530" s="14">
        <v>2513620.0</v>
      </c>
      <c r="C4530" s="14">
        <v>1.0600383E7</v>
      </c>
      <c r="D4530" s="2" t="s">
        <v>5018</v>
      </c>
      <c r="E4530" s="1" t="s">
        <v>121</v>
      </c>
      <c r="F4530" s="14">
        <v>-0.4927</v>
      </c>
      <c r="G4530" s="15"/>
      <c r="H4530" s="16"/>
      <c r="I4530" s="14"/>
    </row>
    <row r="4531">
      <c r="A4531" s="14">
        <v>700.0</v>
      </c>
      <c r="B4531" s="14">
        <v>1.3844272E7</v>
      </c>
      <c r="C4531" s="14">
        <v>5.8879306E7</v>
      </c>
      <c r="D4531" s="2" t="s">
        <v>4169</v>
      </c>
      <c r="E4531" s="1" t="s">
        <v>121</v>
      </c>
      <c r="F4531" s="14">
        <v>-0.4927</v>
      </c>
      <c r="G4531" s="15"/>
      <c r="H4531" s="16"/>
      <c r="I4531" s="14"/>
    </row>
    <row r="4532">
      <c r="A4532" s="14">
        <v>215.0</v>
      </c>
      <c r="B4532" s="14">
        <v>5.0317051E7</v>
      </c>
      <c r="C4532" s="14">
        <v>1.99147325E8</v>
      </c>
      <c r="D4532" s="2" t="s">
        <v>3008</v>
      </c>
      <c r="E4532" s="1" t="s">
        <v>699</v>
      </c>
      <c r="F4532" s="14">
        <v>-0.4939</v>
      </c>
      <c r="G4532" s="15"/>
      <c r="H4532" s="16"/>
      <c r="I4532" s="14"/>
    </row>
    <row r="4533">
      <c r="A4533" s="14">
        <v>402.0</v>
      </c>
      <c r="B4533" s="14">
        <v>4384149.0</v>
      </c>
      <c r="C4533" s="14">
        <v>1.8601592E7</v>
      </c>
      <c r="D4533" s="2" t="s">
        <v>4833</v>
      </c>
      <c r="E4533" s="1" t="s">
        <v>121</v>
      </c>
      <c r="F4533" s="14">
        <v>-0.4939</v>
      </c>
      <c r="G4533" s="15"/>
      <c r="H4533" s="16"/>
      <c r="I4533" s="14"/>
    </row>
    <row r="4534">
      <c r="A4534" s="14">
        <v>379.0</v>
      </c>
      <c r="B4534" s="14">
        <v>3.0790422E7</v>
      </c>
      <c r="C4534" s="14">
        <v>1.23486319E8</v>
      </c>
      <c r="D4534" s="2" t="s">
        <v>3566</v>
      </c>
      <c r="E4534" s="1" t="s">
        <v>121</v>
      </c>
      <c r="F4534" s="14">
        <v>-0.4939</v>
      </c>
      <c r="G4534" s="15"/>
      <c r="H4534" s="16"/>
      <c r="I4534" s="14"/>
    </row>
    <row r="4535">
      <c r="A4535" s="14">
        <v>521.0</v>
      </c>
      <c r="B4535" s="14">
        <v>4.1137672E7</v>
      </c>
      <c r="C4535" s="14">
        <v>1.62889983E8</v>
      </c>
      <c r="D4535" s="2" t="s">
        <v>3353</v>
      </c>
      <c r="E4535" s="1" t="s">
        <v>121</v>
      </c>
      <c r="F4535" s="14">
        <v>-0.4939</v>
      </c>
      <c r="G4535" s="15"/>
      <c r="H4535" s="16"/>
      <c r="I4535" s="14"/>
    </row>
    <row r="4536">
      <c r="A4536" s="14">
        <v>355.0</v>
      </c>
      <c r="B4536" s="14">
        <v>4.3826184E7</v>
      </c>
      <c r="C4536" s="14">
        <v>3.46835259E8</v>
      </c>
      <c r="D4536" s="2" t="s">
        <v>3274</v>
      </c>
      <c r="E4536" s="1" t="s">
        <v>121</v>
      </c>
      <c r="F4536" s="14">
        <v>-0.4939</v>
      </c>
      <c r="G4536" s="15"/>
      <c r="H4536" s="16"/>
      <c r="I4536" s="14"/>
    </row>
    <row r="4537">
      <c r="A4537" s="14">
        <v>664.0</v>
      </c>
      <c r="B4537" s="14">
        <v>5.0254255E7</v>
      </c>
      <c r="C4537" s="14">
        <v>1.98914038E8</v>
      </c>
      <c r="D4537" s="2" t="s">
        <v>3010</v>
      </c>
      <c r="E4537" s="1" t="s">
        <v>121</v>
      </c>
      <c r="F4537" s="14">
        <v>-0.4939</v>
      </c>
      <c r="G4537" s="15"/>
      <c r="H4537" s="16"/>
      <c r="I4537" s="14"/>
    </row>
    <row r="4538">
      <c r="A4538" s="14">
        <v>578.0</v>
      </c>
      <c r="B4538" s="14">
        <v>8.5710826E7</v>
      </c>
      <c r="C4538" s="14">
        <v>3.61627112E8</v>
      </c>
      <c r="D4538" s="2" t="s">
        <v>1381</v>
      </c>
      <c r="E4538" s="1" t="s">
        <v>121</v>
      </c>
      <c r="F4538" s="14">
        <v>-0.4939</v>
      </c>
      <c r="G4538" s="15"/>
      <c r="H4538" s="16"/>
      <c r="I4538" s="14"/>
    </row>
    <row r="4539">
      <c r="A4539" s="14">
        <v>475.0</v>
      </c>
      <c r="B4539" s="14">
        <v>1.6607091E7</v>
      </c>
      <c r="C4539" s="14">
        <v>7.0522362E7</v>
      </c>
      <c r="D4539" s="2" t="s">
        <v>3990</v>
      </c>
      <c r="E4539" s="1" t="s">
        <v>121</v>
      </c>
      <c r="F4539" s="14">
        <v>-0.4993</v>
      </c>
      <c r="G4539" s="15"/>
      <c r="H4539" s="16"/>
      <c r="I4539" s="14"/>
    </row>
    <row r="4540">
      <c r="A4540" s="14">
        <v>609.0</v>
      </c>
      <c r="B4540" s="14">
        <v>4871506.0</v>
      </c>
      <c r="C4540" s="14">
        <v>2.0758415E7</v>
      </c>
      <c r="D4540" s="2" t="s">
        <v>4800</v>
      </c>
      <c r="E4540" s="1" t="s">
        <v>121</v>
      </c>
      <c r="F4540" s="14">
        <v>-0.5</v>
      </c>
      <c r="G4540" s="15"/>
      <c r="H4540" s="16"/>
      <c r="I4540" s="14"/>
    </row>
    <row r="4541">
      <c r="A4541" s="14">
        <v>379.0</v>
      </c>
      <c r="B4541" s="14">
        <v>1.4951782E7</v>
      </c>
      <c r="C4541" s="14">
        <v>6.3525843E7</v>
      </c>
      <c r="D4541" s="2" t="s">
        <v>4108</v>
      </c>
      <c r="E4541" s="1" t="s">
        <v>121</v>
      </c>
      <c r="F4541" s="14">
        <v>-0.5023</v>
      </c>
      <c r="G4541" s="15"/>
      <c r="H4541" s="16"/>
      <c r="I4541" s="14"/>
    </row>
    <row r="4542">
      <c r="A4542" s="14">
        <v>578.0</v>
      </c>
      <c r="B4542" s="14">
        <v>6.525298E7</v>
      </c>
      <c r="C4542" s="14">
        <v>2.6577071E8</v>
      </c>
      <c r="D4542" s="2" t="s">
        <v>2477</v>
      </c>
      <c r="E4542" s="1" t="s">
        <v>121</v>
      </c>
      <c r="F4542" s="14">
        <v>-0.505</v>
      </c>
      <c r="G4542" s="15"/>
      <c r="H4542" s="16"/>
      <c r="I4542" s="14"/>
    </row>
    <row r="4543">
      <c r="A4543" s="14">
        <v>414.0</v>
      </c>
      <c r="B4543" s="14">
        <v>1.261164E7</v>
      </c>
      <c r="C4543" s="14">
        <v>5.346994E7</v>
      </c>
      <c r="D4543" s="2" t="s">
        <v>4232</v>
      </c>
      <c r="E4543" s="1" t="s">
        <v>121</v>
      </c>
      <c r="F4543" s="14">
        <v>-0.5053</v>
      </c>
      <c r="G4543" s="15"/>
      <c r="H4543" s="16"/>
      <c r="I4543" s="14"/>
    </row>
    <row r="4544">
      <c r="A4544" s="14">
        <v>602.0</v>
      </c>
      <c r="B4544" s="14">
        <v>8.4236207E7</v>
      </c>
      <c r="C4544" s="14">
        <v>3.54579317E8</v>
      </c>
      <c r="D4544" s="2" t="s">
        <v>1493</v>
      </c>
      <c r="E4544" s="1" t="s">
        <v>121</v>
      </c>
      <c r="F4544" s="14">
        <v>-0.5081</v>
      </c>
      <c r="G4544" s="15"/>
      <c r="H4544" s="16"/>
      <c r="I4544" s="14"/>
    </row>
    <row r="4545">
      <c r="A4545" s="14">
        <v>380.0</v>
      </c>
      <c r="B4545" s="14">
        <v>7.050026E7</v>
      </c>
      <c r="C4545" s="14">
        <v>2.90703472E8</v>
      </c>
      <c r="D4545" s="2" t="s">
        <v>2189</v>
      </c>
      <c r="E4545" s="1" t="s">
        <v>121</v>
      </c>
      <c r="F4545" s="14">
        <v>-0.509</v>
      </c>
      <c r="G4545" s="15"/>
      <c r="H4545" s="16"/>
      <c r="I4545" s="14"/>
    </row>
    <row r="4546">
      <c r="A4546" s="14">
        <v>671.0</v>
      </c>
      <c r="B4546" s="14">
        <v>3075125.0</v>
      </c>
      <c r="C4546" s="14">
        <v>1.3026051E7</v>
      </c>
      <c r="D4546" s="2" t="s">
        <v>4962</v>
      </c>
      <c r="E4546" s="1" t="s">
        <v>121</v>
      </c>
      <c r="F4546" s="14">
        <v>-0.5096</v>
      </c>
      <c r="G4546" s="15"/>
      <c r="H4546" s="16"/>
      <c r="I4546" s="14"/>
    </row>
    <row r="4547">
      <c r="A4547" s="14">
        <v>410.0</v>
      </c>
      <c r="B4547" s="14">
        <v>3465481.0</v>
      </c>
      <c r="C4547" s="14">
        <v>1.4823759E7</v>
      </c>
      <c r="D4547" s="2" t="s">
        <v>4926</v>
      </c>
      <c r="E4547" s="1" t="s">
        <v>121</v>
      </c>
      <c r="F4547" s="14">
        <v>-0.5096</v>
      </c>
      <c r="G4547" s="15"/>
      <c r="H4547" s="16"/>
      <c r="I4547" s="14"/>
    </row>
    <row r="4548">
      <c r="A4548" s="14">
        <v>410.0</v>
      </c>
      <c r="B4548" s="14">
        <v>1.973744E7</v>
      </c>
      <c r="C4548" s="14">
        <v>8.2382223E7</v>
      </c>
      <c r="D4548" s="2" t="s">
        <v>3886</v>
      </c>
      <c r="E4548" s="1" t="s">
        <v>699</v>
      </c>
      <c r="F4548" s="14">
        <v>-0.5106</v>
      </c>
      <c r="G4548" s="15"/>
      <c r="H4548" s="16"/>
      <c r="I4548" s="14"/>
    </row>
    <row r="4549">
      <c r="A4549" s="14">
        <v>247.0</v>
      </c>
      <c r="B4549" s="14">
        <v>5282219.0</v>
      </c>
      <c r="C4549" s="14">
        <v>2.2739905E7</v>
      </c>
      <c r="D4549" s="2" t="s">
        <v>4763</v>
      </c>
      <c r="E4549" s="1" t="s">
        <v>121</v>
      </c>
      <c r="F4549" s="14">
        <v>-0.5106</v>
      </c>
      <c r="G4549" s="15"/>
      <c r="H4549" s="16"/>
      <c r="I4549" s="14"/>
    </row>
    <row r="4550">
      <c r="A4550" s="14">
        <v>665.0</v>
      </c>
      <c r="B4550" s="14">
        <v>1.1607206E7</v>
      </c>
      <c r="C4550" s="14">
        <v>4.9295851E7</v>
      </c>
      <c r="D4550" s="2" t="s">
        <v>4279</v>
      </c>
      <c r="E4550" s="1" t="s">
        <v>121</v>
      </c>
      <c r="F4550" s="14">
        <v>-0.5106</v>
      </c>
      <c r="G4550" s="15"/>
      <c r="H4550" s="16"/>
      <c r="I4550" s="14"/>
    </row>
    <row r="4551">
      <c r="A4551" s="14">
        <v>671.0</v>
      </c>
      <c r="B4551" s="14">
        <v>5.1835883E7</v>
      </c>
      <c r="C4551" s="14">
        <v>2.05452361E8</v>
      </c>
      <c r="D4551" s="2" t="s">
        <v>2952</v>
      </c>
      <c r="E4551" s="1" t="s">
        <v>121</v>
      </c>
      <c r="F4551" s="14">
        <v>-0.5106</v>
      </c>
      <c r="G4551" s="15"/>
      <c r="H4551" s="16"/>
      <c r="I4551" s="14"/>
    </row>
    <row r="4552">
      <c r="A4552" s="14">
        <v>661.0</v>
      </c>
      <c r="B4552" s="14">
        <v>5.6464565E7</v>
      </c>
      <c r="C4552" s="14">
        <v>2.24482179E8</v>
      </c>
      <c r="D4552" s="2" t="s">
        <v>2806</v>
      </c>
      <c r="E4552" s="1" t="s">
        <v>121</v>
      </c>
      <c r="F4552" s="14">
        <v>-0.5106</v>
      </c>
      <c r="G4552" s="15"/>
      <c r="H4552" s="16"/>
      <c r="I4552" s="14"/>
    </row>
    <row r="4553">
      <c r="A4553" s="14">
        <v>355.0</v>
      </c>
      <c r="B4553" s="14">
        <v>8.3238705E7</v>
      </c>
      <c r="C4553" s="14">
        <v>3.4953294E8</v>
      </c>
      <c r="D4553" s="2" t="s">
        <v>1557</v>
      </c>
      <c r="E4553" s="1" t="s">
        <v>121</v>
      </c>
      <c r="F4553" s="14">
        <v>-0.5106</v>
      </c>
      <c r="G4553" s="15"/>
      <c r="H4553" s="16"/>
      <c r="I4553" s="14"/>
    </row>
    <row r="4554">
      <c r="A4554" s="14">
        <v>379.0</v>
      </c>
      <c r="B4554" s="14">
        <v>4.681856E7</v>
      </c>
      <c r="C4554" s="14">
        <v>1.84996262E8</v>
      </c>
      <c r="D4554" s="2" t="s">
        <v>3163</v>
      </c>
      <c r="E4554" s="1" t="s">
        <v>121</v>
      </c>
      <c r="F4554" s="14">
        <v>-0.5109</v>
      </c>
      <c r="G4554" s="15"/>
      <c r="H4554" s="16"/>
      <c r="I4554" s="14"/>
    </row>
    <row r="4555">
      <c r="A4555" s="14">
        <v>120.0</v>
      </c>
      <c r="B4555" s="14">
        <v>224812.0</v>
      </c>
      <c r="C4555" s="14">
        <v>941736.0</v>
      </c>
      <c r="D4555" s="2" t="s">
        <v>5172</v>
      </c>
      <c r="E4555" s="1" t="s">
        <v>121</v>
      </c>
      <c r="F4555" s="14">
        <v>-0.5116</v>
      </c>
      <c r="G4555" s="15"/>
      <c r="H4555" s="16"/>
      <c r="I4555" s="14"/>
    </row>
    <row r="4556">
      <c r="A4556" s="14">
        <v>394.0</v>
      </c>
      <c r="B4556" s="14">
        <v>4.480422E7</v>
      </c>
      <c r="C4556" s="14">
        <v>1.76968731E8</v>
      </c>
      <c r="D4556" s="2" t="s">
        <v>3252</v>
      </c>
      <c r="E4556" s="1" t="s">
        <v>121</v>
      </c>
      <c r="F4556" s="14">
        <v>-0.5122</v>
      </c>
      <c r="G4556" s="15"/>
      <c r="H4556" s="16"/>
      <c r="I4556" s="14"/>
    </row>
    <row r="4557">
      <c r="A4557" s="14">
        <v>213.0</v>
      </c>
      <c r="B4557" s="14">
        <v>9.2083096E7</v>
      </c>
      <c r="C4557" s="14">
        <v>3.91157112E8</v>
      </c>
      <c r="D4557" s="2" t="s">
        <v>1032</v>
      </c>
      <c r="E4557" s="1" t="s">
        <v>699</v>
      </c>
      <c r="F4557" s="14">
        <v>-0.5145</v>
      </c>
      <c r="G4557" s="15"/>
      <c r="H4557" s="16"/>
      <c r="I4557" s="14"/>
    </row>
    <row r="4558">
      <c r="A4558" s="14">
        <v>602.0</v>
      </c>
      <c r="B4558" s="14">
        <v>2261509.0</v>
      </c>
      <c r="C4558" s="14">
        <v>9681998.0</v>
      </c>
      <c r="D4558" s="2" t="s">
        <v>5037</v>
      </c>
      <c r="E4558" s="1" t="s">
        <v>121</v>
      </c>
      <c r="F4558" s="14">
        <v>-0.5152</v>
      </c>
      <c r="G4558" s="15"/>
      <c r="H4558" s="16"/>
      <c r="I4558" s="14"/>
    </row>
    <row r="4559">
      <c r="A4559" s="14">
        <v>694.0</v>
      </c>
      <c r="B4559" s="14">
        <v>2.9881892E7</v>
      </c>
      <c r="C4559" s="14">
        <v>1.40919305E8</v>
      </c>
      <c r="D4559" s="2" t="s">
        <v>3587</v>
      </c>
      <c r="E4559" s="1" t="s">
        <v>121</v>
      </c>
      <c r="F4559" s="14">
        <v>-0.5156</v>
      </c>
      <c r="G4559" s="15"/>
      <c r="H4559" s="16"/>
      <c r="I4559" s="14"/>
    </row>
    <row r="4560">
      <c r="A4560" s="14">
        <v>665.0</v>
      </c>
      <c r="B4560" s="14">
        <v>2.8769446E7</v>
      </c>
      <c r="C4560" s="14">
        <v>1.15756259E8</v>
      </c>
      <c r="D4560" s="2" t="s">
        <v>3617</v>
      </c>
      <c r="E4560" s="1" t="s">
        <v>121</v>
      </c>
      <c r="F4560" s="14">
        <v>-0.5187</v>
      </c>
      <c r="G4560" s="15"/>
      <c r="H4560" s="16"/>
      <c r="I4560" s="14"/>
    </row>
    <row r="4561">
      <c r="A4561" s="14">
        <v>609.0</v>
      </c>
      <c r="B4561" s="14">
        <v>6337258.0</v>
      </c>
      <c r="C4561" s="14">
        <v>2.6919845E7</v>
      </c>
      <c r="D4561" s="2" t="s">
        <v>4680</v>
      </c>
      <c r="E4561" s="1" t="s">
        <v>121</v>
      </c>
      <c r="F4561" s="14">
        <v>-0.52</v>
      </c>
      <c r="G4561" s="15"/>
      <c r="H4561" s="16"/>
      <c r="I4561" s="14"/>
    </row>
    <row r="4562">
      <c r="A4562" s="14">
        <v>578.0</v>
      </c>
      <c r="B4562" s="14">
        <v>6049401.0</v>
      </c>
      <c r="C4562" s="14">
        <v>2.5908818E7</v>
      </c>
      <c r="D4562" s="2" t="s">
        <v>4707</v>
      </c>
      <c r="E4562" s="1" t="s">
        <v>121</v>
      </c>
      <c r="F4562" s="14">
        <v>-0.5216</v>
      </c>
      <c r="G4562" s="15"/>
      <c r="H4562" s="16"/>
      <c r="I4562" s="14"/>
    </row>
    <row r="4563">
      <c r="A4563" s="14">
        <v>565.0</v>
      </c>
      <c r="B4563" s="14">
        <v>6.7995976E7</v>
      </c>
      <c r="C4563" s="14">
        <v>2.79461537E8</v>
      </c>
      <c r="D4563" s="2" t="s">
        <v>2342</v>
      </c>
      <c r="E4563" s="1" t="s">
        <v>121</v>
      </c>
      <c r="F4563" s="14">
        <v>-0.5216</v>
      </c>
      <c r="G4563" s="15"/>
      <c r="H4563" s="16"/>
      <c r="I4563" s="14"/>
    </row>
    <row r="4564">
      <c r="A4564" s="14">
        <v>593.0</v>
      </c>
      <c r="B4564" s="14">
        <v>8.2832102E7</v>
      </c>
      <c r="C4564" s="14">
        <v>3.47531108E8</v>
      </c>
      <c r="D4564" s="2" t="s">
        <v>1579</v>
      </c>
      <c r="E4564" s="1" t="s">
        <v>121</v>
      </c>
      <c r="F4564" s="14">
        <v>-0.5216</v>
      </c>
      <c r="G4564" s="15"/>
      <c r="H4564" s="16"/>
      <c r="I4564" s="14"/>
    </row>
    <row r="4565">
      <c r="A4565" s="14">
        <v>492.0</v>
      </c>
      <c r="B4565" s="14">
        <v>1.06518126E8</v>
      </c>
      <c r="C4565" s="14">
        <v>4.59582142E8</v>
      </c>
      <c r="D4565" s="2" t="s">
        <v>285</v>
      </c>
      <c r="E4565" s="1" t="s">
        <v>121</v>
      </c>
      <c r="F4565" s="14">
        <v>-0.5216</v>
      </c>
      <c r="G4565" s="15"/>
      <c r="H4565" s="16"/>
      <c r="I4565" s="14"/>
    </row>
    <row r="4566">
      <c r="A4566" s="14">
        <v>645.0</v>
      </c>
      <c r="B4566" s="14">
        <v>4744647.0</v>
      </c>
      <c r="C4566" s="14">
        <v>2.398249E7</v>
      </c>
      <c r="D4566" s="2" t="s">
        <v>4809</v>
      </c>
      <c r="E4566" s="1" t="s">
        <v>121</v>
      </c>
      <c r="F4566" s="14">
        <v>-0.5229</v>
      </c>
      <c r="G4566" s="15"/>
      <c r="H4566" s="16"/>
      <c r="I4566" s="14"/>
    </row>
    <row r="4567">
      <c r="A4567" s="14">
        <v>120.0</v>
      </c>
      <c r="B4567" s="14">
        <v>127387.0</v>
      </c>
      <c r="C4567" s="14">
        <v>2478193.0</v>
      </c>
      <c r="D4567" s="2" t="s">
        <v>5177</v>
      </c>
      <c r="E4567" s="1" t="s">
        <v>121</v>
      </c>
      <c r="F4567" s="14">
        <v>-0.5255</v>
      </c>
      <c r="G4567" s="15"/>
      <c r="H4567" s="16"/>
      <c r="I4567" s="14"/>
    </row>
    <row r="4568">
      <c r="A4568" s="14">
        <v>578.0</v>
      </c>
      <c r="B4568" s="14">
        <v>2.2326738E7</v>
      </c>
      <c r="C4568" s="14">
        <v>9.2348593E7</v>
      </c>
      <c r="D4568" s="2" t="s">
        <v>3796</v>
      </c>
      <c r="E4568" s="1" t="s">
        <v>121</v>
      </c>
      <c r="F4568" s="14">
        <v>-0.5255</v>
      </c>
      <c r="G4568" s="15"/>
      <c r="H4568" s="16"/>
      <c r="I4568" s="14"/>
    </row>
    <row r="4569">
      <c r="A4569" s="14">
        <v>458.0</v>
      </c>
      <c r="B4569" s="14">
        <v>6225441.0</v>
      </c>
      <c r="C4569" s="14">
        <v>2.6524354E7</v>
      </c>
      <c r="D4569" s="2" t="s">
        <v>4694</v>
      </c>
      <c r="E4569" s="1" t="s">
        <v>121</v>
      </c>
      <c r="F4569" s="14">
        <v>-0.5256</v>
      </c>
      <c r="G4569" s="15"/>
      <c r="H4569" s="16"/>
      <c r="I4569" s="14"/>
    </row>
    <row r="4570">
      <c r="A4570" s="14">
        <v>676.0</v>
      </c>
      <c r="B4570" s="14">
        <v>1.1955273E7</v>
      </c>
      <c r="C4570" s="14">
        <v>5.0738409E7</v>
      </c>
      <c r="D4570" s="2" t="s">
        <v>4257</v>
      </c>
      <c r="E4570" s="1" t="s">
        <v>121</v>
      </c>
      <c r="F4570" s="14">
        <v>-0.5256</v>
      </c>
      <c r="G4570" s="15"/>
      <c r="H4570" s="16"/>
      <c r="I4570" s="14"/>
    </row>
    <row r="4571">
      <c r="A4571" s="14">
        <v>395.0</v>
      </c>
      <c r="B4571" s="14">
        <v>1.5257246E7</v>
      </c>
      <c r="C4571" s="14">
        <v>6.4940219E7</v>
      </c>
      <c r="D4571" s="2" t="s">
        <v>4078</v>
      </c>
      <c r="E4571" s="1" t="s">
        <v>121</v>
      </c>
      <c r="F4571" s="14">
        <v>-0.5256</v>
      </c>
      <c r="G4571" s="15"/>
      <c r="H4571" s="16"/>
      <c r="I4571" s="14"/>
    </row>
    <row r="4572">
      <c r="A4572" s="14">
        <v>696.0</v>
      </c>
      <c r="B4572" s="14">
        <v>1.6383232E7</v>
      </c>
      <c r="C4572" s="14">
        <v>6.9413093E7</v>
      </c>
      <c r="D4572" s="2" t="s">
        <v>4008</v>
      </c>
      <c r="E4572" s="1" t="s">
        <v>121</v>
      </c>
      <c r="F4572" s="14">
        <v>-0.5256</v>
      </c>
      <c r="G4572" s="15"/>
      <c r="H4572" s="16"/>
      <c r="I4572" s="14"/>
    </row>
    <row r="4573">
      <c r="A4573" s="14">
        <v>712.0</v>
      </c>
      <c r="B4573" s="14">
        <v>4.5072161E7</v>
      </c>
      <c r="C4573" s="14">
        <v>1.78145114E8</v>
      </c>
      <c r="D4573" s="2" t="s">
        <v>3242</v>
      </c>
      <c r="E4573" s="1" t="s">
        <v>121</v>
      </c>
      <c r="F4573" s="14">
        <v>-0.5256</v>
      </c>
      <c r="G4573" s="15"/>
      <c r="H4573" s="16"/>
      <c r="I4573" s="14"/>
    </row>
    <row r="4574">
      <c r="A4574" s="14">
        <v>669.0</v>
      </c>
      <c r="B4574" s="14">
        <v>4.9489079E7</v>
      </c>
      <c r="C4574" s="14">
        <v>1.95824718E8</v>
      </c>
      <c r="D4574" s="2" t="s">
        <v>3037</v>
      </c>
      <c r="E4574" s="1" t="s">
        <v>121</v>
      </c>
      <c r="F4574" s="14">
        <v>-0.5256</v>
      </c>
      <c r="G4574" s="15"/>
      <c r="H4574" s="16"/>
      <c r="I4574" s="14"/>
    </row>
    <row r="4575">
      <c r="A4575" s="14">
        <v>565.0</v>
      </c>
      <c r="B4575" s="14">
        <v>6.2338779E7</v>
      </c>
      <c r="C4575" s="14">
        <v>2.51670928E8</v>
      </c>
      <c r="D4575" s="2" t="s">
        <v>2600</v>
      </c>
      <c r="E4575" s="1" t="s">
        <v>121</v>
      </c>
      <c r="F4575" s="14">
        <v>-0.5256</v>
      </c>
      <c r="G4575" s="15"/>
      <c r="H4575" s="16"/>
      <c r="I4575" s="14"/>
    </row>
    <row r="4576">
      <c r="A4576" s="14">
        <v>578.0</v>
      </c>
      <c r="B4576" s="14">
        <v>9.4959042E7</v>
      </c>
      <c r="C4576" s="14">
        <v>4.04948938E8</v>
      </c>
      <c r="D4576" s="2" t="s">
        <v>879</v>
      </c>
      <c r="E4576" s="1" t="s">
        <v>121</v>
      </c>
      <c r="F4576" s="14">
        <v>-0.5256</v>
      </c>
      <c r="G4576" s="15"/>
      <c r="H4576" s="16"/>
      <c r="I4576" s="14"/>
    </row>
    <row r="4577">
      <c r="A4577" s="14">
        <v>410.0</v>
      </c>
      <c r="B4577" s="14">
        <v>1.01774799E8</v>
      </c>
      <c r="C4577" s="14">
        <v>4.36949316E8</v>
      </c>
      <c r="D4577" s="2" t="s">
        <v>486</v>
      </c>
      <c r="E4577" s="1" t="s">
        <v>121</v>
      </c>
      <c r="F4577" s="14">
        <v>-0.5256</v>
      </c>
      <c r="G4577" s="15"/>
      <c r="H4577" s="16"/>
      <c r="I4577" s="14"/>
    </row>
    <row r="4578">
      <c r="A4578" s="14">
        <v>414.0</v>
      </c>
      <c r="B4578" s="14">
        <v>2.8363643E7</v>
      </c>
      <c r="C4578" s="14">
        <v>1.1417603E8</v>
      </c>
      <c r="D4578" s="2" t="s">
        <v>3628</v>
      </c>
      <c r="E4578" s="1" t="s">
        <v>699</v>
      </c>
      <c r="F4578" s="14">
        <v>-0.5267</v>
      </c>
      <c r="G4578" s="15"/>
      <c r="H4578" s="16"/>
      <c r="I4578" s="14"/>
    </row>
    <row r="4579">
      <c r="A4579" s="14">
        <v>564.0</v>
      </c>
      <c r="B4579" s="14">
        <v>2368555.0</v>
      </c>
      <c r="C4579" s="14">
        <v>1.0064031E7</v>
      </c>
      <c r="D4579" s="2" t="s">
        <v>5027</v>
      </c>
      <c r="E4579" s="1" t="s">
        <v>121</v>
      </c>
      <c r="F4579" s="14">
        <v>-0.5267</v>
      </c>
      <c r="G4579" s="15"/>
      <c r="H4579" s="16"/>
      <c r="I4579" s="14"/>
    </row>
    <row r="4580">
      <c r="A4580" s="14">
        <v>504.0</v>
      </c>
      <c r="B4580" s="14">
        <v>3.1925762E7</v>
      </c>
      <c r="C4580" s="14">
        <v>1.28549089E8</v>
      </c>
      <c r="D4580" s="2" t="s">
        <v>3543</v>
      </c>
      <c r="E4580" s="1" t="s">
        <v>121</v>
      </c>
      <c r="F4580" s="14">
        <v>-0.5267</v>
      </c>
      <c r="G4580" s="15"/>
      <c r="H4580" s="16"/>
      <c r="I4580" s="14"/>
    </row>
    <row r="4581">
      <c r="A4581" s="14">
        <v>545.0</v>
      </c>
      <c r="B4581" s="14">
        <v>6.0105056E7</v>
      </c>
      <c r="C4581" s="14">
        <v>2.40951058E8</v>
      </c>
      <c r="D4581" s="2" t="s">
        <v>2689</v>
      </c>
      <c r="E4581" s="1" t="s">
        <v>121</v>
      </c>
      <c r="F4581" s="14">
        <v>-0.5267</v>
      </c>
      <c r="G4581" s="15"/>
      <c r="H4581" s="16"/>
      <c r="I4581" s="14"/>
    </row>
    <row r="4582">
      <c r="A4582" s="14">
        <v>671.0</v>
      </c>
      <c r="B4582" s="14">
        <v>8.1164654E7</v>
      </c>
      <c r="C4582" s="14">
        <v>3.39814913E8</v>
      </c>
      <c r="D4582" s="2" t="s">
        <v>1688</v>
      </c>
      <c r="E4582" s="1" t="s">
        <v>121</v>
      </c>
      <c r="F4582" s="14">
        <v>-0.5273</v>
      </c>
      <c r="G4582" s="15"/>
      <c r="H4582" s="16"/>
      <c r="I4582" s="14"/>
    </row>
    <row r="4583">
      <c r="A4583" s="14">
        <v>353.0</v>
      </c>
      <c r="B4583" s="14">
        <v>9.4924215E7</v>
      </c>
      <c r="C4583" s="14">
        <v>4.03916202E8</v>
      </c>
      <c r="D4583" s="2" t="s">
        <v>882</v>
      </c>
      <c r="E4583" s="1" t="s">
        <v>121</v>
      </c>
      <c r="F4583" s="14">
        <v>-0.5285</v>
      </c>
      <c r="G4583" s="15"/>
      <c r="H4583" s="16"/>
      <c r="I4583" s="14"/>
    </row>
    <row r="4584">
      <c r="A4584" s="14">
        <v>571.0</v>
      </c>
      <c r="B4584" s="14">
        <v>2787999.0</v>
      </c>
      <c r="C4584" s="14">
        <v>1.1834733E7</v>
      </c>
      <c r="D4584" s="2" t="s">
        <v>4992</v>
      </c>
      <c r="E4584" s="1" t="s">
        <v>121</v>
      </c>
      <c r="F4584" s="14">
        <v>-0.5286</v>
      </c>
      <c r="G4584" s="15"/>
      <c r="H4584" s="16"/>
      <c r="I4584" s="14"/>
    </row>
    <row r="4585">
      <c r="A4585" s="14">
        <v>643.0</v>
      </c>
      <c r="B4585" s="14">
        <v>8.9748339E7</v>
      </c>
      <c r="C4585" s="14">
        <v>3.80380912E8</v>
      </c>
      <c r="D4585" s="2" t="s">
        <v>1155</v>
      </c>
      <c r="E4585" s="1" t="s">
        <v>121</v>
      </c>
      <c r="F4585" s="14">
        <v>-0.5286</v>
      </c>
      <c r="G4585" s="15"/>
      <c r="H4585" s="16"/>
      <c r="I4585" s="14"/>
    </row>
    <row r="4586">
      <c r="A4586" s="14">
        <v>601.0</v>
      </c>
      <c r="B4586" s="14">
        <v>3.6998569E7</v>
      </c>
      <c r="C4586" s="14">
        <v>1.47205179E8</v>
      </c>
      <c r="D4586" s="2" t="s">
        <v>3447</v>
      </c>
      <c r="E4586" s="1" t="s">
        <v>121</v>
      </c>
      <c r="F4586" s="14">
        <v>-0.5312</v>
      </c>
      <c r="G4586" s="15"/>
      <c r="H4586" s="16"/>
      <c r="I4586" s="14"/>
    </row>
    <row r="4587">
      <c r="A4587" s="14">
        <v>645.0</v>
      </c>
      <c r="B4587" s="14">
        <v>9.9604438E7</v>
      </c>
      <c r="C4587" s="14">
        <v>4.26282924E8</v>
      </c>
      <c r="D4587" s="2" t="s">
        <v>614</v>
      </c>
      <c r="E4587" s="1" t="s">
        <v>121</v>
      </c>
      <c r="F4587" s="14">
        <v>-0.533</v>
      </c>
      <c r="G4587" s="15"/>
      <c r="H4587" s="16"/>
      <c r="I4587" s="14"/>
    </row>
    <row r="4588">
      <c r="A4588" s="14">
        <v>414.0</v>
      </c>
      <c r="B4588" s="14">
        <v>4.636746E7</v>
      </c>
      <c r="C4588" s="14">
        <v>1.83040226E8</v>
      </c>
      <c r="D4588" s="2" t="s">
        <v>3196</v>
      </c>
      <c r="E4588" s="1" t="s">
        <v>121</v>
      </c>
      <c r="F4588" s="14">
        <v>-0.5367</v>
      </c>
      <c r="G4588" s="15"/>
      <c r="H4588" s="16"/>
      <c r="I4588" s="14"/>
    </row>
    <row r="4589">
      <c r="A4589" s="14">
        <v>571.0</v>
      </c>
      <c r="B4589" s="14">
        <v>1433164.0</v>
      </c>
      <c r="C4589" s="14">
        <v>6349965.0</v>
      </c>
      <c r="D4589" s="2" t="s">
        <v>5087</v>
      </c>
      <c r="E4589" s="1" t="s">
        <v>121</v>
      </c>
      <c r="F4589" s="14">
        <v>-0.5399</v>
      </c>
      <c r="G4589" s="15"/>
      <c r="H4589" s="16"/>
      <c r="I4589" s="14"/>
    </row>
    <row r="4590">
      <c r="A4590" s="14">
        <v>641.0</v>
      </c>
      <c r="B4590" s="14">
        <v>1.7254149E7</v>
      </c>
      <c r="C4590" s="14">
        <v>7.3009613E7</v>
      </c>
      <c r="D4590" s="2" t="s">
        <v>3965</v>
      </c>
      <c r="E4590" s="1" t="s">
        <v>699</v>
      </c>
      <c r="F4590" s="14">
        <v>-0.5411</v>
      </c>
      <c r="G4590" s="15"/>
      <c r="H4590" s="16"/>
      <c r="I4590" s="14"/>
    </row>
    <row r="4591">
      <c r="A4591" s="14">
        <v>602.0</v>
      </c>
      <c r="B4591" s="14">
        <v>2748937.0</v>
      </c>
      <c r="C4591" s="14">
        <v>1.17685488E8</v>
      </c>
      <c r="D4591" s="2" t="s">
        <v>5003</v>
      </c>
      <c r="E4591" s="1" t="s">
        <v>121</v>
      </c>
      <c r="F4591" s="14">
        <v>-0.5413</v>
      </c>
      <c r="G4591" s="15"/>
      <c r="H4591" s="16"/>
      <c r="I4591" s="14"/>
    </row>
    <row r="4592">
      <c r="A4592" s="14">
        <v>670.0</v>
      </c>
      <c r="B4592" s="14">
        <v>7659326.0</v>
      </c>
      <c r="C4592" s="14">
        <v>3.2563561E7</v>
      </c>
      <c r="D4592" s="2" t="s">
        <v>4562</v>
      </c>
      <c r="E4592" s="1" t="s">
        <v>121</v>
      </c>
      <c r="F4592" s="14">
        <v>-0.5413</v>
      </c>
      <c r="G4592" s="15"/>
      <c r="H4592" s="16"/>
      <c r="I4592" s="14"/>
    </row>
    <row r="4593">
      <c r="A4593" s="14">
        <v>504.0</v>
      </c>
      <c r="B4593" s="14">
        <v>3.7170322E7</v>
      </c>
      <c r="C4593" s="14">
        <v>1.48539438E8</v>
      </c>
      <c r="D4593" s="2" t="s">
        <v>3444</v>
      </c>
      <c r="E4593" s="1" t="s">
        <v>121</v>
      </c>
      <c r="F4593" s="14">
        <v>-0.5413</v>
      </c>
      <c r="G4593" s="15"/>
      <c r="H4593" s="16"/>
      <c r="I4593" s="14"/>
    </row>
    <row r="4594">
      <c r="A4594" s="14">
        <v>504.0</v>
      </c>
      <c r="B4594" s="14">
        <v>4.2961428E7</v>
      </c>
      <c r="C4594" s="14">
        <v>1.69918446E8</v>
      </c>
      <c r="D4594" s="2" t="s">
        <v>3298</v>
      </c>
      <c r="E4594" s="1" t="s">
        <v>121</v>
      </c>
      <c r="F4594" s="14">
        <v>-0.5413</v>
      </c>
      <c r="G4594" s="15"/>
      <c r="H4594" s="16"/>
      <c r="I4594" s="14"/>
    </row>
    <row r="4595">
      <c r="A4595" s="14">
        <v>380.0</v>
      </c>
      <c r="B4595" s="14">
        <v>4.7955494E7</v>
      </c>
      <c r="C4595" s="14">
        <v>1.89536416E8</v>
      </c>
      <c r="D4595" s="2" t="s">
        <v>3114</v>
      </c>
      <c r="E4595" s="1" t="s">
        <v>121</v>
      </c>
      <c r="F4595" s="14">
        <v>-0.5413</v>
      </c>
      <c r="G4595" s="15"/>
      <c r="H4595" s="16"/>
      <c r="I4595" s="14"/>
    </row>
    <row r="4596">
      <c r="A4596" s="14">
        <v>409.0</v>
      </c>
      <c r="B4596" s="14">
        <v>8.4574404E7</v>
      </c>
      <c r="C4596" s="14">
        <v>3.56661271E8</v>
      </c>
      <c r="D4596" s="2" t="s">
        <v>1460</v>
      </c>
      <c r="E4596" s="1" t="s">
        <v>121</v>
      </c>
      <c r="F4596" s="14">
        <v>-0.5413</v>
      </c>
      <c r="G4596" s="15"/>
      <c r="H4596" s="16"/>
      <c r="I4596" s="14"/>
    </row>
    <row r="4597">
      <c r="A4597" s="14">
        <v>673.0</v>
      </c>
      <c r="B4597" s="14">
        <v>6.3003497E7</v>
      </c>
      <c r="C4597" s="14">
        <v>2.54965145E8</v>
      </c>
      <c r="D4597" s="2" t="s">
        <v>2566</v>
      </c>
      <c r="E4597" s="1" t="s">
        <v>121</v>
      </c>
      <c r="F4597" s="14">
        <v>-0.542</v>
      </c>
      <c r="G4597" s="15"/>
      <c r="H4597" s="16"/>
      <c r="I4597" s="14"/>
    </row>
    <row r="4598">
      <c r="A4598" s="14">
        <v>525.0</v>
      </c>
      <c r="B4598" s="14">
        <v>7055437.0</v>
      </c>
      <c r="C4598" s="14">
        <v>2.9998159E7</v>
      </c>
      <c r="D4598" s="2" t="s">
        <v>4603</v>
      </c>
      <c r="E4598" s="1" t="s">
        <v>699</v>
      </c>
      <c r="F4598" s="14">
        <v>-0.5423</v>
      </c>
      <c r="G4598" s="15"/>
      <c r="H4598" s="16"/>
      <c r="I4598" s="14"/>
    </row>
    <row r="4599">
      <c r="A4599" s="14">
        <v>649.0</v>
      </c>
      <c r="B4599" s="14">
        <v>1.0014398E7</v>
      </c>
      <c r="C4599" s="14">
        <v>4.253058E7</v>
      </c>
      <c r="D4599" s="2" t="s">
        <v>4395</v>
      </c>
      <c r="E4599" s="1" t="s">
        <v>699</v>
      </c>
      <c r="F4599" s="14">
        <v>-0.5423</v>
      </c>
      <c r="G4599" s="15"/>
      <c r="H4599" s="16"/>
      <c r="I4599" s="14"/>
    </row>
    <row r="4600">
      <c r="A4600" s="14">
        <v>713.0</v>
      </c>
      <c r="B4600" s="14">
        <v>6.6009874E7</v>
      </c>
      <c r="C4600" s="14">
        <v>2.69618894E8</v>
      </c>
      <c r="D4600" s="2" t="s">
        <v>2435</v>
      </c>
      <c r="E4600" s="1" t="s">
        <v>699</v>
      </c>
      <c r="F4600" s="14">
        <v>-0.5423</v>
      </c>
      <c r="G4600" s="15"/>
      <c r="H4600" s="16"/>
      <c r="I4600" s="14"/>
    </row>
    <row r="4601">
      <c r="A4601" s="14">
        <v>564.0</v>
      </c>
      <c r="B4601" s="14">
        <v>7.5577331E7</v>
      </c>
      <c r="C4601" s="14">
        <v>3.13409767E8</v>
      </c>
      <c r="D4601" s="2" t="s">
        <v>1985</v>
      </c>
      <c r="E4601" s="1" t="s">
        <v>699</v>
      </c>
      <c r="F4601" s="14">
        <v>-0.5423</v>
      </c>
      <c r="G4601" s="15"/>
      <c r="H4601" s="16"/>
      <c r="I4601" s="14"/>
    </row>
    <row r="4602">
      <c r="A4602" s="14">
        <v>571.0</v>
      </c>
      <c r="B4602" s="14">
        <v>3059465.0</v>
      </c>
      <c r="C4602" s="14">
        <v>1.3026768E7</v>
      </c>
      <c r="D4602" s="2" t="s">
        <v>4969</v>
      </c>
      <c r="E4602" s="1" t="s">
        <v>121</v>
      </c>
      <c r="F4602" s="14">
        <v>-0.5423</v>
      </c>
      <c r="G4602" s="15"/>
      <c r="H4602" s="16"/>
      <c r="I4602" s="14"/>
    </row>
    <row r="4603">
      <c r="A4603" s="14">
        <v>120.0</v>
      </c>
      <c r="B4603" s="14">
        <v>8423064.0</v>
      </c>
      <c r="C4603" s="14">
        <v>3.5711975E7</v>
      </c>
      <c r="D4603" s="2" t="s">
        <v>4514</v>
      </c>
      <c r="E4603" s="1" t="s">
        <v>121</v>
      </c>
      <c r="F4603" s="14">
        <v>-0.5423</v>
      </c>
      <c r="G4603" s="15"/>
      <c r="H4603" s="16"/>
      <c r="I4603" s="14"/>
    </row>
    <row r="4604">
      <c r="A4604" s="14">
        <v>504.0</v>
      </c>
      <c r="B4604" s="14">
        <v>9383077.0</v>
      </c>
      <c r="C4604" s="14">
        <v>3.9760062E7</v>
      </c>
      <c r="D4604" s="2" t="s">
        <v>4438</v>
      </c>
      <c r="E4604" s="1" t="s">
        <v>121</v>
      </c>
      <c r="F4604" s="14">
        <v>-0.5423</v>
      </c>
      <c r="G4604" s="15"/>
      <c r="H4604" s="16"/>
      <c r="I4604" s="14"/>
    </row>
    <row r="4605">
      <c r="A4605" s="14">
        <v>609.0</v>
      </c>
      <c r="B4605" s="14">
        <v>1.1235219E7</v>
      </c>
      <c r="C4605" s="14">
        <v>4.7794755E7</v>
      </c>
      <c r="D4605" s="2" t="s">
        <v>4301</v>
      </c>
      <c r="E4605" s="1" t="s">
        <v>121</v>
      </c>
      <c r="F4605" s="14">
        <v>-0.5423</v>
      </c>
      <c r="G4605" s="15"/>
      <c r="H4605" s="16"/>
      <c r="I4605" s="14"/>
    </row>
    <row r="4606">
      <c r="A4606" s="14">
        <v>458.0</v>
      </c>
      <c r="B4606" s="14">
        <v>1.3134006E7</v>
      </c>
      <c r="C4606" s="14">
        <v>5.5706986E7</v>
      </c>
      <c r="D4606" s="2" t="s">
        <v>4202</v>
      </c>
      <c r="E4606" s="1" t="s">
        <v>121</v>
      </c>
      <c r="F4606" s="14">
        <v>-0.5423</v>
      </c>
      <c r="G4606" s="15"/>
      <c r="H4606" s="16"/>
      <c r="I4606" s="14"/>
    </row>
    <row r="4607">
      <c r="A4607" s="14">
        <v>571.0</v>
      </c>
      <c r="B4607" s="14">
        <v>1.4272781E7</v>
      </c>
      <c r="C4607" s="14">
        <v>6.090585E7</v>
      </c>
      <c r="D4607" s="2" t="s">
        <v>4141</v>
      </c>
      <c r="E4607" s="1" t="s">
        <v>121</v>
      </c>
      <c r="F4607" s="14">
        <v>-0.5423</v>
      </c>
      <c r="G4607" s="15"/>
      <c r="H4607" s="16"/>
      <c r="I4607" s="14"/>
    </row>
    <row r="4608">
      <c r="A4608" s="14">
        <v>228.0</v>
      </c>
      <c r="B4608" s="14">
        <v>1.9843214E7</v>
      </c>
      <c r="C4608" s="14">
        <v>8.2769564E7</v>
      </c>
      <c r="D4608" s="2" t="s">
        <v>3883</v>
      </c>
      <c r="E4608" s="1" t="s">
        <v>121</v>
      </c>
      <c r="F4608" s="14">
        <v>-0.5423</v>
      </c>
      <c r="G4608" s="15"/>
      <c r="H4608" s="16"/>
      <c r="I4608" s="14"/>
    </row>
    <row r="4609">
      <c r="A4609" s="14">
        <v>244.0</v>
      </c>
      <c r="B4609" s="14">
        <v>2.5370862E7</v>
      </c>
      <c r="C4609" s="14">
        <v>1.0298614E8</v>
      </c>
      <c r="D4609" s="2" t="s">
        <v>3723</v>
      </c>
      <c r="E4609" s="1" t="s">
        <v>121</v>
      </c>
      <c r="F4609" s="14">
        <v>-0.5423</v>
      </c>
      <c r="G4609" s="15"/>
      <c r="H4609" s="16"/>
      <c r="I4609" s="14"/>
    </row>
    <row r="4610">
      <c r="A4610" s="14">
        <v>601.0</v>
      </c>
      <c r="B4610" s="14">
        <v>2.5957995E7</v>
      </c>
      <c r="C4610" s="14">
        <v>1.43547069E8</v>
      </c>
      <c r="D4610" s="2" t="s">
        <v>3706</v>
      </c>
      <c r="E4610" s="1" t="s">
        <v>121</v>
      </c>
      <c r="F4610" s="14">
        <v>-0.5423</v>
      </c>
      <c r="G4610" s="15"/>
      <c r="H4610" s="16"/>
      <c r="I4610" s="14"/>
    </row>
    <row r="4611">
      <c r="A4611" s="14">
        <v>601.0</v>
      </c>
      <c r="B4611" s="14">
        <v>2.9618669E7</v>
      </c>
      <c r="C4611" s="14">
        <v>2.42950567E8</v>
      </c>
      <c r="D4611" s="2" t="s">
        <v>3601</v>
      </c>
      <c r="E4611" s="1" t="s">
        <v>121</v>
      </c>
      <c r="F4611" s="14">
        <v>-0.5423</v>
      </c>
      <c r="G4611" s="15"/>
      <c r="H4611" s="16"/>
      <c r="I4611" s="14"/>
    </row>
    <row r="4612">
      <c r="A4612" s="14">
        <v>571.0</v>
      </c>
      <c r="B4612" s="14">
        <v>4.4392679E7</v>
      </c>
      <c r="C4612" s="14">
        <v>1.75376622E8</v>
      </c>
      <c r="D4612" s="2" t="s">
        <v>3258</v>
      </c>
      <c r="E4612" s="1" t="s">
        <v>121</v>
      </c>
      <c r="F4612" s="14">
        <v>-0.5423</v>
      </c>
      <c r="G4612" s="15"/>
      <c r="H4612" s="16"/>
      <c r="I4612" s="14"/>
    </row>
    <row r="4613">
      <c r="A4613" s="14">
        <v>593.0</v>
      </c>
      <c r="B4613" s="14">
        <v>4.5449862E7</v>
      </c>
      <c r="C4613" s="14">
        <v>1.79787513E8</v>
      </c>
      <c r="D4613" s="2" t="s">
        <v>3237</v>
      </c>
      <c r="E4613" s="1" t="s">
        <v>121</v>
      </c>
      <c r="F4613" s="14">
        <v>-0.5423</v>
      </c>
      <c r="G4613" s="15"/>
      <c r="H4613" s="16"/>
      <c r="I4613" s="14"/>
    </row>
    <row r="4614">
      <c r="A4614" s="14">
        <v>414.0</v>
      </c>
      <c r="B4614" s="14">
        <v>4.8077581E7</v>
      </c>
      <c r="C4614" s="14">
        <v>1.89975677E8</v>
      </c>
      <c r="D4614" s="2" t="s">
        <v>3103</v>
      </c>
      <c r="E4614" s="1" t="s">
        <v>121</v>
      </c>
      <c r="F4614" s="14">
        <v>-0.5423</v>
      </c>
      <c r="G4614" s="15"/>
      <c r="H4614" s="16"/>
      <c r="I4614" s="14"/>
    </row>
    <row r="4615">
      <c r="A4615" s="14">
        <v>531.0</v>
      </c>
      <c r="B4615" s="14">
        <v>5.7061614E7</v>
      </c>
      <c r="C4615" s="14">
        <v>2.27222988E8</v>
      </c>
      <c r="D4615" s="2" t="s">
        <v>2783</v>
      </c>
      <c r="E4615" s="1" t="s">
        <v>121</v>
      </c>
      <c r="F4615" s="14">
        <v>-0.5423</v>
      </c>
      <c r="G4615" s="15"/>
      <c r="H4615" s="16"/>
      <c r="I4615" s="14"/>
    </row>
    <row r="4616">
      <c r="A4616" s="14">
        <v>716.0</v>
      </c>
      <c r="B4616" s="14">
        <v>6.1370873E7</v>
      </c>
      <c r="C4616" s="14">
        <v>2.47044295E8</v>
      </c>
      <c r="D4616" s="2" t="s">
        <v>2636</v>
      </c>
      <c r="E4616" s="1" t="s">
        <v>121</v>
      </c>
      <c r="F4616" s="14">
        <v>-0.5423</v>
      </c>
      <c r="G4616" s="15"/>
      <c r="H4616" s="16"/>
      <c r="I4616" s="14"/>
    </row>
    <row r="4617">
      <c r="A4617" s="14">
        <v>319.0</v>
      </c>
      <c r="B4617" s="14">
        <v>6.3676886E7</v>
      </c>
      <c r="C4617" s="14">
        <v>2.58383666E8</v>
      </c>
      <c r="D4617" s="2" t="s">
        <v>2539</v>
      </c>
      <c r="E4617" s="1" t="s">
        <v>121</v>
      </c>
      <c r="F4617" s="14">
        <v>-0.5423</v>
      </c>
      <c r="G4617" s="15"/>
      <c r="H4617" s="16"/>
      <c r="I4617" s="14"/>
    </row>
    <row r="4618">
      <c r="A4618" s="14">
        <v>504.0</v>
      </c>
      <c r="B4618" s="14">
        <v>6.6860694E7</v>
      </c>
      <c r="C4618" s="14">
        <v>2.73413621E8</v>
      </c>
      <c r="D4618" s="2" t="s">
        <v>2395</v>
      </c>
      <c r="E4618" s="1" t="s">
        <v>121</v>
      </c>
      <c r="F4618" s="14">
        <v>-0.5423</v>
      </c>
      <c r="G4618" s="15"/>
      <c r="H4618" s="16"/>
      <c r="I4618" s="14"/>
    </row>
    <row r="4619">
      <c r="A4619" s="14">
        <v>475.0</v>
      </c>
      <c r="B4619" s="14">
        <v>8.9287726E7</v>
      </c>
      <c r="C4619" s="14">
        <v>3.78044742E8</v>
      </c>
      <c r="D4619" s="2" t="s">
        <v>1172</v>
      </c>
      <c r="E4619" s="1" t="s">
        <v>121</v>
      </c>
      <c r="F4619" s="14">
        <v>-0.5423</v>
      </c>
      <c r="G4619" s="15"/>
      <c r="H4619" s="16"/>
      <c r="I4619" s="14"/>
    </row>
    <row r="4620">
      <c r="A4620" s="14">
        <v>215.0</v>
      </c>
      <c r="B4620" s="14">
        <v>9.0511996E7</v>
      </c>
      <c r="C4620" s="14">
        <v>3.84043191E8</v>
      </c>
      <c r="D4620" s="2" t="s">
        <v>1106</v>
      </c>
      <c r="E4620" s="1" t="s">
        <v>121</v>
      </c>
      <c r="F4620" s="14">
        <v>-0.5423</v>
      </c>
      <c r="G4620" s="15"/>
      <c r="H4620" s="16"/>
      <c r="I4620" s="14"/>
    </row>
    <row r="4621">
      <c r="A4621" s="14">
        <v>564.0</v>
      </c>
      <c r="B4621" s="14">
        <v>6.334835E7</v>
      </c>
      <c r="C4621" s="14">
        <v>2.56824672E8</v>
      </c>
      <c r="D4621" s="2" t="s">
        <v>2553</v>
      </c>
      <c r="E4621" s="1" t="s">
        <v>121</v>
      </c>
      <c r="F4621" s="14">
        <v>-0.5434</v>
      </c>
      <c r="G4621" s="15"/>
      <c r="H4621" s="16"/>
      <c r="I4621" s="14"/>
    </row>
    <row r="4622">
      <c r="A4622" s="14">
        <v>224.0</v>
      </c>
      <c r="B4622" s="14">
        <v>8.1836751E7</v>
      </c>
      <c r="C4622" s="14">
        <v>3.42924437E8</v>
      </c>
      <c r="D4622" s="2" t="s">
        <v>1649</v>
      </c>
      <c r="E4622" s="1" t="s">
        <v>121</v>
      </c>
      <c r="F4622" s="14">
        <v>-0.5458</v>
      </c>
      <c r="G4622" s="15"/>
      <c r="H4622" s="16"/>
      <c r="I4622" s="14"/>
    </row>
    <row r="4623">
      <c r="A4623" s="14">
        <v>678.0</v>
      </c>
      <c r="B4623" s="14">
        <v>1.3160425E7</v>
      </c>
      <c r="C4623" s="14">
        <v>5.5823483E7</v>
      </c>
      <c r="D4623" s="2" t="s">
        <v>4199</v>
      </c>
      <c r="E4623" s="1" t="s">
        <v>699</v>
      </c>
      <c r="F4623" s="14">
        <v>-0.5461</v>
      </c>
      <c r="G4623" s="15"/>
      <c r="H4623" s="16"/>
      <c r="I4623" s="14"/>
    </row>
    <row r="4624">
      <c r="A4624" s="14">
        <v>244.0</v>
      </c>
      <c r="B4624" s="14">
        <v>1.4573719E7</v>
      </c>
      <c r="C4624" s="14">
        <v>6.2009911E7</v>
      </c>
      <c r="D4624" s="2" t="s">
        <v>4126</v>
      </c>
      <c r="E4624" s="1" t="s">
        <v>121</v>
      </c>
      <c r="F4624" s="14">
        <v>-0.5504</v>
      </c>
      <c r="G4624" s="15"/>
      <c r="H4624" s="16"/>
      <c r="I4624" s="14"/>
    </row>
    <row r="4625">
      <c r="A4625" s="14">
        <v>244.0</v>
      </c>
      <c r="B4625" s="14">
        <v>3817901.0</v>
      </c>
      <c r="C4625" s="14">
        <v>1.6150516E7</v>
      </c>
      <c r="D4625" s="2" t="s">
        <v>4895</v>
      </c>
      <c r="E4625" s="1" t="s">
        <v>121</v>
      </c>
      <c r="F4625" s="14">
        <v>-0.5508</v>
      </c>
      <c r="G4625" s="15"/>
      <c r="H4625" s="16"/>
      <c r="I4625" s="14"/>
    </row>
    <row r="4626">
      <c r="A4626" s="14">
        <v>578.0</v>
      </c>
      <c r="B4626" s="14">
        <v>6.6623133E7</v>
      </c>
      <c r="C4626" s="14">
        <v>2.72251843E8</v>
      </c>
      <c r="D4626" s="2" t="s">
        <v>2412</v>
      </c>
      <c r="E4626" s="1" t="s">
        <v>121</v>
      </c>
      <c r="F4626" s="14">
        <v>-0.552</v>
      </c>
      <c r="G4626" s="15"/>
      <c r="H4626" s="16"/>
      <c r="I4626" s="14"/>
    </row>
    <row r="4627">
      <c r="A4627" s="14">
        <v>595.0</v>
      </c>
      <c r="B4627" s="14">
        <v>3170594.0</v>
      </c>
      <c r="C4627" s="14">
        <v>1.3482043E7</v>
      </c>
      <c r="D4627" s="2" t="s">
        <v>4947</v>
      </c>
      <c r="E4627" s="1" t="s">
        <v>121</v>
      </c>
      <c r="F4627" s="14">
        <v>-0.5547</v>
      </c>
      <c r="G4627" s="15"/>
      <c r="H4627" s="16"/>
      <c r="I4627" s="14"/>
    </row>
    <row r="4628">
      <c r="A4628" s="14">
        <v>458.0</v>
      </c>
      <c r="B4628" s="14">
        <v>4.5015719E7</v>
      </c>
      <c r="C4628" s="14">
        <v>2.50012359E8</v>
      </c>
      <c r="D4628" s="2" t="s">
        <v>3245</v>
      </c>
      <c r="E4628" s="1" t="s">
        <v>121</v>
      </c>
      <c r="F4628" s="14">
        <v>-0.555</v>
      </c>
      <c r="G4628" s="15"/>
      <c r="H4628" s="16"/>
      <c r="I4628" s="14"/>
    </row>
    <row r="4629">
      <c r="A4629" s="14">
        <v>531.0</v>
      </c>
      <c r="B4629" s="14">
        <v>6.6950765E7</v>
      </c>
      <c r="C4629" s="14">
        <v>2.73903628E8</v>
      </c>
      <c r="D4629" s="2" t="s">
        <v>2388</v>
      </c>
      <c r="E4629" s="1" t="s">
        <v>121</v>
      </c>
      <c r="F4629" s="14">
        <v>-0.5551</v>
      </c>
      <c r="G4629" s="15"/>
      <c r="H4629" s="16"/>
      <c r="I4629" s="14"/>
    </row>
    <row r="4630">
      <c r="A4630" s="14">
        <v>557.0</v>
      </c>
      <c r="B4630" s="14">
        <v>7.5453372E7</v>
      </c>
      <c r="C4630" s="14">
        <v>3.12967077E8</v>
      </c>
      <c r="D4630" s="2" t="s">
        <v>1998</v>
      </c>
      <c r="E4630" s="1" t="s">
        <v>121</v>
      </c>
      <c r="F4630" s="14">
        <v>-0.5554</v>
      </c>
      <c r="G4630" s="15"/>
      <c r="H4630" s="16"/>
      <c r="I4630" s="14"/>
    </row>
    <row r="4631">
      <c r="A4631" s="14">
        <v>225.0</v>
      </c>
      <c r="B4631" s="14">
        <v>640211.0</v>
      </c>
      <c r="C4631" s="14">
        <v>7.8118852E7</v>
      </c>
      <c r="D4631" s="2" t="s">
        <v>5152</v>
      </c>
      <c r="E4631" s="1" t="s">
        <v>121</v>
      </c>
      <c r="F4631" s="14">
        <v>-0.5561</v>
      </c>
      <c r="G4631" s="15"/>
      <c r="H4631" s="16"/>
      <c r="I4631" s="14"/>
    </row>
    <row r="4632">
      <c r="A4632" s="14">
        <v>172.0</v>
      </c>
      <c r="B4632" s="14">
        <v>3524017.0</v>
      </c>
      <c r="C4632" s="14">
        <v>1.4938411E7</v>
      </c>
      <c r="D4632" s="2" t="s">
        <v>4920</v>
      </c>
      <c r="E4632" s="1" t="s">
        <v>121</v>
      </c>
      <c r="F4632" s="14">
        <v>-0.5562</v>
      </c>
      <c r="G4632" s="15"/>
      <c r="H4632" s="16"/>
      <c r="I4632" s="14"/>
    </row>
    <row r="4633">
      <c r="A4633" s="14">
        <v>379.0</v>
      </c>
      <c r="B4633" s="14">
        <v>4.4011387E7</v>
      </c>
      <c r="C4633" s="14">
        <v>1.73995536E8</v>
      </c>
      <c r="D4633" s="2" t="s">
        <v>3268</v>
      </c>
      <c r="E4633" s="1" t="s">
        <v>699</v>
      </c>
      <c r="F4633" s="14">
        <v>-0.5574</v>
      </c>
      <c r="G4633" s="15"/>
      <c r="H4633" s="16"/>
      <c r="I4633" s="14"/>
    </row>
    <row r="4634">
      <c r="A4634" s="14">
        <v>602.0</v>
      </c>
      <c r="B4634" s="14">
        <v>2838212.0</v>
      </c>
      <c r="C4634" s="14">
        <v>1.2043818E7</v>
      </c>
      <c r="D4634" s="2" t="s">
        <v>4986</v>
      </c>
      <c r="E4634" s="1" t="s">
        <v>121</v>
      </c>
      <c r="F4634" s="14">
        <v>-0.5574</v>
      </c>
      <c r="G4634" s="15"/>
      <c r="H4634" s="16"/>
      <c r="I4634" s="14"/>
    </row>
    <row r="4635">
      <c r="A4635" s="14">
        <v>488.0</v>
      </c>
      <c r="B4635" s="14">
        <v>5576786.0</v>
      </c>
      <c r="C4635" s="14">
        <v>2.3908925E7</v>
      </c>
      <c r="D4635" s="2" t="s">
        <v>4734</v>
      </c>
      <c r="E4635" s="1" t="s">
        <v>121</v>
      </c>
      <c r="F4635" s="14">
        <v>-0.5574</v>
      </c>
      <c r="G4635" s="15"/>
      <c r="H4635" s="16"/>
      <c r="I4635" s="14"/>
    </row>
    <row r="4636">
      <c r="A4636" s="14">
        <v>244.0</v>
      </c>
      <c r="B4636" s="14">
        <v>9545533.0</v>
      </c>
      <c r="C4636" s="14">
        <v>4.0541819E7</v>
      </c>
      <c r="D4636" s="2" t="s">
        <v>4429</v>
      </c>
      <c r="E4636" s="1" t="s">
        <v>121</v>
      </c>
      <c r="F4636" s="14">
        <v>-0.5574</v>
      </c>
      <c r="G4636" s="15"/>
      <c r="H4636" s="16"/>
      <c r="I4636" s="14"/>
    </row>
    <row r="4637">
      <c r="A4637" s="14">
        <v>409.0</v>
      </c>
      <c r="B4637" s="14">
        <v>3.4632449E7</v>
      </c>
      <c r="C4637" s="14">
        <v>1.38263439E8</v>
      </c>
      <c r="D4637" s="2" t="s">
        <v>3491</v>
      </c>
      <c r="E4637" s="1" t="s">
        <v>121</v>
      </c>
      <c r="F4637" s="14">
        <v>-0.5574</v>
      </c>
      <c r="G4637" s="15"/>
      <c r="H4637" s="16"/>
      <c r="I4637" s="14"/>
    </row>
    <row r="4638">
      <c r="A4638" s="14">
        <v>586.0</v>
      </c>
      <c r="B4638" s="14">
        <v>6.354733E7</v>
      </c>
      <c r="C4638" s="14">
        <v>2.57672085E8</v>
      </c>
      <c r="D4638" s="2" t="s">
        <v>2547</v>
      </c>
      <c r="E4638" s="1" t="s">
        <v>121</v>
      </c>
      <c r="F4638" s="14">
        <v>-0.5574</v>
      </c>
      <c r="G4638" s="15"/>
      <c r="H4638" s="16"/>
      <c r="I4638" s="14"/>
    </row>
    <row r="4639">
      <c r="A4639" s="14">
        <v>122.0</v>
      </c>
      <c r="B4639" s="14">
        <v>487224.0</v>
      </c>
      <c r="C4639" s="14">
        <v>2283981.0</v>
      </c>
      <c r="D4639" s="2" t="s">
        <v>5159</v>
      </c>
      <c r="E4639" s="1" t="s">
        <v>121</v>
      </c>
      <c r="F4639" s="14">
        <v>-0.5588</v>
      </c>
      <c r="G4639" s="15"/>
      <c r="H4639" s="16"/>
      <c r="I4639" s="14"/>
    </row>
    <row r="4640">
      <c r="A4640" s="14">
        <v>142.0</v>
      </c>
      <c r="B4640" s="14">
        <v>2.040869E7</v>
      </c>
      <c r="C4640" s="14">
        <v>8.5412794E7</v>
      </c>
      <c r="D4640" s="2" t="s">
        <v>3867</v>
      </c>
      <c r="E4640" s="1" t="s">
        <v>699</v>
      </c>
      <c r="F4640" s="14">
        <v>-0.5612</v>
      </c>
      <c r="G4640" s="15"/>
      <c r="H4640" s="16"/>
      <c r="I4640" s="14"/>
    </row>
    <row r="4641">
      <c r="A4641" s="14">
        <v>403.0</v>
      </c>
      <c r="B4641" s="14">
        <v>1931989.0</v>
      </c>
      <c r="C4641" s="14">
        <v>2.3413168E7</v>
      </c>
      <c r="D4641" s="2" t="s">
        <v>5052</v>
      </c>
      <c r="E4641" s="1" t="s">
        <v>121</v>
      </c>
      <c r="F4641" s="14">
        <v>-0.5635</v>
      </c>
      <c r="G4641" s="15"/>
      <c r="H4641" s="16"/>
      <c r="I4641" s="14"/>
    </row>
    <row r="4642">
      <c r="A4642" s="14">
        <v>244.0</v>
      </c>
      <c r="B4642" s="14">
        <v>1.2256664E7</v>
      </c>
      <c r="C4642" s="14">
        <v>5.2101563E7</v>
      </c>
      <c r="D4642" s="2" t="s">
        <v>4247</v>
      </c>
      <c r="E4642" s="1" t="s">
        <v>121</v>
      </c>
      <c r="F4642" s="14">
        <v>-0.5653</v>
      </c>
      <c r="G4642" s="15"/>
      <c r="H4642" s="16"/>
      <c r="I4642" s="14"/>
    </row>
    <row r="4643">
      <c r="A4643" s="14">
        <v>462.0</v>
      </c>
      <c r="B4643" s="14">
        <v>6.1748047E7</v>
      </c>
      <c r="C4643" s="14">
        <v>2.48911473E8</v>
      </c>
      <c r="D4643" s="2" t="s">
        <v>2625</v>
      </c>
      <c r="E4643" s="1" t="s">
        <v>121</v>
      </c>
      <c r="F4643" s="14">
        <v>-0.5653</v>
      </c>
      <c r="G4643" s="15"/>
      <c r="H4643" s="16"/>
      <c r="I4643" s="14"/>
    </row>
    <row r="4644">
      <c r="A4644" s="14">
        <v>194.0</v>
      </c>
      <c r="B4644" s="14">
        <v>7.5447121E7</v>
      </c>
      <c r="C4644" s="14">
        <v>3.1272407E8</v>
      </c>
      <c r="D4644" s="2" t="s">
        <v>2000</v>
      </c>
      <c r="E4644" s="1" t="s">
        <v>121</v>
      </c>
      <c r="F4644" s="14">
        <v>-0.5678</v>
      </c>
      <c r="G4644" s="15"/>
      <c r="H4644" s="16"/>
      <c r="I4644" s="14"/>
    </row>
    <row r="4645">
      <c r="A4645" s="14">
        <v>564.0</v>
      </c>
      <c r="B4645" s="14">
        <v>2.0116264E7</v>
      </c>
      <c r="C4645" s="14">
        <v>8.3826343E7</v>
      </c>
      <c r="D4645" s="2" t="s">
        <v>3878</v>
      </c>
      <c r="E4645" s="1" t="s">
        <v>121</v>
      </c>
      <c r="F4645" s="14">
        <v>-0.5684</v>
      </c>
      <c r="G4645" s="15"/>
      <c r="H4645" s="16"/>
      <c r="I4645" s="14"/>
    </row>
    <row r="4646">
      <c r="A4646" s="14">
        <v>504.0</v>
      </c>
      <c r="B4646" s="14">
        <v>1996236.0</v>
      </c>
      <c r="C4646" s="14">
        <v>8652418.0</v>
      </c>
      <c r="D4646" s="2" t="s">
        <v>5050</v>
      </c>
      <c r="E4646" s="1" t="s">
        <v>121</v>
      </c>
      <c r="F4646" s="14">
        <v>-0.5691</v>
      </c>
      <c r="G4646" s="15"/>
      <c r="H4646" s="16"/>
      <c r="I4646" s="14"/>
    </row>
    <row r="4647">
      <c r="A4647" s="14">
        <v>564.0</v>
      </c>
      <c r="B4647" s="14">
        <v>3090036.0</v>
      </c>
      <c r="C4647" s="14">
        <v>1.308616E7</v>
      </c>
      <c r="D4647" s="2" t="s">
        <v>4960</v>
      </c>
      <c r="E4647" s="1" t="s">
        <v>121</v>
      </c>
      <c r="F4647" s="14">
        <v>-0.5696</v>
      </c>
      <c r="G4647" s="15"/>
      <c r="H4647" s="16"/>
      <c r="I4647" s="14"/>
    </row>
    <row r="4648">
      <c r="A4648" s="14">
        <v>616.0</v>
      </c>
      <c r="B4648" s="14">
        <v>2.2043295E7</v>
      </c>
      <c r="C4648" s="14">
        <v>2.21060284E8</v>
      </c>
      <c r="D4648" s="2" t="s">
        <v>3804</v>
      </c>
      <c r="E4648" s="1" t="s">
        <v>121</v>
      </c>
      <c r="F4648" s="14">
        <v>-0.5697</v>
      </c>
      <c r="G4648" s="15"/>
      <c r="H4648" s="16"/>
      <c r="I4648" s="14"/>
    </row>
    <row r="4649">
      <c r="A4649" s="14">
        <v>700.0</v>
      </c>
      <c r="B4649" s="14">
        <v>6.116482E7</v>
      </c>
      <c r="C4649" s="14">
        <v>2.46082484E8</v>
      </c>
      <c r="D4649" s="2" t="s">
        <v>2646</v>
      </c>
      <c r="E4649" s="1" t="s">
        <v>121</v>
      </c>
      <c r="F4649" s="14">
        <v>-0.5709</v>
      </c>
      <c r="G4649" s="15"/>
      <c r="H4649" s="16"/>
      <c r="I4649" s="14"/>
    </row>
    <row r="4650">
      <c r="A4650" s="14">
        <v>414.0</v>
      </c>
      <c r="B4650" s="14">
        <v>9.1859252E7</v>
      </c>
      <c r="C4650" s="14">
        <v>3.9034224E8</v>
      </c>
      <c r="D4650" s="2" t="s">
        <v>1041</v>
      </c>
      <c r="E4650" s="1" t="s">
        <v>121</v>
      </c>
      <c r="F4650" s="14">
        <v>-0.571</v>
      </c>
      <c r="G4650" s="15"/>
      <c r="H4650" s="16"/>
      <c r="I4650" s="14"/>
    </row>
    <row r="4651">
      <c r="A4651" s="14">
        <v>461.0</v>
      </c>
      <c r="B4651" s="14">
        <v>4.5971833E7</v>
      </c>
      <c r="C4651" s="14">
        <v>1.81424479E8</v>
      </c>
      <c r="D4651" s="2" t="s">
        <v>3215</v>
      </c>
      <c r="E4651" s="1" t="s">
        <v>121</v>
      </c>
      <c r="F4651" s="14">
        <v>-0.5719</v>
      </c>
      <c r="G4651" s="15"/>
      <c r="H4651" s="16"/>
      <c r="I4651" s="14"/>
    </row>
    <row r="4652">
      <c r="A4652" s="14">
        <v>571.0</v>
      </c>
      <c r="B4652" s="14">
        <v>7.1945763E7</v>
      </c>
      <c r="C4652" s="14">
        <v>2.97324278E8</v>
      </c>
      <c r="D4652" s="2" t="s">
        <v>2131</v>
      </c>
      <c r="E4652" s="1" t="s">
        <v>121</v>
      </c>
      <c r="F4652" s="14">
        <v>-0.5719</v>
      </c>
      <c r="G4652" s="15"/>
      <c r="H4652" s="16"/>
      <c r="I4652" s="14"/>
    </row>
    <row r="4653">
      <c r="A4653" s="14">
        <v>395.0</v>
      </c>
      <c r="B4653" s="14">
        <v>5694654.0</v>
      </c>
      <c r="C4653" s="14">
        <v>2.4414909E7</v>
      </c>
      <c r="D4653" s="2" t="s">
        <v>4725</v>
      </c>
      <c r="E4653" s="1" t="s">
        <v>121</v>
      </c>
      <c r="F4653" s="14">
        <v>-0.5729</v>
      </c>
      <c r="G4653" s="15"/>
      <c r="H4653" s="16"/>
      <c r="I4653" s="14"/>
    </row>
    <row r="4654">
      <c r="A4654" s="14">
        <v>696.0</v>
      </c>
      <c r="B4654" s="14">
        <v>4361636.0</v>
      </c>
      <c r="C4654" s="14">
        <v>1.8502749E7</v>
      </c>
      <c r="D4654" s="2" t="s">
        <v>4835</v>
      </c>
      <c r="E4654" s="1" t="s">
        <v>121</v>
      </c>
      <c r="F4654" s="14">
        <v>-0.5759</v>
      </c>
      <c r="G4654" s="15"/>
      <c r="H4654" s="16"/>
      <c r="I4654" s="14"/>
    </row>
    <row r="4655">
      <c r="A4655" s="14">
        <v>715.0</v>
      </c>
      <c r="B4655" s="14">
        <v>2.9497027E7</v>
      </c>
      <c r="C4655" s="14">
        <v>1.18499864E8</v>
      </c>
      <c r="D4655" s="2" t="s">
        <v>3602</v>
      </c>
      <c r="E4655" s="1" t="s">
        <v>121</v>
      </c>
      <c r="F4655" s="14">
        <v>-0.5765</v>
      </c>
      <c r="G4655" s="15"/>
      <c r="H4655" s="16"/>
      <c r="I4655" s="14"/>
    </row>
    <row r="4656">
      <c r="A4656" s="14">
        <v>504.0</v>
      </c>
      <c r="B4656" s="14">
        <v>6.0576066E7</v>
      </c>
      <c r="C4656" s="14">
        <v>2.43220078E8</v>
      </c>
      <c r="D4656" s="2" t="s">
        <v>2667</v>
      </c>
      <c r="E4656" s="1" t="s">
        <v>699</v>
      </c>
      <c r="F4656" s="14">
        <v>-0.5775</v>
      </c>
      <c r="G4656" s="15"/>
      <c r="H4656" s="16"/>
      <c r="I4656" s="14"/>
    </row>
    <row r="4657">
      <c r="A4657" s="14">
        <v>555.0</v>
      </c>
      <c r="B4657" s="14">
        <v>3113543.0</v>
      </c>
      <c r="C4657" s="14">
        <v>1.3199633E7</v>
      </c>
      <c r="D4657" s="2" t="s">
        <v>4955</v>
      </c>
      <c r="E4657" s="1" t="s">
        <v>121</v>
      </c>
      <c r="F4657" s="14">
        <v>-0.5796</v>
      </c>
      <c r="G4657" s="15"/>
      <c r="H4657" s="16"/>
      <c r="I4657" s="14"/>
    </row>
    <row r="4658">
      <c r="A4658" s="14">
        <v>702.0</v>
      </c>
      <c r="B4658" s="14">
        <v>3.6399732E7</v>
      </c>
      <c r="C4658" s="14">
        <v>1.4529706E8</v>
      </c>
      <c r="D4658" s="2" t="s">
        <v>3458</v>
      </c>
      <c r="E4658" s="1" t="s">
        <v>121</v>
      </c>
      <c r="F4658" s="14">
        <v>-0.5815</v>
      </c>
      <c r="G4658" s="15"/>
      <c r="H4658" s="16"/>
      <c r="I4658" s="14"/>
    </row>
    <row r="4659">
      <c r="A4659" s="14">
        <v>629.0</v>
      </c>
      <c r="B4659" s="14">
        <v>4.7018546E7</v>
      </c>
      <c r="C4659" s="14">
        <v>1.85796139E8</v>
      </c>
      <c r="D4659" s="2" t="s">
        <v>3158</v>
      </c>
      <c r="E4659" s="1" t="s">
        <v>121</v>
      </c>
      <c r="F4659" s="14">
        <v>-0.5837</v>
      </c>
      <c r="G4659" s="15"/>
      <c r="H4659" s="16"/>
      <c r="I4659" s="14"/>
    </row>
    <row r="4660">
      <c r="A4660" s="14">
        <v>116.0</v>
      </c>
      <c r="B4660" s="14">
        <v>7887556.0</v>
      </c>
      <c r="C4660" s="14">
        <v>3.3451191E7</v>
      </c>
      <c r="D4660" s="2" t="s">
        <v>4553</v>
      </c>
      <c r="E4660" s="1" t="s">
        <v>121</v>
      </c>
      <c r="F4660" s="14">
        <v>-0.584</v>
      </c>
      <c r="G4660" s="15"/>
      <c r="H4660" s="16"/>
      <c r="I4660" s="14"/>
    </row>
    <row r="4661">
      <c r="A4661" s="14">
        <v>654.0</v>
      </c>
      <c r="B4661" s="14">
        <v>9077665.0</v>
      </c>
      <c r="C4661" s="14">
        <v>3.8517538E7</v>
      </c>
      <c r="D4661" s="2" t="s">
        <v>4468</v>
      </c>
      <c r="E4661" s="1" t="s">
        <v>121</v>
      </c>
      <c r="F4661" s="14">
        <v>-0.5848</v>
      </c>
      <c r="G4661" s="15"/>
      <c r="H4661" s="16"/>
      <c r="I4661" s="14"/>
    </row>
    <row r="4662">
      <c r="A4662" s="14">
        <v>700.0</v>
      </c>
      <c r="B4662" s="14">
        <v>8.8042078E7</v>
      </c>
      <c r="C4662" s="14">
        <v>3.72359753E8</v>
      </c>
      <c r="D4662" s="2" t="s">
        <v>1239</v>
      </c>
      <c r="E4662" s="1" t="s">
        <v>121</v>
      </c>
      <c r="F4662" s="14">
        <v>-0.5848</v>
      </c>
      <c r="G4662" s="15"/>
      <c r="H4662" s="16"/>
      <c r="I4662" s="14"/>
    </row>
    <row r="4663">
      <c r="A4663" s="14">
        <v>194.0</v>
      </c>
      <c r="B4663" s="14">
        <v>3.7723417E7</v>
      </c>
      <c r="C4663" s="14">
        <v>1.50121101E8</v>
      </c>
      <c r="D4663" s="2" t="s">
        <v>3436</v>
      </c>
      <c r="E4663" s="1" t="s">
        <v>121</v>
      </c>
      <c r="F4663" s="14">
        <v>-0.5849</v>
      </c>
      <c r="G4663" s="15"/>
      <c r="H4663" s="16"/>
      <c r="I4663" s="14"/>
    </row>
    <row r="4664">
      <c r="A4664" s="14">
        <v>215.0</v>
      </c>
      <c r="B4664" s="14">
        <v>4.3799954E7</v>
      </c>
      <c r="C4664" s="14">
        <v>1.73301452E8</v>
      </c>
      <c r="D4664" s="2" t="s">
        <v>3275</v>
      </c>
      <c r="E4664" s="1" t="s">
        <v>121</v>
      </c>
      <c r="F4664" s="14">
        <v>-0.5849</v>
      </c>
      <c r="G4664" s="15"/>
      <c r="H4664" s="16"/>
      <c r="I4664" s="14"/>
    </row>
    <row r="4665">
      <c r="A4665" s="14">
        <v>484.0</v>
      </c>
      <c r="B4665" s="14">
        <v>5.4169668E7</v>
      </c>
      <c r="C4665" s="14">
        <v>2.15111287E8</v>
      </c>
      <c r="D4665" s="2" t="s">
        <v>2874</v>
      </c>
      <c r="E4665" s="1" t="s">
        <v>121</v>
      </c>
      <c r="F4665" s="14">
        <v>-0.5859</v>
      </c>
      <c r="G4665" s="15"/>
      <c r="H4665" s="16"/>
      <c r="I4665" s="14"/>
    </row>
    <row r="4666">
      <c r="A4666" s="14">
        <v>671.0</v>
      </c>
      <c r="B4666" s="14">
        <v>8.6984279E7</v>
      </c>
      <c r="C4666" s="14">
        <v>3.67377411E8</v>
      </c>
      <c r="D4666" s="2" t="s">
        <v>1299</v>
      </c>
      <c r="E4666" s="1" t="s">
        <v>121</v>
      </c>
      <c r="F4666" s="14">
        <v>-0.5859</v>
      </c>
      <c r="G4666" s="15"/>
      <c r="H4666" s="16"/>
      <c r="I4666" s="14"/>
    </row>
    <row r="4667">
      <c r="A4667" s="14">
        <v>716.0</v>
      </c>
      <c r="B4667" s="14">
        <v>6.4256016E7</v>
      </c>
      <c r="C4667" s="14">
        <v>2.6103068E8</v>
      </c>
      <c r="D4667" s="2" t="s">
        <v>2524</v>
      </c>
      <c r="E4667" s="1" t="s">
        <v>699</v>
      </c>
      <c r="F4667" s="14">
        <v>-0.587</v>
      </c>
      <c r="G4667" s="15"/>
      <c r="H4667" s="16"/>
      <c r="I4667" s="14"/>
    </row>
    <row r="4668">
      <c r="A4668" s="14">
        <v>408.0</v>
      </c>
      <c r="B4668" s="14">
        <v>7.0044805E7</v>
      </c>
      <c r="C4668" s="14">
        <v>2.88746937E8</v>
      </c>
      <c r="D4668" s="2" t="s">
        <v>2221</v>
      </c>
      <c r="E4668" s="1" t="s">
        <v>107</v>
      </c>
      <c r="F4668" s="14">
        <v>-0.5875</v>
      </c>
      <c r="G4668" s="15"/>
      <c r="H4668" s="16"/>
      <c r="I4668" s="14"/>
    </row>
    <row r="4669">
      <c r="A4669" s="14">
        <v>654.0</v>
      </c>
      <c r="B4669" s="14">
        <v>8.8705039E7</v>
      </c>
      <c r="C4669" s="14">
        <v>3.75572024E8</v>
      </c>
      <c r="D4669" s="2" t="s">
        <v>1203</v>
      </c>
      <c r="E4669" s="1" t="s">
        <v>121</v>
      </c>
      <c r="F4669" s="14">
        <v>-0.5892</v>
      </c>
      <c r="G4669" s="15"/>
      <c r="H4669" s="16"/>
      <c r="I4669" s="14"/>
    </row>
    <row r="4670">
      <c r="A4670" s="14">
        <v>194.0</v>
      </c>
      <c r="B4670" s="14">
        <v>5.2759409E7</v>
      </c>
      <c r="C4670" s="14">
        <v>2.0919026E8</v>
      </c>
      <c r="D4670" s="2" t="s">
        <v>2918</v>
      </c>
      <c r="E4670" s="1" t="s">
        <v>121</v>
      </c>
      <c r="F4670" s="14">
        <v>-0.5901</v>
      </c>
      <c r="G4670" s="15"/>
      <c r="H4670" s="16"/>
      <c r="I4670" s="14"/>
    </row>
    <row r="4671">
      <c r="A4671" s="14">
        <v>601.0</v>
      </c>
      <c r="B4671" s="14">
        <v>8.0836723E7</v>
      </c>
      <c r="C4671" s="14">
        <v>3.56975587E8</v>
      </c>
      <c r="D4671" s="2" t="s">
        <v>1701</v>
      </c>
      <c r="E4671" s="1" t="s">
        <v>699</v>
      </c>
      <c r="F4671" s="14">
        <v>-0.5927</v>
      </c>
      <c r="G4671" s="15"/>
      <c r="H4671" s="16"/>
      <c r="I4671" s="14"/>
    </row>
    <row r="4672">
      <c r="A4672" s="14">
        <v>609.0</v>
      </c>
      <c r="B4672" s="14">
        <v>1.5188915E7</v>
      </c>
      <c r="C4672" s="14">
        <v>6.4528838E7</v>
      </c>
      <c r="D4672" s="2" t="s">
        <v>4089</v>
      </c>
      <c r="E4672" s="1" t="s">
        <v>121</v>
      </c>
      <c r="F4672" s="14">
        <v>-0.5927</v>
      </c>
      <c r="G4672" s="15"/>
      <c r="H4672" s="16"/>
      <c r="I4672" s="14"/>
    </row>
    <row r="4673">
      <c r="A4673" s="14">
        <v>713.0</v>
      </c>
      <c r="B4673" s="14">
        <v>5.1467948E7</v>
      </c>
      <c r="C4673" s="14">
        <v>2.04001695E8</v>
      </c>
      <c r="D4673" s="2" t="s">
        <v>2968</v>
      </c>
      <c r="E4673" s="1" t="s">
        <v>121</v>
      </c>
      <c r="F4673" s="14">
        <v>-0.5929</v>
      </c>
      <c r="G4673" s="15"/>
      <c r="H4673" s="16"/>
      <c r="I4673" s="14"/>
    </row>
    <row r="4674">
      <c r="A4674" s="14">
        <v>715.0</v>
      </c>
      <c r="B4674" s="14">
        <v>1.7096145E7</v>
      </c>
      <c r="C4674" s="14">
        <v>7.2383113E7</v>
      </c>
      <c r="D4674" s="2" t="s">
        <v>3970</v>
      </c>
      <c r="E4674" s="1" t="s">
        <v>121</v>
      </c>
      <c r="F4674" s="14">
        <v>-0.5951</v>
      </c>
      <c r="G4674" s="15"/>
      <c r="H4674" s="16"/>
      <c r="I4674" s="14"/>
    </row>
    <row r="4675">
      <c r="A4675" s="14">
        <v>696.0</v>
      </c>
      <c r="B4675" s="14">
        <v>8752836.0</v>
      </c>
      <c r="C4675" s="14">
        <v>3.7086856E7</v>
      </c>
      <c r="D4675" s="2" t="s">
        <v>4493</v>
      </c>
      <c r="E4675" s="1" t="s">
        <v>121</v>
      </c>
      <c r="F4675" s="14">
        <v>-0.5955</v>
      </c>
      <c r="G4675" s="15"/>
      <c r="H4675" s="16"/>
      <c r="I4675" s="14"/>
    </row>
    <row r="4676">
      <c r="A4676" s="14">
        <v>593.0</v>
      </c>
      <c r="B4676" s="14">
        <v>8.6076649E7</v>
      </c>
      <c r="C4676" s="14">
        <v>3.63131348E8</v>
      </c>
      <c r="D4676" s="2" t="s">
        <v>1362</v>
      </c>
      <c r="E4676" s="1" t="s">
        <v>121</v>
      </c>
      <c r="F4676" s="14">
        <v>-0.5963</v>
      </c>
      <c r="G4676" s="15"/>
      <c r="H4676" s="16"/>
      <c r="I4676" s="14"/>
    </row>
    <row r="4677">
      <c r="A4677" s="14">
        <v>565.0</v>
      </c>
      <c r="B4677" s="14">
        <v>1.1770596E7</v>
      </c>
      <c r="C4677" s="14">
        <v>5.0012001E7</v>
      </c>
      <c r="D4677" s="2" t="s">
        <v>4267</v>
      </c>
      <c r="E4677" s="1" t="s">
        <v>121</v>
      </c>
      <c r="F4677" s="14">
        <v>-0.5975</v>
      </c>
      <c r="G4677" s="15"/>
      <c r="H4677" s="16"/>
      <c r="I4677" s="14"/>
    </row>
    <row r="4678">
      <c r="A4678" s="14">
        <v>671.0</v>
      </c>
      <c r="B4678" s="14">
        <v>5.8348013E7</v>
      </c>
      <c r="C4678" s="14">
        <v>2.32707405E8</v>
      </c>
      <c r="D4678" s="2" t="s">
        <v>2746</v>
      </c>
      <c r="E4678" s="1" t="s">
        <v>121</v>
      </c>
      <c r="F4678" s="14">
        <v>-0.5983</v>
      </c>
      <c r="G4678" s="15"/>
      <c r="H4678" s="16"/>
      <c r="I4678" s="14"/>
    </row>
    <row r="4679">
      <c r="A4679" s="14">
        <v>421.0</v>
      </c>
      <c r="B4679" s="14">
        <v>6.390187E7</v>
      </c>
      <c r="C4679" s="14">
        <v>2.59857937E8</v>
      </c>
      <c r="D4679" s="2" t="s">
        <v>2535</v>
      </c>
      <c r="E4679" s="1" t="s">
        <v>121</v>
      </c>
      <c r="F4679" s="14">
        <v>-0.5983</v>
      </c>
      <c r="G4679" s="15"/>
      <c r="H4679" s="16"/>
      <c r="I4679" s="14"/>
    </row>
    <row r="4680">
      <c r="A4680" s="14">
        <v>607.0</v>
      </c>
      <c r="B4680" s="14">
        <v>7.1080484E7</v>
      </c>
      <c r="C4680" s="14">
        <v>2.93535581E8</v>
      </c>
      <c r="D4680" s="2" t="s">
        <v>2167</v>
      </c>
      <c r="E4680" s="1" t="s">
        <v>121</v>
      </c>
      <c r="F4680" s="14">
        <v>-0.5986</v>
      </c>
      <c r="G4680" s="15"/>
      <c r="H4680" s="16"/>
      <c r="I4680" s="14"/>
    </row>
    <row r="4681">
      <c r="A4681" s="14">
        <v>410.0</v>
      </c>
      <c r="B4681" s="14">
        <v>1.05279159E8</v>
      </c>
      <c r="C4681" s="14">
        <v>4.53517053E8</v>
      </c>
      <c r="D4681" s="2" t="s">
        <v>336</v>
      </c>
      <c r="E4681" s="1" t="s">
        <v>107</v>
      </c>
      <c r="F4681" s="14">
        <v>-0.5991</v>
      </c>
      <c r="G4681" s="15"/>
      <c r="H4681" s="16"/>
      <c r="I4681" s="14"/>
    </row>
    <row r="4682">
      <c r="A4682" s="14">
        <v>694.0</v>
      </c>
      <c r="B4682" s="14">
        <v>1914054.0</v>
      </c>
      <c r="C4682" s="14">
        <v>1.7502866E7</v>
      </c>
      <c r="D4682" s="2" t="s">
        <v>5056</v>
      </c>
      <c r="E4682" s="1" t="s">
        <v>121</v>
      </c>
      <c r="F4682" s="14">
        <v>-0.5994</v>
      </c>
      <c r="G4682" s="15"/>
      <c r="H4682" s="16"/>
      <c r="I4682" s="14"/>
    </row>
    <row r="4683">
      <c r="A4683" s="14">
        <v>644.0</v>
      </c>
      <c r="B4683" s="14">
        <v>3427604.0</v>
      </c>
      <c r="C4683" s="14">
        <v>1.4502926E7</v>
      </c>
      <c r="D4683" s="2" t="s">
        <v>4930</v>
      </c>
      <c r="E4683" s="1" t="s">
        <v>121</v>
      </c>
      <c r="F4683" s="14">
        <v>-0.5994</v>
      </c>
      <c r="G4683" s="15"/>
      <c r="H4683" s="16"/>
      <c r="I4683" s="14"/>
    </row>
    <row r="4684">
      <c r="A4684" s="14">
        <v>602.0</v>
      </c>
      <c r="B4684" s="14">
        <v>5261846.0</v>
      </c>
      <c r="C4684" s="14">
        <v>4.10447291E8</v>
      </c>
      <c r="D4684" s="2" t="s">
        <v>4766</v>
      </c>
      <c r="E4684" s="1" t="s">
        <v>121</v>
      </c>
      <c r="F4684" s="14">
        <v>-0.5994</v>
      </c>
      <c r="G4684" s="15"/>
      <c r="H4684" s="16"/>
      <c r="I4684" s="14"/>
    </row>
    <row r="4685">
      <c r="A4685" s="14">
        <v>667.0</v>
      </c>
      <c r="B4685" s="14">
        <v>2.7545363E7</v>
      </c>
      <c r="C4685" s="14">
        <v>1.11233946E8</v>
      </c>
      <c r="D4685" s="2" t="s">
        <v>3660</v>
      </c>
      <c r="E4685" s="1" t="s">
        <v>121</v>
      </c>
      <c r="F4685" s="14">
        <v>-0.5994</v>
      </c>
      <c r="G4685" s="15"/>
      <c r="H4685" s="16"/>
      <c r="I4685" s="14"/>
    </row>
    <row r="4686">
      <c r="A4686" s="14">
        <v>564.0</v>
      </c>
      <c r="B4686" s="14">
        <v>8.477195E7</v>
      </c>
      <c r="C4686" s="14">
        <v>3.56609064E8</v>
      </c>
      <c r="D4686" s="2" t="s">
        <v>1448</v>
      </c>
      <c r="E4686" s="1" t="s">
        <v>121</v>
      </c>
      <c r="F4686" s="14">
        <v>-0.6004</v>
      </c>
      <c r="G4686" s="15"/>
      <c r="H4686" s="16"/>
      <c r="I4686" s="14"/>
    </row>
    <row r="4687">
      <c r="A4687" s="14">
        <v>414.0</v>
      </c>
      <c r="B4687" s="14">
        <v>3829413.0</v>
      </c>
      <c r="C4687" s="14">
        <v>1.620329E7</v>
      </c>
      <c r="D4687" s="2" t="s">
        <v>4893</v>
      </c>
      <c r="E4687" s="1" t="s">
        <v>121</v>
      </c>
      <c r="F4687" s="14">
        <v>-0.6009</v>
      </c>
      <c r="G4687" s="15"/>
      <c r="H4687" s="16"/>
      <c r="I4687" s="14"/>
    </row>
    <row r="4688">
      <c r="A4688" s="14">
        <v>504.0</v>
      </c>
      <c r="B4688" s="14">
        <v>6212601.0</v>
      </c>
      <c r="C4688" s="14">
        <v>2.6404567E7</v>
      </c>
      <c r="D4688" s="2" t="s">
        <v>4695</v>
      </c>
      <c r="E4688" s="1" t="s">
        <v>121</v>
      </c>
      <c r="F4688" s="14">
        <v>-0.6053</v>
      </c>
      <c r="G4688" s="15"/>
      <c r="H4688" s="16"/>
      <c r="I4688" s="14"/>
    </row>
    <row r="4689">
      <c r="A4689" s="14">
        <v>609.0</v>
      </c>
      <c r="B4689" s="14">
        <v>5553888.0</v>
      </c>
      <c r="C4689" s="14">
        <v>2.3746114E7</v>
      </c>
      <c r="D4689" s="2" t="s">
        <v>4735</v>
      </c>
      <c r="E4689" s="1" t="s">
        <v>121</v>
      </c>
      <c r="F4689" s="14">
        <v>-0.6059</v>
      </c>
      <c r="G4689" s="15"/>
      <c r="H4689" s="16"/>
      <c r="I4689" s="14"/>
    </row>
    <row r="4690">
      <c r="A4690" s="14">
        <v>671.0</v>
      </c>
      <c r="B4690" s="14">
        <v>6824532.0</v>
      </c>
      <c r="C4690" s="14">
        <v>2.9178176E7</v>
      </c>
      <c r="D4690" s="2" t="s">
        <v>4631</v>
      </c>
      <c r="E4690" s="1" t="s">
        <v>121</v>
      </c>
      <c r="F4690" s="14">
        <v>-0.6059</v>
      </c>
      <c r="G4690" s="15"/>
      <c r="H4690" s="16"/>
      <c r="I4690" s="14"/>
    </row>
    <row r="4691">
      <c r="A4691" s="14">
        <v>677.0</v>
      </c>
      <c r="B4691" s="14">
        <v>7.7838395E7</v>
      </c>
      <c r="C4691" s="14">
        <v>3.23931309E8</v>
      </c>
      <c r="D4691" s="2" t="s">
        <v>1872</v>
      </c>
      <c r="E4691" s="1" t="s">
        <v>699</v>
      </c>
      <c r="F4691" s="14">
        <v>-0.6083</v>
      </c>
      <c r="G4691" s="15"/>
      <c r="H4691" s="16"/>
      <c r="I4691" s="14"/>
    </row>
    <row r="4692">
      <c r="A4692" s="14">
        <v>395.0</v>
      </c>
      <c r="B4692" s="14">
        <v>1015200.0</v>
      </c>
      <c r="C4692" s="14">
        <v>4669519.0</v>
      </c>
      <c r="D4692" s="2" t="s">
        <v>5138</v>
      </c>
      <c r="E4692" s="1" t="s">
        <v>121</v>
      </c>
      <c r="F4692" s="14">
        <v>-0.6101</v>
      </c>
      <c r="G4692" s="15"/>
      <c r="H4692" s="16"/>
      <c r="I4692" s="14"/>
    </row>
    <row r="4693">
      <c r="A4693" s="14">
        <v>403.0</v>
      </c>
      <c r="B4693" s="14">
        <v>8.5065044E7</v>
      </c>
      <c r="C4693" s="14">
        <v>3.58304865E8</v>
      </c>
      <c r="D4693" s="2" t="s">
        <v>1426</v>
      </c>
      <c r="E4693" s="1" t="s">
        <v>121</v>
      </c>
      <c r="F4693" s="14">
        <v>-0.6106</v>
      </c>
      <c r="G4693" s="15"/>
      <c r="H4693" s="16"/>
      <c r="I4693" s="14"/>
    </row>
    <row r="4694">
      <c r="A4694" s="14">
        <v>504.0</v>
      </c>
      <c r="B4694" s="14">
        <v>2.2394963E7</v>
      </c>
      <c r="C4694" s="14">
        <v>9.2518658E7</v>
      </c>
      <c r="D4694" s="2" t="s">
        <v>3794</v>
      </c>
      <c r="E4694" s="1" t="s">
        <v>121</v>
      </c>
      <c r="F4694" s="14">
        <v>-0.6113</v>
      </c>
      <c r="G4694" s="15"/>
      <c r="H4694" s="16"/>
      <c r="I4694" s="14"/>
    </row>
    <row r="4695">
      <c r="A4695" s="14">
        <v>678.0</v>
      </c>
      <c r="B4695" s="14">
        <v>2.8256342E7</v>
      </c>
      <c r="C4695" s="14">
        <v>1.88517944E8</v>
      </c>
      <c r="D4695" s="2" t="s">
        <v>3635</v>
      </c>
      <c r="E4695" s="1" t="s">
        <v>121</v>
      </c>
      <c r="F4695" s="14">
        <v>-0.6113</v>
      </c>
      <c r="G4695" s="15"/>
      <c r="H4695" s="16"/>
      <c r="I4695" s="14"/>
    </row>
    <row r="4696">
      <c r="A4696" s="14">
        <v>488.0</v>
      </c>
      <c r="B4696" s="14">
        <v>4.3131813E7</v>
      </c>
      <c r="C4696" s="14">
        <v>1.70685404E8</v>
      </c>
      <c r="D4696" s="2" t="s">
        <v>3289</v>
      </c>
      <c r="E4696" s="1" t="s">
        <v>121</v>
      </c>
      <c r="F4696" s="14">
        <v>-0.612</v>
      </c>
      <c r="G4696" s="15"/>
      <c r="H4696" s="16"/>
      <c r="I4696" s="14"/>
    </row>
    <row r="4697">
      <c r="A4697" s="14">
        <v>673.0</v>
      </c>
      <c r="B4697" s="14">
        <v>1.4838518E7</v>
      </c>
      <c r="C4697" s="14">
        <v>6.3065495E7</v>
      </c>
      <c r="D4697" s="2" t="s">
        <v>4114</v>
      </c>
      <c r="E4697" s="1" t="s">
        <v>699</v>
      </c>
      <c r="F4697" s="14">
        <v>-0.6124</v>
      </c>
      <c r="G4697" s="15"/>
      <c r="H4697" s="16"/>
      <c r="I4697" s="14"/>
    </row>
    <row r="4698">
      <c r="A4698" s="14">
        <v>642.0</v>
      </c>
      <c r="B4698" s="14">
        <v>5.981307E7</v>
      </c>
      <c r="C4698" s="14">
        <v>2.39566376E8</v>
      </c>
      <c r="D4698" s="2" t="s">
        <v>2701</v>
      </c>
      <c r="E4698" s="1" t="s">
        <v>699</v>
      </c>
      <c r="F4698" s="14">
        <v>-0.6124</v>
      </c>
      <c r="G4698" s="15"/>
      <c r="H4698" s="16"/>
      <c r="I4698" s="14"/>
    </row>
    <row r="4699">
      <c r="A4699" s="14">
        <v>673.0</v>
      </c>
      <c r="B4699" s="14">
        <v>1.6152045E7</v>
      </c>
      <c r="C4699" s="14">
        <v>6.8643064E7</v>
      </c>
      <c r="D4699" s="2" t="s">
        <v>4019</v>
      </c>
      <c r="E4699" s="1" t="s">
        <v>121</v>
      </c>
      <c r="F4699" s="14">
        <v>-0.6124</v>
      </c>
      <c r="G4699" s="15"/>
      <c r="H4699" s="16"/>
      <c r="I4699" s="14"/>
    </row>
    <row r="4700">
      <c r="A4700" s="14">
        <v>696.0</v>
      </c>
      <c r="B4700" s="14">
        <v>3.1967508E7</v>
      </c>
      <c r="C4700" s="14">
        <v>1.28100175E8</v>
      </c>
      <c r="D4700" s="2" t="s">
        <v>3541</v>
      </c>
      <c r="E4700" s="1" t="s">
        <v>121</v>
      </c>
      <c r="F4700" s="14">
        <v>-0.6124</v>
      </c>
      <c r="G4700" s="15"/>
      <c r="H4700" s="16"/>
      <c r="I4700" s="14"/>
    </row>
    <row r="4701">
      <c r="A4701" s="14">
        <v>630.0</v>
      </c>
      <c r="B4701" s="14">
        <v>4.8339562E7</v>
      </c>
      <c r="C4701" s="14">
        <v>1.91291417E8</v>
      </c>
      <c r="D4701" s="2" t="s">
        <v>3087</v>
      </c>
      <c r="E4701" s="1" t="s">
        <v>121</v>
      </c>
      <c r="F4701" s="14">
        <v>-0.6124</v>
      </c>
      <c r="G4701" s="15"/>
      <c r="H4701" s="16"/>
      <c r="I4701" s="14"/>
    </row>
    <row r="4702">
      <c r="A4702" s="14">
        <v>669.0</v>
      </c>
      <c r="B4702" s="14">
        <v>1.0746086E7</v>
      </c>
      <c r="C4702" s="14">
        <v>4.5653476E7</v>
      </c>
      <c r="D4702" s="2" t="s">
        <v>4340</v>
      </c>
      <c r="E4702" s="1" t="s">
        <v>699</v>
      </c>
      <c r="F4702" s="14">
        <v>-0.6128</v>
      </c>
      <c r="G4702" s="15"/>
      <c r="H4702" s="16"/>
      <c r="I4702" s="14"/>
    </row>
    <row r="4703">
      <c r="A4703" s="14">
        <v>215.0</v>
      </c>
      <c r="B4703" s="14">
        <v>1.5126229E7</v>
      </c>
      <c r="C4703" s="14">
        <v>6.4270849E7</v>
      </c>
      <c r="D4703" s="2" t="s">
        <v>4098</v>
      </c>
      <c r="E4703" s="1" t="s">
        <v>121</v>
      </c>
      <c r="F4703" s="14">
        <v>-0.6131</v>
      </c>
      <c r="G4703" s="15"/>
      <c r="H4703" s="16"/>
      <c r="I4703" s="14"/>
    </row>
    <row r="4704">
      <c r="A4704" s="14">
        <v>484.0</v>
      </c>
      <c r="B4704" s="14">
        <v>2143746.0</v>
      </c>
      <c r="C4704" s="14">
        <v>9203663.0</v>
      </c>
      <c r="D4704" s="2" t="s">
        <v>5044</v>
      </c>
      <c r="E4704" s="1" t="s">
        <v>121</v>
      </c>
      <c r="F4704" s="14">
        <v>-0.6187</v>
      </c>
      <c r="G4704" s="15"/>
      <c r="H4704" s="16"/>
      <c r="I4704" s="14"/>
    </row>
    <row r="4705">
      <c r="A4705" s="14">
        <v>93.0</v>
      </c>
      <c r="B4705" s="14">
        <v>521277.0</v>
      </c>
      <c r="C4705" s="14">
        <v>2490262.0</v>
      </c>
      <c r="D4705" s="2" t="s">
        <v>5156</v>
      </c>
      <c r="E4705" s="1" t="s">
        <v>121</v>
      </c>
      <c r="F4705" s="14">
        <v>-0.6191</v>
      </c>
      <c r="G4705" s="15"/>
      <c r="H4705" s="16"/>
      <c r="I4705" s="14"/>
    </row>
    <row r="4706">
      <c r="A4706" s="14">
        <v>503.0</v>
      </c>
      <c r="B4706" s="14">
        <v>1.9081406E7</v>
      </c>
      <c r="C4706" s="14">
        <v>7.9912557E7</v>
      </c>
      <c r="D4706" s="2" t="s">
        <v>3900</v>
      </c>
      <c r="E4706" s="1" t="s">
        <v>121</v>
      </c>
      <c r="F4706" s="14">
        <v>-0.6195</v>
      </c>
      <c r="G4706" s="15"/>
      <c r="H4706" s="16"/>
      <c r="I4706" s="14"/>
    </row>
    <row r="4707">
      <c r="A4707" s="14">
        <v>609.0</v>
      </c>
      <c r="B4707" s="14">
        <v>2.5268681E7</v>
      </c>
      <c r="C4707" s="14">
        <v>1.0263662E8</v>
      </c>
      <c r="D4707" s="2" t="s">
        <v>3727</v>
      </c>
      <c r="E4707" s="1" t="s">
        <v>121</v>
      </c>
      <c r="F4707" s="14">
        <v>-0.6197</v>
      </c>
      <c r="G4707" s="15"/>
      <c r="H4707" s="16"/>
      <c r="I4707" s="14"/>
    </row>
    <row r="4708">
      <c r="A4708" s="14">
        <v>473.0</v>
      </c>
      <c r="B4708" s="14">
        <v>3.0746962E7</v>
      </c>
      <c r="C4708" s="14">
        <v>1.23304136E8</v>
      </c>
      <c r="D4708" s="2" t="s">
        <v>3567</v>
      </c>
      <c r="E4708" s="1" t="s">
        <v>699</v>
      </c>
      <c r="F4708" s="14">
        <v>-0.6249</v>
      </c>
      <c r="G4708" s="15"/>
      <c r="H4708" s="16"/>
      <c r="I4708" s="14"/>
    </row>
    <row r="4709">
      <c r="A4709" s="14">
        <v>129.0</v>
      </c>
      <c r="B4709" s="14">
        <v>651210.0</v>
      </c>
      <c r="C4709" s="14">
        <v>3156318.0</v>
      </c>
      <c r="D4709" s="2" t="s">
        <v>5151</v>
      </c>
      <c r="E4709" s="1" t="s">
        <v>121</v>
      </c>
      <c r="F4709" s="14">
        <v>-0.6249</v>
      </c>
      <c r="G4709" s="15"/>
      <c r="H4709" s="16"/>
      <c r="I4709" s="14"/>
    </row>
    <row r="4710">
      <c r="A4710" s="14">
        <v>228.0</v>
      </c>
      <c r="B4710" s="14">
        <v>1149841.0</v>
      </c>
      <c r="C4710" s="14">
        <v>5210779.0</v>
      </c>
      <c r="D4710" s="2" t="s">
        <v>5122</v>
      </c>
      <c r="E4710" s="1" t="s">
        <v>121</v>
      </c>
      <c r="F4710" s="14">
        <v>-0.6249</v>
      </c>
      <c r="G4710" s="15"/>
      <c r="H4710" s="16"/>
      <c r="I4710" s="14"/>
    </row>
    <row r="4711">
      <c r="A4711" s="14">
        <v>462.0</v>
      </c>
      <c r="B4711" s="14">
        <v>4603885.0</v>
      </c>
      <c r="C4711" s="14">
        <v>1.9508219E7</v>
      </c>
      <c r="D4711" s="2" t="s">
        <v>4814</v>
      </c>
      <c r="E4711" s="1" t="s">
        <v>121</v>
      </c>
      <c r="F4711" s="14">
        <v>-0.6249</v>
      </c>
      <c r="G4711" s="15"/>
      <c r="H4711" s="16"/>
      <c r="I4711" s="14"/>
    </row>
    <row r="4712">
      <c r="A4712" s="14">
        <v>573.0</v>
      </c>
      <c r="B4712" s="14">
        <v>6671133.0</v>
      </c>
      <c r="C4712" s="14">
        <v>2.8422571E7</v>
      </c>
      <c r="D4712" s="2" t="s">
        <v>4646</v>
      </c>
      <c r="E4712" s="1" t="s">
        <v>121</v>
      </c>
      <c r="F4712" s="14">
        <v>-0.6249</v>
      </c>
      <c r="G4712" s="15"/>
      <c r="H4712" s="16"/>
      <c r="I4712" s="14"/>
    </row>
    <row r="4713">
      <c r="A4713" s="14">
        <v>455.0</v>
      </c>
      <c r="B4713" s="14">
        <v>1.0879172E7</v>
      </c>
      <c r="C4713" s="14">
        <v>4.6235818E7</v>
      </c>
      <c r="D4713" s="2" t="s">
        <v>4327</v>
      </c>
      <c r="E4713" s="1" t="s">
        <v>121</v>
      </c>
      <c r="F4713" s="14">
        <v>-0.6249</v>
      </c>
      <c r="G4713" s="15"/>
      <c r="H4713" s="16"/>
      <c r="I4713" s="14"/>
    </row>
    <row r="4714">
      <c r="A4714" s="14">
        <v>713.0</v>
      </c>
      <c r="B4714" s="14">
        <v>1.8386479E7</v>
      </c>
      <c r="C4714" s="14">
        <v>7.7302511E7</v>
      </c>
      <c r="D4714" s="2" t="s">
        <v>3920</v>
      </c>
      <c r="E4714" s="1" t="s">
        <v>121</v>
      </c>
      <c r="F4714" s="14">
        <v>-0.6249</v>
      </c>
      <c r="G4714" s="15"/>
      <c r="H4714" s="16"/>
      <c r="I4714" s="14"/>
    </row>
    <row r="4715">
      <c r="A4715" s="14">
        <v>395.0</v>
      </c>
      <c r="B4715" s="14">
        <v>4.6626365E7</v>
      </c>
      <c r="C4715" s="14">
        <v>1.84282303E8</v>
      </c>
      <c r="D4715" s="2" t="s">
        <v>3178</v>
      </c>
      <c r="E4715" s="1" t="s">
        <v>121</v>
      </c>
      <c r="F4715" s="14">
        <v>-0.6249</v>
      </c>
      <c r="G4715" s="15"/>
      <c r="H4715" s="16"/>
      <c r="I4715" s="14"/>
    </row>
    <row r="4716">
      <c r="A4716" s="14">
        <v>396.0</v>
      </c>
      <c r="B4716" s="14">
        <v>6.3064072E7</v>
      </c>
      <c r="C4716" s="14">
        <v>2.55323618E8</v>
      </c>
      <c r="D4716" s="2" t="s">
        <v>2563</v>
      </c>
      <c r="E4716" s="1" t="s">
        <v>121</v>
      </c>
      <c r="F4716" s="14">
        <v>-0.6249</v>
      </c>
      <c r="G4716" s="15"/>
      <c r="H4716" s="16"/>
      <c r="I4716" s="14"/>
    </row>
    <row r="4717">
      <c r="A4717" s="14">
        <v>194.0</v>
      </c>
      <c r="B4717" s="14">
        <v>6.4865836E7</v>
      </c>
      <c r="C4717" s="14">
        <v>2.63938124E8</v>
      </c>
      <c r="D4717" s="2" t="s">
        <v>2493</v>
      </c>
      <c r="E4717" s="1" t="s">
        <v>121</v>
      </c>
      <c r="F4717" s="14">
        <v>-0.6249</v>
      </c>
      <c r="G4717" s="15"/>
      <c r="H4717" s="16"/>
      <c r="I4717" s="14"/>
    </row>
    <row r="4718">
      <c r="A4718" s="14">
        <v>713.0</v>
      </c>
      <c r="B4718" s="14">
        <v>8.0626278E7</v>
      </c>
      <c r="C4718" s="14">
        <v>3.37103543E8</v>
      </c>
      <c r="D4718" s="2" t="s">
        <v>1716</v>
      </c>
      <c r="E4718" s="1" t="s">
        <v>121</v>
      </c>
      <c r="F4718" s="14">
        <v>-0.6249</v>
      </c>
      <c r="G4718" s="15"/>
      <c r="H4718" s="16"/>
      <c r="I4718" s="14"/>
    </row>
    <row r="4719">
      <c r="A4719" s="14">
        <v>526.0</v>
      </c>
      <c r="B4719" s="14">
        <v>5.7129942E7</v>
      </c>
      <c r="C4719" s="14">
        <v>2.27334746E8</v>
      </c>
      <c r="D4719" s="2" t="s">
        <v>2780</v>
      </c>
      <c r="E4719" s="1" t="s">
        <v>121</v>
      </c>
      <c r="F4719" s="14">
        <v>-0.625</v>
      </c>
      <c r="G4719" s="15"/>
      <c r="H4719" s="16"/>
      <c r="I4719" s="14"/>
    </row>
    <row r="4720">
      <c r="A4720" s="14">
        <v>380.0</v>
      </c>
      <c r="B4720" s="14">
        <v>1.11033043E8</v>
      </c>
      <c r="C4720" s="14">
        <v>4.81325712E8</v>
      </c>
      <c r="D4720" s="2" t="s">
        <v>53</v>
      </c>
      <c r="E4720" s="1" t="s">
        <v>121</v>
      </c>
      <c r="F4720" s="14">
        <v>-0.6261</v>
      </c>
      <c r="G4720" s="15"/>
      <c r="H4720" s="16"/>
      <c r="I4720" s="14"/>
    </row>
    <row r="4721">
      <c r="A4721" s="14">
        <v>319.0</v>
      </c>
      <c r="B4721" s="14">
        <v>6.4637829E7</v>
      </c>
      <c r="C4721" s="14">
        <v>2.62898741E8</v>
      </c>
      <c r="D4721" s="2" t="s">
        <v>2502</v>
      </c>
      <c r="E4721" s="1" t="s">
        <v>121</v>
      </c>
      <c r="F4721" s="14">
        <v>-0.6269</v>
      </c>
      <c r="G4721" s="15"/>
      <c r="H4721" s="16"/>
      <c r="I4721" s="14"/>
    </row>
    <row r="4722">
      <c r="A4722" s="14">
        <v>602.0</v>
      </c>
      <c r="B4722" s="14">
        <v>7.6555871E7</v>
      </c>
      <c r="C4722" s="14">
        <v>3.17856852E8</v>
      </c>
      <c r="D4722" s="2" t="s">
        <v>1943</v>
      </c>
      <c r="E4722" s="1" t="s">
        <v>121</v>
      </c>
      <c r="F4722" s="14">
        <v>-0.6269</v>
      </c>
      <c r="G4722" s="15"/>
      <c r="H4722" s="16"/>
      <c r="I4722" s="14"/>
    </row>
    <row r="4723">
      <c r="A4723" s="14">
        <v>503.0</v>
      </c>
      <c r="B4723" s="14">
        <v>2295331.0</v>
      </c>
      <c r="C4723" s="14">
        <v>9823647.0</v>
      </c>
      <c r="D4723" s="2" t="s">
        <v>5032</v>
      </c>
      <c r="E4723" s="1" t="s">
        <v>121</v>
      </c>
      <c r="F4723" s="14">
        <v>-0.63</v>
      </c>
      <c r="G4723" s="15"/>
      <c r="H4723" s="16"/>
      <c r="I4723" s="14"/>
    </row>
    <row r="4724">
      <c r="A4724" s="14">
        <v>672.0</v>
      </c>
      <c r="B4724" s="14">
        <v>8.5949224E7</v>
      </c>
      <c r="C4724" s="14">
        <v>3.62502875E8</v>
      </c>
      <c r="D4724" s="2" t="s">
        <v>1373</v>
      </c>
      <c r="E4724" s="1" t="s">
        <v>699</v>
      </c>
      <c r="F4724" s="14">
        <v>-0.6319</v>
      </c>
      <c r="G4724" s="15"/>
      <c r="H4724" s="16"/>
      <c r="I4724" s="14"/>
    </row>
    <row r="4725">
      <c r="A4725" s="14">
        <v>602.0</v>
      </c>
      <c r="B4725" s="14">
        <v>3021152.0</v>
      </c>
      <c r="C4725" s="14">
        <v>1.291779E7</v>
      </c>
      <c r="D4725" s="2" t="s">
        <v>4970</v>
      </c>
      <c r="E4725" s="1" t="s">
        <v>121</v>
      </c>
      <c r="F4725" s="14">
        <v>-0.6326</v>
      </c>
      <c r="G4725" s="15"/>
      <c r="H4725" s="16"/>
      <c r="I4725" s="14"/>
    </row>
    <row r="4726">
      <c r="A4726" s="14">
        <v>488.0</v>
      </c>
      <c r="B4726" s="14">
        <v>5.3639996E7</v>
      </c>
      <c r="C4726" s="14">
        <v>2.12708158E8</v>
      </c>
      <c r="D4726" s="2" t="s">
        <v>2888</v>
      </c>
      <c r="E4726" s="1" t="s">
        <v>121</v>
      </c>
      <c r="F4726" s="14">
        <v>-0.6331</v>
      </c>
      <c r="G4726" s="15"/>
      <c r="H4726" s="16"/>
      <c r="I4726" s="14"/>
    </row>
    <row r="4727">
      <c r="A4727" s="14">
        <v>504.0</v>
      </c>
      <c r="B4727" s="14">
        <v>2770485.0</v>
      </c>
      <c r="C4727" s="14">
        <v>1.1713901E7</v>
      </c>
      <c r="D4727" s="2" t="s">
        <v>4998</v>
      </c>
      <c r="E4727" s="1" t="s">
        <v>121</v>
      </c>
      <c r="F4727" s="14">
        <v>-0.6348</v>
      </c>
      <c r="G4727" s="15"/>
      <c r="H4727" s="16"/>
      <c r="I4727" s="14"/>
    </row>
    <row r="4728">
      <c r="A4728" s="14">
        <v>601.0</v>
      </c>
      <c r="B4728" s="14">
        <v>1.5630058E7</v>
      </c>
      <c r="C4728" s="14">
        <v>6.6579716E7</v>
      </c>
      <c r="D4728" s="2" t="s">
        <v>4059</v>
      </c>
      <c r="E4728" s="1" t="s">
        <v>121</v>
      </c>
      <c r="F4728" s="14">
        <v>-0.636</v>
      </c>
      <c r="G4728" s="15"/>
      <c r="H4728" s="16"/>
      <c r="I4728" s="14"/>
    </row>
    <row r="4729">
      <c r="A4729" s="14">
        <v>571.0</v>
      </c>
      <c r="B4729" s="14">
        <v>4975684.0</v>
      </c>
      <c r="C4729" s="14">
        <v>2.1168244E7</v>
      </c>
      <c r="D4729" s="2" t="s">
        <v>4796</v>
      </c>
      <c r="E4729" s="1" t="s">
        <v>121</v>
      </c>
      <c r="F4729" s="14">
        <v>-0.6369</v>
      </c>
      <c r="G4729" s="15"/>
      <c r="H4729" s="16"/>
      <c r="I4729" s="14"/>
    </row>
    <row r="4730">
      <c r="A4730" s="14">
        <v>571.0</v>
      </c>
      <c r="B4730" s="14">
        <v>1.4513702E7</v>
      </c>
      <c r="C4730" s="14">
        <v>6.1785686E7</v>
      </c>
      <c r="D4730" s="2" t="s">
        <v>4128</v>
      </c>
      <c r="E4730" s="1" t="s">
        <v>121</v>
      </c>
      <c r="F4730" s="14">
        <v>-0.6369</v>
      </c>
      <c r="G4730" s="15"/>
      <c r="H4730" s="16"/>
      <c r="I4730" s="14"/>
    </row>
    <row r="4731">
      <c r="A4731" s="14">
        <v>395.0</v>
      </c>
      <c r="B4731" s="14">
        <v>8118929.0</v>
      </c>
      <c r="C4731" s="14">
        <v>3.4438905E7</v>
      </c>
      <c r="D4731" s="2" t="s">
        <v>4533</v>
      </c>
      <c r="E4731" s="1" t="s">
        <v>121</v>
      </c>
      <c r="F4731" s="14">
        <v>-0.6396</v>
      </c>
      <c r="G4731" s="15"/>
      <c r="H4731" s="16"/>
      <c r="I4731" s="14"/>
    </row>
    <row r="4732">
      <c r="A4732" s="14">
        <v>715.0</v>
      </c>
      <c r="B4732" s="14">
        <v>9186059.0</v>
      </c>
      <c r="C4732" s="14">
        <v>3.8996636E7</v>
      </c>
      <c r="D4732" s="2" t="s">
        <v>4455</v>
      </c>
      <c r="E4732" s="1" t="s">
        <v>121</v>
      </c>
      <c r="F4732" s="14">
        <v>-0.6404</v>
      </c>
      <c r="G4732" s="15"/>
      <c r="H4732" s="16"/>
      <c r="I4732" s="14"/>
    </row>
    <row r="4733">
      <c r="A4733" s="14">
        <v>215.0</v>
      </c>
      <c r="B4733" s="14">
        <v>3017147.0</v>
      </c>
      <c r="C4733" s="14">
        <v>2.3569398E7</v>
      </c>
      <c r="D4733" s="2" t="s">
        <v>4971</v>
      </c>
      <c r="E4733" s="1" t="s">
        <v>121</v>
      </c>
      <c r="F4733" s="14">
        <v>-0.6408</v>
      </c>
      <c r="G4733" s="15"/>
      <c r="H4733" s="16"/>
      <c r="I4733" s="14"/>
    </row>
    <row r="4734">
      <c r="A4734" s="14">
        <v>564.0</v>
      </c>
      <c r="B4734" s="14">
        <v>1.2979294E7</v>
      </c>
      <c r="C4734" s="14">
        <v>5.5091485E7</v>
      </c>
      <c r="D4734" s="2" t="s">
        <v>4214</v>
      </c>
      <c r="E4734" s="1" t="s">
        <v>121</v>
      </c>
      <c r="F4734" s="14">
        <v>-0.6414</v>
      </c>
      <c r="G4734" s="15"/>
      <c r="H4734" s="16"/>
      <c r="I4734" s="14"/>
    </row>
    <row r="4735">
      <c r="A4735" s="14">
        <v>120.0</v>
      </c>
      <c r="B4735" s="14">
        <v>3826341.0</v>
      </c>
      <c r="C4735" s="14">
        <v>1.6210752E7</v>
      </c>
      <c r="D4735" s="2" t="s">
        <v>4894</v>
      </c>
      <c r="E4735" s="1" t="s">
        <v>121</v>
      </c>
      <c r="F4735" s="14">
        <v>-0.6419</v>
      </c>
      <c r="G4735" s="15"/>
      <c r="H4735" s="16"/>
      <c r="I4735" s="14"/>
    </row>
    <row r="4736">
      <c r="A4736" s="14">
        <v>353.0</v>
      </c>
      <c r="B4736" s="14">
        <v>1.329355E7</v>
      </c>
      <c r="C4736" s="14">
        <v>5.6441328E7</v>
      </c>
      <c r="D4736" s="2" t="s">
        <v>4195</v>
      </c>
      <c r="E4736" s="1" t="s">
        <v>121</v>
      </c>
      <c r="F4736" s="14">
        <v>-0.6427</v>
      </c>
      <c r="G4736" s="15"/>
      <c r="H4736" s="16"/>
      <c r="I4736" s="14"/>
    </row>
    <row r="4737">
      <c r="A4737" s="14">
        <v>641.0</v>
      </c>
      <c r="B4737" s="14">
        <v>5259480.0</v>
      </c>
      <c r="C4737" s="14">
        <v>2.2501236E7</v>
      </c>
      <c r="D4737" s="2" t="s">
        <v>4768</v>
      </c>
      <c r="E4737" s="1" t="s">
        <v>121</v>
      </c>
      <c r="F4737" s="14">
        <v>-0.6437</v>
      </c>
      <c r="G4737" s="15"/>
      <c r="H4737" s="16"/>
      <c r="I4737" s="14"/>
    </row>
    <row r="4738">
      <c r="A4738" s="14">
        <v>353.0</v>
      </c>
      <c r="B4738" s="14">
        <v>1.01614193E8</v>
      </c>
      <c r="C4738" s="14">
        <v>4.36152316E8</v>
      </c>
      <c r="D4738" s="2" t="s">
        <v>491</v>
      </c>
      <c r="E4738" s="1" t="s">
        <v>699</v>
      </c>
      <c r="F4738" s="14">
        <v>-0.6474</v>
      </c>
      <c r="G4738" s="15"/>
      <c r="H4738" s="16"/>
      <c r="I4738" s="14"/>
    </row>
    <row r="4739">
      <c r="A4739" s="14">
        <v>578.0</v>
      </c>
      <c r="B4739" s="14">
        <v>6710341.0</v>
      </c>
      <c r="C4739" s="14">
        <v>2.8512198E7</v>
      </c>
      <c r="D4739" s="2" t="s">
        <v>4642</v>
      </c>
      <c r="E4739" s="1" t="s">
        <v>121</v>
      </c>
      <c r="F4739" s="14">
        <v>-0.6478</v>
      </c>
      <c r="G4739" s="15"/>
      <c r="H4739" s="16"/>
      <c r="I4739" s="14"/>
    </row>
    <row r="4740">
      <c r="A4740" s="14">
        <v>531.0</v>
      </c>
      <c r="B4740" s="14">
        <v>8.4463895E7</v>
      </c>
      <c r="C4740" s="14">
        <v>3.55207002E8</v>
      </c>
      <c r="D4740" s="2" t="s">
        <v>1469</v>
      </c>
      <c r="E4740" s="1" t="s">
        <v>121</v>
      </c>
      <c r="F4740" s="14">
        <v>-0.6483</v>
      </c>
      <c r="G4740" s="15"/>
      <c r="H4740" s="16"/>
      <c r="I4740" s="14"/>
    </row>
    <row r="4741">
      <c r="A4741" s="14">
        <v>228.0</v>
      </c>
      <c r="B4741" s="14">
        <v>779619.0</v>
      </c>
      <c r="C4741" s="14">
        <v>3733122.0</v>
      </c>
      <c r="D4741" s="2" t="s">
        <v>5147</v>
      </c>
      <c r="E4741" s="1" t="s">
        <v>121</v>
      </c>
      <c r="F4741" s="14">
        <v>-0.6486</v>
      </c>
      <c r="G4741" s="15"/>
      <c r="H4741" s="16"/>
      <c r="I4741" s="14"/>
    </row>
    <row r="4742">
      <c r="A4742" s="14">
        <v>518.0</v>
      </c>
      <c r="B4742" s="14">
        <v>1141383.0</v>
      </c>
      <c r="C4742" s="14">
        <v>5126588.0</v>
      </c>
      <c r="D4742" s="2" t="s">
        <v>5125</v>
      </c>
      <c r="E4742" s="1" t="s">
        <v>121</v>
      </c>
      <c r="F4742" s="14">
        <v>-0.6486</v>
      </c>
      <c r="G4742" s="15"/>
      <c r="H4742" s="16"/>
      <c r="I4742" s="14"/>
    </row>
    <row r="4743">
      <c r="A4743" s="14">
        <v>484.0</v>
      </c>
      <c r="B4743" s="14">
        <v>3507187.0</v>
      </c>
      <c r="C4743" s="14">
        <v>1.4853429E7</v>
      </c>
      <c r="D4743" s="2" t="s">
        <v>4923</v>
      </c>
      <c r="E4743" s="1" t="s">
        <v>121</v>
      </c>
      <c r="F4743" s="14">
        <v>-0.6486</v>
      </c>
      <c r="G4743" s="15"/>
      <c r="H4743" s="16"/>
      <c r="I4743" s="14"/>
    </row>
    <row r="4744">
      <c r="A4744" s="14">
        <v>578.0</v>
      </c>
      <c r="B4744" s="14">
        <v>8656014.0</v>
      </c>
      <c r="C4744" s="14">
        <v>3.6631201E7</v>
      </c>
      <c r="D4744" s="2" t="s">
        <v>4500</v>
      </c>
      <c r="E4744" s="1" t="s">
        <v>121</v>
      </c>
      <c r="F4744" s="14">
        <v>-0.6486</v>
      </c>
      <c r="G4744" s="15"/>
      <c r="H4744" s="16"/>
      <c r="I4744" s="14"/>
    </row>
    <row r="4745">
      <c r="A4745" s="14">
        <v>601.0</v>
      </c>
      <c r="B4745" s="14">
        <v>8732047.0</v>
      </c>
      <c r="C4745" s="14">
        <v>1.5703599E8</v>
      </c>
      <c r="D4745" s="2" t="s">
        <v>4495</v>
      </c>
      <c r="E4745" s="1" t="s">
        <v>121</v>
      </c>
      <c r="F4745" s="14">
        <v>-0.6486</v>
      </c>
      <c r="G4745" s="15"/>
      <c r="H4745" s="16"/>
      <c r="I4745" s="14"/>
    </row>
    <row r="4746">
      <c r="A4746" s="14">
        <v>285.0</v>
      </c>
      <c r="B4746" s="14">
        <v>1.2945165E7</v>
      </c>
      <c r="C4746" s="14">
        <v>5.4959352E7</v>
      </c>
      <c r="D4746" s="2" t="s">
        <v>4216</v>
      </c>
      <c r="E4746" s="1" t="s">
        <v>121</v>
      </c>
      <c r="F4746" s="14">
        <v>-0.6486</v>
      </c>
      <c r="G4746" s="15"/>
      <c r="H4746" s="16"/>
      <c r="I4746" s="14"/>
    </row>
    <row r="4747">
      <c r="A4747" s="14">
        <v>602.0</v>
      </c>
      <c r="B4747" s="14">
        <v>6.8410547E7</v>
      </c>
      <c r="C4747" s="14">
        <v>3.68991362E8</v>
      </c>
      <c r="D4747" s="2" t="s">
        <v>2319</v>
      </c>
      <c r="E4747" s="1" t="s">
        <v>121</v>
      </c>
      <c r="F4747" s="14">
        <v>-0.6486</v>
      </c>
      <c r="G4747" s="15"/>
      <c r="H4747" s="16"/>
      <c r="I4747" s="14"/>
    </row>
    <row r="4748">
      <c r="A4748" s="14">
        <v>602.0</v>
      </c>
      <c r="B4748" s="14">
        <v>7.3415811E7</v>
      </c>
      <c r="C4748" s="14">
        <v>4.57139529E8</v>
      </c>
      <c r="D4748" s="2" t="s">
        <v>2082</v>
      </c>
      <c r="E4748" s="1" t="s">
        <v>121</v>
      </c>
      <c r="F4748" s="14">
        <v>-0.6486</v>
      </c>
      <c r="G4748" s="15"/>
      <c r="H4748" s="16"/>
      <c r="I4748" s="14"/>
    </row>
    <row r="4749">
      <c r="A4749" s="14">
        <v>570.0</v>
      </c>
      <c r="B4749" s="14">
        <v>1.01974265E8</v>
      </c>
      <c r="C4749" s="14">
        <v>4.37880211E8</v>
      </c>
      <c r="D4749" s="2" t="s">
        <v>466</v>
      </c>
      <c r="E4749" s="1" t="s">
        <v>121</v>
      </c>
      <c r="F4749" s="14">
        <v>-0.6486</v>
      </c>
      <c r="G4749" s="15"/>
      <c r="H4749" s="16"/>
      <c r="I4749" s="14"/>
    </row>
    <row r="4750">
      <c r="A4750" s="14">
        <v>380.0</v>
      </c>
      <c r="B4750" s="14">
        <v>7.0498411E7</v>
      </c>
      <c r="C4750" s="14">
        <v>2.90709933E8</v>
      </c>
      <c r="D4750" s="2" t="s">
        <v>2191</v>
      </c>
      <c r="E4750" s="1" t="s">
        <v>121</v>
      </c>
      <c r="F4750" s="14">
        <v>-0.6492</v>
      </c>
      <c r="G4750" s="15"/>
      <c r="H4750" s="16"/>
      <c r="I4750" s="14"/>
    </row>
    <row r="4751">
      <c r="A4751" s="14">
        <v>120.0</v>
      </c>
      <c r="B4751" s="14">
        <v>637827.0</v>
      </c>
      <c r="C4751" s="14">
        <v>3090900.0</v>
      </c>
      <c r="D4751" s="2" t="s">
        <v>5153</v>
      </c>
      <c r="E4751" s="1" t="s">
        <v>121</v>
      </c>
      <c r="F4751" s="14">
        <v>-0.6551</v>
      </c>
      <c r="G4751" s="15"/>
      <c r="H4751" s="16"/>
      <c r="I4751" s="14"/>
    </row>
    <row r="4752">
      <c r="A4752" s="14">
        <v>395.0</v>
      </c>
      <c r="B4752" s="14">
        <v>1.7627463E7</v>
      </c>
      <c r="C4752" s="14">
        <v>7.4448407E7</v>
      </c>
      <c r="D4752" s="2" t="s">
        <v>3953</v>
      </c>
      <c r="E4752" s="1" t="s">
        <v>121</v>
      </c>
      <c r="F4752" s="14">
        <v>-0.6551</v>
      </c>
      <c r="G4752" s="15"/>
      <c r="H4752" s="16"/>
      <c r="I4752" s="14"/>
    </row>
    <row r="4753">
      <c r="A4753" s="14">
        <v>644.0</v>
      </c>
      <c r="B4753" s="14">
        <v>7.7825569E7</v>
      </c>
      <c r="C4753" s="14">
        <v>3.23954583E8</v>
      </c>
      <c r="D4753" s="2" t="s">
        <v>1874</v>
      </c>
      <c r="E4753" s="1" t="s">
        <v>121</v>
      </c>
      <c r="F4753" s="14">
        <v>-0.6557</v>
      </c>
      <c r="G4753" s="15"/>
      <c r="H4753" s="16"/>
      <c r="I4753" s="14"/>
    </row>
    <row r="4754">
      <c r="A4754" s="14">
        <v>224.0</v>
      </c>
      <c r="B4754" s="14">
        <v>2002412.0</v>
      </c>
      <c r="C4754" s="14">
        <v>8661797.0</v>
      </c>
      <c r="D4754" s="2" t="s">
        <v>5049</v>
      </c>
      <c r="E4754" s="1" t="s">
        <v>121</v>
      </c>
      <c r="F4754" s="14">
        <v>-0.6588</v>
      </c>
      <c r="G4754" s="15"/>
      <c r="H4754" s="16"/>
      <c r="I4754" s="14"/>
    </row>
    <row r="4755">
      <c r="A4755" s="14">
        <v>609.0</v>
      </c>
      <c r="B4755" s="14">
        <v>2.2609265E7</v>
      </c>
      <c r="C4755" s="14">
        <v>9.4300926E7</v>
      </c>
      <c r="D4755" s="2" t="s">
        <v>3785</v>
      </c>
      <c r="E4755" s="1" t="s">
        <v>121</v>
      </c>
      <c r="F4755" s="14">
        <v>-0.6588</v>
      </c>
      <c r="G4755" s="15"/>
      <c r="H4755" s="16"/>
      <c r="I4755" s="14"/>
    </row>
    <row r="4756">
      <c r="A4756" s="14">
        <v>571.0</v>
      </c>
      <c r="B4756" s="14">
        <v>6193536.0</v>
      </c>
      <c r="C4756" s="14">
        <v>2.6414034E7</v>
      </c>
      <c r="D4756" s="2" t="s">
        <v>4697</v>
      </c>
      <c r="E4756" s="1" t="s">
        <v>121</v>
      </c>
      <c r="F4756" s="14">
        <v>-0.659</v>
      </c>
      <c r="G4756" s="15"/>
      <c r="H4756" s="16"/>
      <c r="I4756" s="14"/>
    </row>
    <row r="4757">
      <c r="A4757" s="14">
        <v>680.0</v>
      </c>
      <c r="B4757" s="14">
        <v>9567124.0</v>
      </c>
      <c r="C4757" s="14">
        <v>4.0538565E7</v>
      </c>
      <c r="D4757" s="2" t="s">
        <v>4428</v>
      </c>
      <c r="E4757" s="1" t="s">
        <v>121</v>
      </c>
      <c r="F4757" s="14">
        <v>-0.659</v>
      </c>
      <c r="G4757" s="15"/>
      <c r="H4757" s="16"/>
      <c r="I4757" s="14"/>
    </row>
    <row r="4758">
      <c r="A4758" s="14">
        <v>578.0</v>
      </c>
      <c r="B4758" s="14">
        <v>4244127.0</v>
      </c>
      <c r="C4758" s="14">
        <v>1.8021824E7</v>
      </c>
      <c r="D4758" s="2" t="s">
        <v>4858</v>
      </c>
      <c r="E4758" s="1" t="s">
        <v>121</v>
      </c>
      <c r="F4758" s="14">
        <v>-0.6597</v>
      </c>
      <c r="G4758" s="15"/>
      <c r="H4758" s="16"/>
      <c r="I4758" s="14"/>
    </row>
    <row r="4759">
      <c r="A4759" s="14">
        <v>414.0</v>
      </c>
      <c r="B4759" s="14">
        <v>7564711.0</v>
      </c>
      <c r="C4759" s="14">
        <v>3.2136236E7</v>
      </c>
      <c r="D4759" s="2" t="s">
        <v>4569</v>
      </c>
      <c r="E4759" s="1" t="s">
        <v>121</v>
      </c>
      <c r="F4759" s="14">
        <v>-0.6597</v>
      </c>
      <c r="G4759" s="15"/>
      <c r="H4759" s="16"/>
      <c r="I4759" s="14"/>
    </row>
    <row r="4760">
      <c r="A4760" s="14">
        <v>715.0</v>
      </c>
      <c r="B4760" s="14">
        <v>1.5199361E7</v>
      </c>
      <c r="C4760" s="14">
        <v>6.4593504E7</v>
      </c>
      <c r="D4760" s="2" t="s">
        <v>4086</v>
      </c>
      <c r="E4760" s="1" t="s">
        <v>121</v>
      </c>
      <c r="F4760" s="14">
        <v>-0.6597</v>
      </c>
      <c r="G4760" s="15"/>
      <c r="H4760" s="16"/>
      <c r="I4760" s="14"/>
    </row>
    <row r="4761">
      <c r="A4761" s="14">
        <v>664.0</v>
      </c>
      <c r="B4761" s="14">
        <v>2.8825865E7</v>
      </c>
      <c r="C4761" s="14">
        <v>1.72143072E8</v>
      </c>
      <c r="D4761" s="2" t="s">
        <v>3615</v>
      </c>
      <c r="E4761" s="1" t="s">
        <v>121</v>
      </c>
      <c r="F4761" s="14">
        <v>-0.6597</v>
      </c>
      <c r="G4761" s="15"/>
      <c r="H4761" s="16"/>
      <c r="I4761" s="14"/>
    </row>
    <row r="4762">
      <c r="A4762" s="14">
        <v>180.0</v>
      </c>
      <c r="B4762" s="14">
        <v>433177.0</v>
      </c>
      <c r="C4762" s="14">
        <v>1986527.0</v>
      </c>
      <c r="D4762" s="2" t="s">
        <v>5160</v>
      </c>
      <c r="E4762" s="1" t="s">
        <v>121</v>
      </c>
      <c r="F4762" s="14">
        <v>-0.6604</v>
      </c>
      <c r="G4762" s="15"/>
      <c r="H4762" s="16"/>
      <c r="I4762" s="14"/>
    </row>
    <row r="4763">
      <c r="A4763" s="14">
        <v>228.0</v>
      </c>
      <c r="B4763" s="14">
        <v>5441958.0</v>
      </c>
      <c r="C4763" s="14">
        <v>2.3263545E7</v>
      </c>
      <c r="D4763" s="2" t="s">
        <v>4746</v>
      </c>
      <c r="E4763" s="1" t="s">
        <v>121</v>
      </c>
      <c r="F4763" s="14">
        <v>-0.6647</v>
      </c>
      <c r="G4763" s="15"/>
      <c r="H4763" s="16"/>
      <c r="I4763" s="14"/>
    </row>
    <row r="4764">
      <c r="A4764" s="14">
        <v>593.0</v>
      </c>
      <c r="B4764" s="14">
        <v>8.3867671E7</v>
      </c>
      <c r="C4764" s="14">
        <v>3.52430683E8</v>
      </c>
      <c r="D4764" s="2" t="s">
        <v>1516</v>
      </c>
      <c r="E4764" s="1" t="s">
        <v>121</v>
      </c>
      <c r="F4764" s="14">
        <v>-0.6647</v>
      </c>
      <c r="G4764" s="15"/>
      <c r="H4764" s="16"/>
      <c r="I4764" s="14"/>
    </row>
    <row r="4765">
      <c r="A4765" s="14">
        <v>671.0</v>
      </c>
      <c r="B4765" s="14">
        <v>4.0464501E7</v>
      </c>
      <c r="C4765" s="14">
        <v>1.6049071E8</v>
      </c>
      <c r="D4765" s="2" t="s">
        <v>3361</v>
      </c>
      <c r="E4765" s="1" t="s">
        <v>121</v>
      </c>
      <c r="F4765" s="14">
        <v>-0.667</v>
      </c>
      <c r="G4765" s="15"/>
      <c r="H4765" s="16"/>
      <c r="I4765" s="14"/>
    </row>
    <row r="4766">
      <c r="A4766" s="14">
        <v>578.0</v>
      </c>
      <c r="B4766" s="14">
        <v>1.6532126E7</v>
      </c>
      <c r="C4766" s="14">
        <v>7.0048721E7</v>
      </c>
      <c r="D4766" s="2" t="s">
        <v>3998</v>
      </c>
      <c r="E4766" s="1" t="s">
        <v>121</v>
      </c>
      <c r="F4766" s="14">
        <v>-0.6685</v>
      </c>
      <c r="G4766" s="15"/>
      <c r="H4766" s="16"/>
      <c r="I4766" s="14"/>
    </row>
    <row r="4767">
      <c r="A4767" s="14">
        <v>664.0</v>
      </c>
      <c r="B4767" s="14">
        <v>6829705.0</v>
      </c>
      <c r="C4767" s="14">
        <v>2.908805E7</v>
      </c>
      <c r="D4767" s="2" t="s">
        <v>4628</v>
      </c>
      <c r="E4767" s="1" t="s">
        <v>121</v>
      </c>
      <c r="F4767" s="14">
        <v>-0.6696</v>
      </c>
      <c r="G4767" s="15"/>
      <c r="H4767" s="16"/>
      <c r="I4767" s="14"/>
    </row>
    <row r="4768">
      <c r="A4768" s="14">
        <v>504.0</v>
      </c>
      <c r="B4768" s="14">
        <v>2.9440173E7</v>
      </c>
      <c r="C4768" s="14">
        <v>1.18333621E8</v>
      </c>
      <c r="D4768" s="2" t="s">
        <v>3604</v>
      </c>
      <c r="E4768" s="1" t="s">
        <v>121</v>
      </c>
      <c r="F4768" s="14">
        <v>-0.6696</v>
      </c>
      <c r="G4768" s="15"/>
      <c r="H4768" s="16"/>
      <c r="I4768" s="14"/>
    </row>
    <row r="4769">
      <c r="A4769" s="14">
        <v>353.0</v>
      </c>
      <c r="B4769" s="14">
        <v>4.6672872E7</v>
      </c>
      <c r="C4769" s="14">
        <v>1.8440592E8</v>
      </c>
      <c r="D4769" s="2" t="s">
        <v>3174</v>
      </c>
      <c r="E4769" s="1" t="s">
        <v>121</v>
      </c>
      <c r="F4769" s="14">
        <v>-0.6696</v>
      </c>
      <c r="G4769" s="15"/>
      <c r="H4769" s="16"/>
      <c r="I4769" s="14"/>
    </row>
    <row r="4770">
      <c r="A4770" s="14">
        <v>492.0</v>
      </c>
      <c r="B4770" s="14">
        <v>8.5969824E7</v>
      </c>
      <c r="C4770" s="14">
        <v>3.62492619E8</v>
      </c>
      <c r="D4770" s="2" t="s">
        <v>1371</v>
      </c>
      <c r="E4770" s="1" t="s">
        <v>121</v>
      </c>
      <c r="F4770" s="14">
        <v>-0.6696</v>
      </c>
      <c r="G4770" s="15"/>
      <c r="H4770" s="16"/>
      <c r="I4770" s="14"/>
    </row>
    <row r="4771">
      <c r="A4771" s="14">
        <v>223.0</v>
      </c>
      <c r="B4771" s="14">
        <v>410420.0</v>
      </c>
      <c r="C4771" s="14">
        <v>1849293.0</v>
      </c>
      <c r="D4771" s="2" t="s">
        <v>5163</v>
      </c>
      <c r="E4771" s="1" t="s">
        <v>121</v>
      </c>
      <c r="F4771" s="14">
        <v>-0.6705</v>
      </c>
      <c r="G4771" s="15"/>
      <c r="H4771" s="16"/>
      <c r="I4771" s="14"/>
    </row>
    <row r="4772">
      <c r="A4772" s="14">
        <v>667.0</v>
      </c>
      <c r="B4772" s="14">
        <v>4066796.0</v>
      </c>
      <c r="C4772" s="14">
        <v>1.723686E7</v>
      </c>
      <c r="D4772" s="2" t="s">
        <v>4866</v>
      </c>
      <c r="E4772" s="1" t="s">
        <v>121</v>
      </c>
      <c r="F4772" s="14">
        <v>-0.6705</v>
      </c>
      <c r="G4772" s="15"/>
      <c r="H4772" s="16"/>
      <c r="I4772" s="14"/>
    </row>
    <row r="4773">
      <c r="A4773" s="14">
        <v>378.0</v>
      </c>
      <c r="B4773" s="14">
        <v>2.6179137E7</v>
      </c>
      <c r="C4773" s="14">
        <v>1.06023359E8</v>
      </c>
      <c r="D4773" s="2" t="s">
        <v>3700</v>
      </c>
      <c r="E4773" s="1" t="s">
        <v>121</v>
      </c>
      <c r="F4773" s="14">
        <v>-0.6705</v>
      </c>
      <c r="G4773" s="15"/>
      <c r="H4773" s="16"/>
      <c r="I4773" s="14"/>
    </row>
    <row r="4774">
      <c r="A4774" s="14">
        <v>380.0</v>
      </c>
      <c r="B4774" s="14">
        <v>9.2570541E7</v>
      </c>
      <c r="C4774" s="14">
        <v>3.93230635E8</v>
      </c>
      <c r="D4774" s="2" t="s">
        <v>1000</v>
      </c>
      <c r="E4774" s="1" t="s">
        <v>121</v>
      </c>
      <c r="F4774" s="14">
        <v>-0.6705</v>
      </c>
      <c r="G4774" s="15"/>
      <c r="H4774" s="16"/>
      <c r="I4774" s="14"/>
    </row>
    <row r="4775">
      <c r="A4775" s="14">
        <v>378.0</v>
      </c>
      <c r="B4775" s="14">
        <v>6124353.0</v>
      </c>
      <c r="C4775" s="14">
        <v>2.6093811E7</v>
      </c>
      <c r="D4775" s="2" t="s">
        <v>4703</v>
      </c>
      <c r="E4775" s="1" t="s">
        <v>121</v>
      </c>
      <c r="F4775" s="14">
        <v>-0.6711</v>
      </c>
      <c r="G4775" s="15"/>
      <c r="H4775" s="16"/>
      <c r="I4775" s="14"/>
    </row>
    <row r="4776">
      <c r="A4776" s="14">
        <v>194.0</v>
      </c>
      <c r="B4776" s="14">
        <v>1.709486E7</v>
      </c>
      <c r="C4776" s="14">
        <v>7.2437108E7</v>
      </c>
      <c r="D4776" s="2" t="s">
        <v>3971</v>
      </c>
      <c r="E4776" s="1" t="s">
        <v>121</v>
      </c>
      <c r="F4776" s="14">
        <v>-0.6732</v>
      </c>
      <c r="G4776" s="15"/>
      <c r="H4776" s="16"/>
      <c r="I4776" s="14"/>
    </row>
    <row r="4777">
      <c r="A4777" s="14">
        <v>673.0</v>
      </c>
      <c r="B4777" s="14">
        <v>9429987.0</v>
      </c>
      <c r="C4777" s="14">
        <v>4.0014316E7</v>
      </c>
      <c r="D4777" s="2" t="s">
        <v>4436</v>
      </c>
      <c r="E4777" s="1" t="s">
        <v>121</v>
      </c>
      <c r="F4777" s="14">
        <v>-0.6787</v>
      </c>
      <c r="G4777" s="15"/>
      <c r="H4777" s="16"/>
      <c r="I4777" s="14"/>
    </row>
    <row r="4778">
      <c r="A4778" s="14">
        <v>157.0</v>
      </c>
      <c r="B4778" s="14">
        <v>1539442.0</v>
      </c>
      <c r="C4778" s="14">
        <v>6779034.0</v>
      </c>
      <c r="D4778" s="2" t="s">
        <v>5077</v>
      </c>
      <c r="E4778" s="1" t="s">
        <v>121</v>
      </c>
      <c r="F4778" s="14">
        <v>-0.6802</v>
      </c>
      <c r="G4778" s="15"/>
      <c r="H4778" s="16"/>
      <c r="I4778" s="14"/>
    </row>
    <row r="4779">
      <c r="A4779" s="14">
        <v>396.0</v>
      </c>
      <c r="B4779" s="14">
        <v>1.1669648E7</v>
      </c>
      <c r="C4779" s="14">
        <v>4.9528576E7</v>
      </c>
      <c r="D4779" s="2" t="s">
        <v>4276</v>
      </c>
      <c r="E4779" s="1" t="s">
        <v>121</v>
      </c>
      <c r="F4779" s="14">
        <v>-0.6808</v>
      </c>
      <c r="G4779" s="15"/>
      <c r="H4779" s="16"/>
      <c r="I4779" s="14"/>
    </row>
    <row r="4780">
      <c r="A4780" s="14">
        <v>470.0</v>
      </c>
      <c r="B4780" s="14">
        <v>2.0574864E7</v>
      </c>
      <c r="C4780" s="14">
        <v>8.5585058E7</v>
      </c>
      <c r="D4780" s="2" t="s">
        <v>3854</v>
      </c>
      <c r="E4780" s="1" t="s">
        <v>121</v>
      </c>
      <c r="F4780" s="14">
        <v>-0.6808</v>
      </c>
      <c r="G4780" s="15"/>
      <c r="H4780" s="16"/>
      <c r="I4780" s="14"/>
    </row>
    <row r="4781">
      <c r="A4781" s="14">
        <v>578.0</v>
      </c>
      <c r="B4781" s="14">
        <v>8.2622591E7</v>
      </c>
      <c r="C4781" s="14">
        <v>3.46467309E8</v>
      </c>
      <c r="D4781" s="2" t="s">
        <v>1587</v>
      </c>
      <c r="E4781" s="1" t="s">
        <v>121</v>
      </c>
      <c r="F4781" s="14">
        <v>-0.6808</v>
      </c>
      <c r="G4781" s="15"/>
      <c r="H4781" s="16"/>
      <c r="I4781" s="14"/>
    </row>
    <row r="4782">
      <c r="A4782" s="14">
        <v>643.0</v>
      </c>
      <c r="B4782" s="14">
        <v>1.02838578E8</v>
      </c>
      <c r="C4782" s="14">
        <v>4.42365791E8</v>
      </c>
      <c r="D4782" s="2" t="s">
        <v>430</v>
      </c>
      <c r="E4782" s="1" t="s">
        <v>121</v>
      </c>
      <c r="F4782" s="14">
        <v>-0.6808</v>
      </c>
      <c r="G4782" s="15"/>
      <c r="H4782" s="16"/>
      <c r="I4782" s="14"/>
    </row>
    <row r="4783">
      <c r="A4783" s="14">
        <v>403.0</v>
      </c>
      <c r="B4783" s="14">
        <v>6.85799E7</v>
      </c>
      <c r="C4783" s="14">
        <v>2.81854167E8</v>
      </c>
      <c r="D4783" s="2" t="s">
        <v>2302</v>
      </c>
      <c r="E4783" s="1" t="s">
        <v>121</v>
      </c>
      <c r="F4783" s="14">
        <v>-0.681</v>
      </c>
      <c r="G4783" s="15"/>
      <c r="H4783" s="16"/>
      <c r="I4783" s="14"/>
    </row>
    <row r="4784">
      <c r="A4784" s="14">
        <v>608.0</v>
      </c>
      <c r="B4784" s="14">
        <v>1.11363695E8</v>
      </c>
      <c r="C4784" s="14">
        <v>4.83056597E8</v>
      </c>
      <c r="D4784" s="2" t="s">
        <v>46</v>
      </c>
      <c r="E4784" s="1" t="s">
        <v>121</v>
      </c>
      <c r="F4784" s="14">
        <v>-0.6814</v>
      </c>
      <c r="G4784" s="15"/>
      <c r="H4784" s="16"/>
      <c r="I4784" s="14"/>
    </row>
    <row r="4785">
      <c r="A4785" s="14">
        <v>401.0</v>
      </c>
      <c r="B4785" s="14">
        <v>3938336.0</v>
      </c>
      <c r="C4785" s="14">
        <v>1.6690239E7</v>
      </c>
      <c r="D4785" s="2" t="s">
        <v>4882</v>
      </c>
      <c r="E4785" s="1" t="s">
        <v>121</v>
      </c>
      <c r="F4785" s="14">
        <v>-0.6818</v>
      </c>
      <c r="G4785" s="15"/>
      <c r="H4785" s="16"/>
      <c r="I4785" s="14"/>
    </row>
    <row r="4786">
      <c r="A4786" s="14">
        <v>542.0</v>
      </c>
      <c r="B4786" s="14">
        <v>7.9324154E7</v>
      </c>
      <c r="C4786" s="14">
        <v>3.31370404E8</v>
      </c>
      <c r="D4786" s="2" t="s">
        <v>1783</v>
      </c>
      <c r="E4786" s="1" t="s">
        <v>121</v>
      </c>
      <c r="F4786" s="14">
        <v>-0.6835</v>
      </c>
      <c r="G4786" s="15"/>
      <c r="H4786" s="16"/>
      <c r="I4786" s="14"/>
    </row>
    <row r="4787">
      <c r="A4787" s="14">
        <v>564.0</v>
      </c>
      <c r="B4787" s="14">
        <v>4.1219204E7</v>
      </c>
      <c r="C4787" s="14">
        <v>1.63195922E8</v>
      </c>
      <c r="D4787" s="2" t="s">
        <v>3349</v>
      </c>
      <c r="E4787" s="1" t="s">
        <v>121</v>
      </c>
      <c r="F4787" s="14">
        <v>-0.6857</v>
      </c>
      <c r="G4787" s="15"/>
      <c r="H4787" s="16"/>
      <c r="I4787" s="14"/>
    </row>
    <row r="4788">
      <c r="A4788" s="14">
        <v>601.0</v>
      </c>
      <c r="B4788" s="14">
        <v>5784879.0</v>
      </c>
      <c r="C4788" s="14">
        <v>2.4770168E7</v>
      </c>
      <c r="D4788" s="2" t="s">
        <v>4719</v>
      </c>
      <c r="E4788" s="1" t="s">
        <v>121</v>
      </c>
      <c r="F4788" s="14">
        <v>-0.6867</v>
      </c>
      <c r="G4788" s="15"/>
      <c r="H4788" s="16"/>
      <c r="I4788" s="14"/>
    </row>
    <row r="4789">
      <c r="A4789" s="14">
        <v>694.0</v>
      </c>
      <c r="B4789" s="14">
        <v>2.3765011E7</v>
      </c>
      <c r="C4789" s="14">
        <v>9.7785101E7</v>
      </c>
      <c r="D4789" s="2" t="s">
        <v>3761</v>
      </c>
      <c r="E4789" s="1" t="s">
        <v>121</v>
      </c>
      <c r="F4789" s="14">
        <v>-0.6872</v>
      </c>
      <c r="G4789" s="15"/>
      <c r="H4789" s="16"/>
      <c r="I4789" s="14"/>
    </row>
    <row r="4790">
      <c r="A4790" s="14">
        <v>380.0</v>
      </c>
      <c r="B4790" s="14">
        <v>8.7612543E7</v>
      </c>
      <c r="C4790" s="14">
        <v>3.7098106E8</v>
      </c>
      <c r="D4790" s="2" t="s">
        <v>1259</v>
      </c>
      <c r="E4790" s="1" t="s">
        <v>121</v>
      </c>
      <c r="F4790" s="14">
        <v>-0.6877</v>
      </c>
      <c r="G4790" s="15"/>
      <c r="H4790" s="16"/>
      <c r="I4790" s="14"/>
    </row>
    <row r="4791">
      <c r="A4791" s="14">
        <v>380.0</v>
      </c>
      <c r="B4791" s="14">
        <v>2487883.0</v>
      </c>
      <c r="C4791" s="14">
        <v>1.0515274E7</v>
      </c>
      <c r="D4791" s="2" t="s">
        <v>5022</v>
      </c>
      <c r="E4791" s="1" t="s">
        <v>121</v>
      </c>
      <c r="F4791" s="14">
        <v>-0.6884</v>
      </c>
      <c r="G4791" s="15"/>
      <c r="H4791" s="16"/>
      <c r="I4791" s="14"/>
    </row>
    <row r="4792">
      <c r="A4792" s="14">
        <v>215.0</v>
      </c>
      <c r="B4792" s="14">
        <v>4311776.0</v>
      </c>
      <c r="C4792" s="14">
        <v>4.411098E7</v>
      </c>
      <c r="D4792" s="2" t="s">
        <v>4846</v>
      </c>
      <c r="E4792" s="1" t="s">
        <v>121</v>
      </c>
      <c r="F4792" s="14">
        <v>-0.6886</v>
      </c>
      <c r="G4792" s="15"/>
      <c r="H4792" s="16"/>
      <c r="I4792" s="14"/>
    </row>
    <row r="4793">
      <c r="A4793" s="14">
        <v>394.0</v>
      </c>
      <c r="B4793" s="14">
        <v>1883920.0</v>
      </c>
      <c r="C4793" s="14">
        <v>8192967.0</v>
      </c>
      <c r="D4793" s="2" t="s">
        <v>5058</v>
      </c>
      <c r="E4793" s="1" t="s">
        <v>121</v>
      </c>
      <c r="F4793" s="14">
        <v>-0.6908</v>
      </c>
      <c r="G4793" s="15"/>
      <c r="H4793" s="16"/>
      <c r="I4793" s="14"/>
    </row>
    <row r="4794">
      <c r="A4794" s="14">
        <v>488.0</v>
      </c>
      <c r="B4794" s="14">
        <v>2.9692947E7</v>
      </c>
      <c r="C4794" s="14">
        <v>1.19158364E8</v>
      </c>
      <c r="D4794" s="2" t="s">
        <v>3597</v>
      </c>
      <c r="E4794" s="1" t="s">
        <v>121</v>
      </c>
      <c r="F4794" s="14">
        <v>-0.6908</v>
      </c>
      <c r="G4794" s="15"/>
      <c r="H4794" s="16"/>
      <c r="I4794" s="14"/>
    </row>
    <row r="4795">
      <c r="A4795" s="14">
        <v>571.0</v>
      </c>
      <c r="B4795" s="14">
        <v>8.6384606E7</v>
      </c>
      <c r="C4795" s="14">
        <v>3.65145134E8</v>
      </c>
      <c r="D4795" s="2" t="s">
        <v>1338</v>
      </c>
      <c r="E4795" s="1" t="s">
        <v>121</v>
      </c>
      <c r="F4795" s="14">
        <v>-0.6908</v>
      </c>
      <c r="G4795" s="15"/>
      <c r="H4795" s="16"/>
      <c r="I4795" s="14"/>
    </row>
    <row r="4796">
      <c r="A4796" s="14">
        <v>578.0</v>
      </c>
      <c r="B4796" s="14">
        <v>5307857.0</v>
      </c>
      <c r="C4796" s="14">
        <v>2.268213E7</v>
      </c>
      <c r="D4796" s="2" t="s">
        <v>4756</v>
      </c>
      <c r="E4796" s="1" t="s">
        <v>121</v>
      </c>
      <c r="F4796" s="14">
        <v>-0.6953</v>
      </c>
      <c r="G4796" s="15"/>
      <c r="H4796" s="16"/>
      <c r="I4796" s="14"/>
    </row>
    <row r="4797">
      <c r="A4797" s="14">
        <v>244.0</v>
      </c>
      <c r="B4797" s="14">
        <v>5.3656999E7</v>
      </c>
      <c r="C4797" s="14">
        <v>2.12792728E8</v>
      </c>
      <c r="D4797" s="2" t="s">
        <v>2886</v>
      </c>
      <c r="E4797" s="1" t="s">
        <v>121</v>
      </c>
      <c r="F4797" s="14">
        <v>-0.6956</v>
      </c>
      <c r="G4797" s="15"/>
      <c r="H4797" s="16"/>
      <c r="I4797" s="14"/>
    </row>
    <row r="4798">
      <c r="A4798" s="14">
        <v>610.0</v>
      </c>
      <c r="B4798" s="14">
        <v>7.2577483E7</v>
      </c>
      <c r="C4798" s="14">
        <v>3.00314601E8</v>
      </c>
      <c r="D4798" s="2" t="s">
        <v>2108</v>
      </c>
      <c r="E4798" s="1" t="s">
        <v>121</v>
      </c>
      <c r="F4798" s="14">
        <v>-0.6956</v>
      </c>
      <c r="G4798" s="15"/>
      <c r="H4798" s="16"/>
      <c r="I4798" s="14"/>
    </row>
    <row r="4799">
      <c r="A4799" s="14">
        <v>676.0</v>
      </c>
      <c r="B4799" s="14">
        <v>1.02462736E8</v>
      </c>
      <c r="C4799" s="14">
        <v>4.40531748E8</v>
      </c>
      <c r="D4799" s="2" t="s">
        <v>441</v>
      </c>
      <c r="E4799" s="1" t="s">
        <v>121</v>
      </c>
      <c r="F4799" s="14">
        <v>-0.6956</v>
      </c>
      <c r="G4799" s="15"/>
      <c r="H4799" s="16"/>
      <c r="I4799" s="14"/>
    </row>
    <row r="4800">
      <c r="A4800" s="14">
        <v>671.0</v>
      </c>
      <c r="B4800" s="14">
        <v>1.5498132E7</v>
      </c>
      <c r="C4800" s="14">
        <v>6.5853053E7</v>
      </c>
      <c r="D4800" s="2" t="s">
        <v>4067</v>
      </c>
      <c r="E4800" s="1" t="s">
        <v>121</v>
      </c>
      <c r="F4800" s="14">
        <v>-0.6957</v>
      </c>
      <c r="G4800" s="15"/>
      <c r="H4800" s="16"/>
      <c r="I4800" s="14"/>
    </row>
    <row r="4801">
      <c r="A4801" s="14">
        <v>671.0</v>
      </c>
      <c r="B4801" s="14">
        <v>3589941.0</v>
      </c>
      <c r="C4801" s="14">
        <v>1.5228261E7</v>
      </c>
      <c r="D4801" s="2" t="s">
        <v>4911</v>
      </c>
      <c r="E4801" s="1" t="s">
        <v>121</v>
      </c>
      <c r="F4801" s="14">
        <v>-0.6964</v>
      </c>
      <c r="G4801" s="15"/>
      <c r="H4801" s="16"/>
      <c r="I4801" s="14"/>
    </row>
    <row r="4802">
      <c r="A4802" s="14">
        <v>679.0</v>
      </c>
      <c r="B4802" s="14">
        <v>7907298.0</v>
      </c>
      <c r="C4802" s="14">
        <v>3.3592053E7</v>
      </c>
      <c r="D4802" s="2" t="s">
        <v>4550</v>
      </c>
      <c r="E4802" s="1" t="s">
        <v>121</v>
      </c>
      <c r="F4802" s="14">
        <v>-0.6996</v>
      </c>
      <c r="G4802" s="15"/>
      <c r="H4802" s="16"/>
      <c r="I4802" s="14"/>
    </row>
    <row r="4803">
      <c r="A4803" s="14">
        <v>410.0</v>
      </c>
      <c r="B4803" s="14">
        <v>9144529.0</v>
      </c>
      <c r="C4803" s="14">
        <v>1.5908204E8</v>
      </c>
      <c r="D4803" s="2" t="s">
        <v>4462</v>
      </c>
      <c r="E4803" s="1" t="s">
        <v>121</v>
      </c>
      <c r="F4803" s="14">
        <v>-0.7003</v>
      </c>
      <c r="G4803" s="15"/>
      <c r="H4803" s="16"/>
      <c r="I4803" s="14"/>
    </row>
    <row r="4804">
      <c r="A4804" s="14">
        <v>673.0</v>
      </c>
      <c r="B4804" s="14">
        <v>9.0985022E7</v>
      </c>
      <c r="C4804" s="14">
        <v>3.86035094E8</v>
      </c>
      <c r="D4804" s="2" t="s">
        <v>1082</v>
      </c>
      <c r="E4804" s="1" t="s">
        <v>121</v>
      </c>
      <c r="F4804" s="14">
        <v>-0.7003</v>
      </c>
      <c r="G4804" s="15"/>
      <c r="H4804" s="16"/>
      <c r="I4804" s="14"/>
    </row>
    <row r="4805">
      <c r="A4805" s="14">
        <v>321.0</v>
      </c>
      <c r="B4805" s="14">
        <v>1410585.0</v>
      </c>
      <c r="C4805" s="14">
        <v>6244680.0</v>
      </c>
      <c r="D4805" s="2" t="s">
        <v>5089</v>
      </c>
      <c r="E4805" s="1" t="s">
        <v>121</v>
      </c>
      <c r="F4805" s="14">
        <v>-0.7006</v>
      </c>
      <c r="G4805" s="15"/>
      <c r="H4805" s="16"/>
      <c r="I4805" s="14"/>
    </row>
    <row r="4806">
      <c r="A4806" s="14">
        <v>120.0</v>
      </c>
      <c r="B4806" s="14">
        <v>4543676.0</v>
      </c>
      <c r="C4806" s="14">
        <v>1.929285E7</v>
      </c>
      <c r="D4806" s="2" t="s">
        <v>4819</v>
      </c>
      <c r="E4806" s="1" t="s">
        <v>121</v>
      </c>
      <c r="F4806" s="14">
        <v>-0.7009</v>
      </c>
      <c r="G4806" s="15"/>
      <c r="H4806" s="16"/>
      <c r="I4806" s="14"/>
    </row>
    <row r="4807">
      <c r="A4807" s="14">
        <v>115.0</v>
      </c>
      <c r="B4807" s="14">
        <v>48041.0</v>
      </c>
      <c r="C4807" s="14">
        <v>166664.0</v>
      </c>
      <c r="D4807" s="2" t="s">
        <v>5179</v>
      </c>
      <c r="E4807" s="1" t="s">
        <v>121</v>
      </c>
      <c r="F4807" s="14">
        <v>-0.704</v>
      </c>
      <c r="G4807" s="15"/>
      <c r="H4807" s="16"/>
      <c r="I4807" s="14"/>
    </row>
    <row r="4808">
      <c r="A4808" s="14">
        <v>228.0</v>
      </c>
      <c r="B4808" s="14">
        <v>907602.0</v>
      </c>
      <c r="C4808" s="14">
        <v>4251237.0</v>
      </c>
      <c r="D4808" s="2" t="s">
        <v>5141</v>
      </c>
      <c r="E4808" s="1" t="s">
        <v>121</v>
      </c>
      <c r="F4808" s="14">
        <v>-0.704</v>
      </c>
      <c r="G4808" s="15"/>
      <c r="H4808" s="16"/>
      <c r="I4808" s="14"/>
    </row>
    <row r="4809">
      <c r="A4809" s="14">
        <v>458.0</v>
      </c>
      <c r="B4809" s="14">
        <v>3658014.0</v>
      </c>
      <c r="C4809" s="14">
        <v>1.5490309E7</v>
      </c>
      <c r="D4809" s="2" t="s">
        <v>4908</v>
      </c>
      <c r="E4809" s="1" t="s">
        <v>699</v>
      </c>
      <c r="F4809" s="14">
        <v>-0.705</v>
      </c>
      <c r="G4809" s="15"/>
      <c r="H4809" s="16"/>
      <c r="I4809" s="14"/>
    </row>
    <row r="4810">
      <c r="A4810" s="14">
        <v>593.0</v>
      </c>
      <c r="B4810" s="14">
        <v>7.9406092E7</v>
      </c>
      <c r="C4810" s="14">
        <v>3.3143543E8</v>
      </c>
      <c r="D4810" s="2" t="s">
        <v>1776</v>
      </c>
      <c r="E4810" s="1" t="s">
        <v>121</v>
      </c>
      <c r="F4810" s="14">
        <v>-0.7057</v>
      </c>
      <c r="G4810" s="15"/>
      <c r="H4810" s="16"/>
      <c r="I4810" s="14"/>
    </row>
    <row r="4811">
      <c r="A4811" s="14">
        <v>228.0</v>
      </c>
      <c r="B4811" s="14">
        <v>1.0508877E7</v>
      </c>
      <c r="C4811" s="14">
        <v>4.4666681E7</v>
      </c>
      <c r="D4811" s="2" t="s">
        <v>4361</v>
      </c>
      <c r="E4811" s="1" t="s">
        <v>121</v>
      </c>
      <c r="F4811" s="14">
        <v>-0.7089</v>
      </c>
      <c r="G4811" s="15"/>
      <c r="H4811" s="16"/>
      <c r="I4811" s="14"/>
    </row>
    <row r="4812">
      <c r="A4812" s="14">
        <v>713.0</v>
      </c>
      <c r="B4812" s="14">
        <v>9319692.0</v>
      </c>
      <c r="C4812" s="14">
        <v>3.9538212E7</v>
      </c>
      <c r="D4812" s="2" t="s">
        <v>4443</v>
      </c>
      <c r="E4812" s="1" t="s">
        <v>121</v>
      </c>
      <c r="F4812" s="14">
        <v>-0.7096</v>
      </c>
      <c r="G4812" s="15"/>
      <c r="H4812" s="16"/>
      <c r="I4812" s="14"/>
    </row>
    <row r="4813">
      <c r="A4813" s="14">
        <v>380.0</v>
      </c>
      <c r="B4813" s="14">
        <v>1.2165789E7</v>
      </c>
      <c r="C4813" s="14">
        <v>5.1778249E7</v>
      </c>
      <c r="D4813" s="2" t="s">
        <v>4251</v>
      </c>
      <c r="E4813" s="1" t="s">
        <v>121</v>
      </c>
      <c r="F4813" s="14">
        <v>-0.7101</v>
      </c>
      <c r="G4813" s="15"/>
      <c r="H4813" s="16"/>
      <c r="I4813" s="14"/>
    </row>
    <row r="4814">
      <c r="A4814" s="14">
        <v>120.0</v>
      </c>
      <c r="B4814" s="14">
        <v>1046472.0</v>
      </c>
      <c r="C4814" s="14">
        <v>4767677.0</v>
      </c>
      <c r="D4814" s="2" t="s">
        <v>5137</v>
      </c>
      <c r="E4814" s="1" t="s">
        <v>121</v>
      </c>
      <c r="F4814" s="14">
        <v>-0.7122</v>
      </c>
      <c r="G4814" s="15"/>
      <c r="H4814" s="16"/>
      <c r="I4814" s="14"/>
    </row>
    <row r="4815">
      <c r="A4815" s="14">
        <v>317.0</v>
      </c>
      <c r="B4815" s="14">
        <v>7.5131774E7</v>
      </c>
      <c r="C4815" s="14">
        <v>3.11469851E8</v>
      </c>
      <c r="D4815" s="2" t="s">
        <v>2023</v>
      </c>
      <c r="E4815" s="1" t="s">
        <v>121</v>
      </c>
      <c r="F4815" s="14">
        <v>-0.7154</v>
      </c>
      <c r="G4815" s="15"/>
      <c r="H4815" s="16"/>
      <c r="I4815" s="14"/>
    </row>
    <row r="4816">
      <c r="A4816" s="14">
        <v>503.0</v>
      </c>
      <c r="B4816" s="14">
        <v>2.8756896E7</v>
      </c>
      <c r="C4816" s="14">
        <v>1.15729997E8</v>
      </c>
      <c r="D4816" s="2" t="s">
        <v>3618</v>
      </c>
      <c r="E4816" s="1" t="s">
        <v>121</v>
      </c>
      <c r="F4816" s="14">
        <v>-0.7162</v>
      </c>
      <c r="G4816" s="15"/>
      <c r="H4816" s="16"/>
      <c r="I4816" s="14"/>
    </row>
    <row r="4817">
      <c r="A4817" s="14">
        <v>12.0</v>
      </c>
      <c r="B4817" s="14">
        <v>1773380.0</v>
      </c>
      <c r="C4817" s="14">
        <v>7727505.0</v>
      </c>
      <c r="D4817" s="2" t="s">
        <v>5062</v>
      </c>
      <c r="E4817" s="1" t="s">
        <v>121</v>
      </c>
      <c r="F4817" s="14">
        <v>-0.7163</v>
      </c>
      <c r="G4817" s="15"/>
      <c r="H4817" s="16"/>
      <c r="I4817" s="14"/>
    </row>
    <row r="4818">
      <c r="A4818" s="14">
        <v>380.0</v>
      </c>
      <c r="B4818" s="14">
        <v>1.05134463E8</v>
      </c>
      <c r="C4818" s="14">
        <v>4.52725736E8</v>
      </c>
      <c r="D4818" s="2" t="s">
        <v>343</v>
      </c>
      <c r="E4818" s="1" t="s">
        <v>121</v>
      </c>
      <c r="F4818" s="14">
        <v>-0.7171</v>
      </c>
      <c r="G4818" s="15"/>
      <c r="H4818" s="16"/>
      <c r="I4818" s="14"/>
    </row>
    <row r="4819">
      <c r="A4819" s="14">
        <v>458.0</v>
      </c>
      <c r="B4819" s="14">
        <v>3.0873912E7</v>
      </c>
      <c r="C4819" s="14">
        <v>1.2388546E8</v>
      </c>
      <c r="D4819" s="2" t="s">
        <v>3564</v>
      </c>
      <c r="E4819" s="1" t="s">
        <v>121</v>
      </c>
      <c r="F4819" s="14">
        <v>-0.7177</v>
      </c>
      <c r="G4819" s="15"/>
      <c r="H4819" s="16"/>
      <c r="I4819" s="14"/>
    </row>
    <row r="4820">
      <c r="A4820" s="14">
        <v>475.0</v>
      </c>
      <c r="B4820" s="14">
        <v>9.8379732E7</v>
      </c>
      <c r="C4820" s="14">
        <v>4.20731739E8</v>
      </c>
      <c r="D4820" s="2" t="s">
        <v>679</v>
      </c>
      <c r="E4820" s="1" t="s">
        <v>121</v>
      </c>
      <c r="F4820" s="14">
        <v>-0.7182</v>
      </c>
      <c r="G4820" s="15"/>
      <c r="H4820" s="16"/>
      <c r="I4820" s="14"/>
    </row>
    <row r="4821">
      <c r="A4821" s="14">
        <v>587.0</v>
      </c>
      <c r="B4821" s="14">
        <v>6.9249444E7</v>
      </c>
      <c r="C4821" s="14">
        <v>2.849291E8</v>
      </c>
      <c r="D4821" s="2" t="s">
        <v>2272</v>
      </c>
      <c r="E4821" s="1" t="s">
        <v>699</v>
      </c>
      <c r="F4821" s="14">
        <v>-0.7184</v>
      </c>
      <c r="G4821" s="15"/>
      <c r="H4821" s="16"/>
      <c r="I4821" s="14"/>
    </row>
    <row r="4822">
      <c r="A4822" s="14">
        <v>285.0</v>
      </c>
      <c r="B4822" s="14">
        <v>2710506.0</v>
      </c>
      <c r="C4822" s="14">
        <v>2.2269405E7</v>
      </c>
      <c r="D4822" s="2" t="s">
        <v>5007</v>
      </c>
      <c r="E4822" s="1" t="s">
        <v>121</v>
      </c>
      <c r="F4822" s="14">
        <v>-0.7185</v>
      </c>
      <c r="G4822" s="15"/>
      <c r="H4822" s="16"/>
      <c r="I4822" s="14"/>
    </row>
    <row r="4823">
      <c r="A4823" s="14">
        <v>244.0</v>
      </c>
      <c r="B4823" s="14">
        <v>5265676.0</v>
      </c>
      <c r="C4823" s="14">
        <v>2.2494623E7</v>
      </c>
      <c r="D4823" s="2" t="s">
        <v>4765</v>
      </c>
      <c r="E4823" s="1" t="s">
        <v>121</v>
      </c>
      <c r="F4823" s="14">
        <v>-0.7198</v>
      </c>
      <c r="G4823" s="15"/>
      <c r="H4823" s="16"/>
      <c r="I4823" s="14"/>
    </row>
    <row r="4824">
      <c r="A4824" s="14">
        <v>601.0</v>
      </c>
      <c r="B4824" s="14">
        <v>1.0345248E7</v>
      </c>
      <c r="C4824" s="14">
        <v>4.3965972E7</v>
      </c>
      <c r="D4824" s="2" t="s">
        <v>4373</v>
      </c>
      <c r="E4824" s="1" t="s">
        <v>121</v>
      </c>
      <c r="F4824" s="14">
        <v>-0.7211</v>
      </c>
      <c r="G4824" s="15"/>
      <c r="H4824" s="16"/>
      <c r="I4824" s="14"/>
    </row>
    <row r="4825">
      <c r="A4825" s="14">
        <v>395.0</v>
      </c>
      <c r="B4825" s="14">
        <v>2884300.0</v>
      </c>
      <c r="C4825" s="14">
        <v>1.2395195E7</v>
      </c>
      <c r="D4825" s="2" t="s">
        <v>4981</v>
      </c>
      <c r="E4825" s="1" t="s">
        <v>121</v>
      </c>
      <c r="F4825" s="14">
        <v>-0.7224</v>
      </c>
      <c r="G4825" s="15"/>
      <c r="H4825" s="16"/>
      <c r="I4825" s="14"/>
    </row>
    <row r="4826">
      <c r="A4826" s="14">
        <v>285.0</v>
      </c>
      <c r="B4826" s="14">
        <v>1.0825671E7</v>
      </c>
      <c r="C4826" s="14">
        <v>4.5950428E7</v>
      </c>
      <c r="D4826" s="2" t="s">
        <v>4334</v>
      </c>
      <c r="E4826" s="1" t="s">
        <v>121</v>
      </c>
      <c r="F4826" s="14">
        <v>-0.7234</v>
      </c>
      <c r="G4826" s="15"/>
      <c r="H4826" s="16"/>
      <c r="I4826" s="14"/>
    </row>
    <row r="4827">
      <c r="A4827" s="14">
        <v>578.0</v>
      </c>
      <c r="B4827" s="14">
        <v>8.4258229E7</v>
      </c>
      <c r="C4827" s="14">
        <v>3.542803E8</v>
      </c>
      <c r="D4827" s="2" t="s">
        <v>1483</v>
      </c>
      <c r="E4827" s="1" t="s">
        <v>121</v>
      </c>
      <c r="F4827" s="14">
        <v>-0.7269</v>
      </c>
      <c r="G4827" s="15"/>
      <c r="H4827" s="16"/>
      <c r="I4827" s="14"/>
    </row>
    <row r="4828">
      <c r="A4828" s="14">
        <v>578.0</v>
      </c>
      <c r="B4828" s="14">
        <v>2.0752431E7</v>
      </c>
      <c r="C4828" s="14">
        <v>8.6318417E7</v>
      </c>
      <c r="D4828" s="2" t="s">
        <v>3851</v>
      </c>
      <c r="E4828" s="1" t="s">
        <v>121</v>
      </c>
      <c r="F4828" s="14">
        <v>-0.7278</v>
      </c>
      <c r="G4828" s="15"/>
      <c r="H4828" s="16"/>
      <c r="I4828" s="14"/>
    </row>
    <row r="4829">
      <c r="A4829" s="14">
        <v>504.0</v>
      </c>
      <c r="B4829" s="14">
        <v>1.9462132E7</v>
      </c>
      <c r="C4829" s="14">
        <v>8.1366417E7</v>
      </c>
      <c r="D4829" s="2" t="s">
        <v>3892</v>
      </c>
      <c r="E4829" s="1" t="s">
        <v>121</v>
      </c>
      <c r="F4829" s="14">
        <v>-0.7284</v>
      </c>
      <c r="G4829" s="15"/>
      <c r="H4829" s="16"/>
      <c r="I4829" s="14"/>
    </row>
    <row r="4830">
      <c r="A4830" s="14">
        <v>120.0</v>
      </c>
      <c r="B4830" s="14">
        <v>142137.0</v>
      </c>
      <c r="C4830" s="14">
        <v>551922.0</v>
      </c>
      <c r="D4830" s="2" t="s">
        <v>5176</v>
      </c>
      <c r="E4830" s="1" t="s">
        <v>121</v>
      </c>
      <c r="F4830" s="14">
        <v>-0.7293</v>
      </c>
      <c r="G4830" s="15"/>
      <c r="H4830" s="16"/>
      <c r="I4830" s="14"/>
    </row>
    <row r="4831">
      <c r="A4831" s="14">
        <v>596.0</v>
      </c>
      <c r="B4831" s="14">
        <v>6182097.0</v>
      </c>
      <c r="C4831" s="14">
        <v>2.6324456E7</v>
      </c>
      <c r="D4831" s="2" t="s">
        <v>4699</v>
      </c>
      <c r="E4831" s="1" t="s">
        <v>121</v>
      </c>
      <c r="F4831" s="14">
        <v>-0.731</v>
      </c>
      <c r="G4831" s="15"/>
      <c r="H4831" s="16"/>
      <c r="I4831" s="14"/>
    </row>
    <row r="4832">
      <c r="A4832" s="14">
        <v>602.0</v>
      </c>
      <c r="B4832" s="14">
        <v>3864684.0</v>
      </c>
      <c r="C4832" s="14">
        <v>1.6421629E7</v>
      </c>
      <c r="D4832" s="2" t="s">
        <v>4892</v>
      </c>
      <c r="E4832" s="1" t="s">
        <v>121</v>
      </c>
      <c r="F4832" s="14">
        <v>-0.7351</v>
      </c>
      <c r="G4832" s="15"/>
      <c r="H4832" s="16"/>
      <c r="I4832" s="14"/>
    </row>
    <row r="4833">
      <c r="A4833" s="14">
        <v>602.0</v>
      </c>
      <c r="B4833" s="14">
        <v>4578650.0</v>
      </c>
      <c r="C4833" s="14">
        <v>1.9416096E7</v>
      </c>
      <c r="D4833" s="2" t="s">
        <v>4815</v>
      </c>
      <c r="E4833" s="1" t="s">
        <v>121</v>
      </c>
      <c r="F4833" s="14">
        <v>-0.7351</v>
      </c>
      <c r="G4833" s="15"/>
      <c r="H4833" s="16"/>
      <c r="I4833" s="14"/>
    </row>
    <row r="4834">
      <c r="A4834" s="14">
        <v>395.0</v>
      </c>
      <c r="B4834" s="14">
        <v>7466366.0</v>
      </c>
      <c r="C4834" s="14">
        <v>3.1772925E7</v>
      </c>
      <c r="D4834" s="2" t="s">
        <v>4579</v>
      </c>
      <c r="E4834" s="1" t="s">
        <v>121</v>
      </c>
      <c r="F4834" s="14">
        <v>-0.7351</v>
      </c>
      <c r="G4834" s="15"/>
      <c r="H4834" s="16"/>
      <c r="I4834" s="14"/>
    </row>
    <row r="4835">
      <c r="A4835" s="14">
        <v>409.0</v>
      </c>
      <c r="B4835" s="14">
        <v>7.889373E7</v>
      </c>
      <c r="C4835" s="14">
        <v>3.29171464E8</v>
      </c>
      <c r="D4835" s="2" t="s">
        <v>1807</v>
      </c>
      <c r="E4835" s="1" t="s">
        <v>121</v>
      </c>
      <c r="F4835" s="14">
        <v>-0.7351</v>
      </c>
      <c r="G4835" s="15"/>
      <c r="H4835" s="16"/>
      <c r="I4835" s="14"/>
    </row>
    <row r="4836">
      <c r="A4836" s="14">
        <v>401.0</v>
      </c>
      <c r="B4836" s="14">
        <v>3937502.0</v>
      </c>
      <c r="C4836" s="14">
        <v>1.6696278E7</v>
      </c>
      <c r="D4836" s="2" t="s">
        <v>4883</v>
      </c>
      <c r="E4836" s="1" t="s">
        <v>121</v>
      </c>
      <c r="F4836" s="14">
        <v>-0.7355</v>
      </c>
      <c r="G4836" s="15"/>
      <c r="H4836" s="16"/>
      <c r="I4836" s="14"/>
    </row>
    <row r="4837">
      <c r="A4837" s="14">
        <v>571.0</v>
      </c>
      <c r="B4837" s="14">
        <v>6.1774689E7</v>
      </c>
      <c r="C4837" s="14">
        <v>2.49299849E8</v>
      </c>
      <c r="D4837" s="2" t="s">
        <v>2623</v>
      </c>
      <c r="E4837" s="1" t="s">
        <v>121</v>
      </c>
      <c r="F4837" s="14">
        <v>-0.7365</v>
      </c>
      <c r="G4837" s="15"/>
      <c r="H4837" s="16"/>
      <c r="I4837" s="14"/>
    </row>
    <row r="4838">
      <c r="A4838" s="14">
        <v>671.0</v>
      </c>
      <c r="B4838" s="14">
        <v>1.0190041E7</v>
      </c>
      <c r="C4838" s="14">
        <v>4.3425368E7</v>
      </c>
      <c r="D4838" s="2" t="s">
        <v>4381</v>
      </c>
      <c r="E4838" s="1" t="s">
        <v>121</v>
      </c>
      <c r="F4838" s="14">
        <v>-0.7391</v>
      </c>
      <c r="G4838" s="15"/>
      <c r="H4838" s="16"/>
      <c r="I4838" s="14"/>
    </row>
    <row r="4839">
      <c r="A4839" s="14">
        <v>129.0</v>
      </c>
      <c r="B4839" s="14">
        <v>2358345.0</v>
      </c>
      <c r="C4839" s="14">
        <v>1.0022308E7</v>
      </c>
      <c r="D4839" s="2" t="s">
        <v>5029</v>
      </c>
      <c r="E4839" s="1" t="s">
        <v>121</v>
      </c>
      <c r="F4839" s="14">
        <v>-0.7409</v>
      </c>
      <c r="G4839" s="15"/>
      <c r="H4839" s="16"/>
      <c r="I4839" s="14"/>
    </row>
    <row r="4840">
      <c r="A4840" s="14">
        <v>504.0</v>
      </c>
      <c r="B4840" s="14">
        <v>2.533241E7</v>
      </c>
      <c r="C4840" s="14">
        <v>1.02952851E8</v>
      </c>
      <c r="D4840" s="2" t="s">
        <v>3725</v>
      </c>
      <c r="E4840" s="1" t="s">
        <v>121</v>
      </c>
      <c r="F4840" s="14">
        <v>-0.7429</v>
      </c>
      <c r="G4840" s="15"/>
      <c r="H4840" s="16"/>
      <c r="I4840" s="14"/>
    </row>
    <row r="4841">
      <c r="A4841" s="14">
        <v>678.0</v>
      </c>
      <c r="B4841" s="14">
        <v>1.0138185E7</v>
      </c>
      <c r="C4841" s="14">
        <v>4.2995033E7</v>
      </c>
      <c r="D4841" s="2" t="s">
        <v>4390</v>
      </c>
      <c r="E4841" s="1" t="s">
        <v>121</v>
      </c>
      <c r="F4841" s="14">
        <v>-0.743</v>
      </c>
      <c r="G4841" s="15"/>
      <c r="H4841" s="16"/>
      <c r="I4841" s="14"/>
    </row>
    <row r="4842">
      <c r="A4842" s="14">
        <v>610.0</v>
      </c>
      <c r="B4842" s="14">
        <v>5373531.0</v>
      </c>
      <c r="C4842" s="14">
        <v>2.2985115E7</v>
      </c>
      <c r="D4842" s="2" t="s">
        <v>4749</v>
      </c>
      <c r="E4842" s="1" t="s">
        <v>121</v>
      </c>
      <c r="F4842" s="14">
        <v>-0.7431</v>
      </c>
      <c r="G4842" s="15"/>
      <c r="H4842" s="16"/>
      <c r="I4842" s="14"/>
    </row>
    <row r="4843">
      <c r="A4843" s="14">
        <v>676.0</v>
      </c>
      <c r="B4843" s="14">
        <v>1.0797423E7</v>
      </c>
      <c r="C4843" s="14">
        <v>5.889698E7</v>
      </c>
      <c r="D4843" s="2" t="s">
        <v>4338</v>
      </c>
      <c r="E4843" s="1" t="s">
        <v>121</v>
      </c>
      <c r="F4843" s="14">
        <v>-0.746</v>
      </c>
      <c r="G4843" s="15"/>
      <c r="H4843" s="16"/>
      <c r="I4843" s="14"/>
    </row>
    <row r="4844">
      <c r="A4844" s="14">
        <v>504.0</v>
      </c>
      <c r="B4844" s="14">
        <v>1168997.0</v>
      </c>
      <c r="C4844" s="14">
        <v>5253397.0</v>
      </c>
      <c r="D4844" s="2" t="s">
        <v>5118</v>
      </c>
      <c r="E4844" s="1" t="s">
        <v>121</v>
      </c>
      <c r="F4844" s="14">
        <v>-0.7463</v>
      </c>
      <c r="G4844" s="15"/>
      <c r="H4844" s="16"/>
      <c r="I4844" s="14"/>
    </row>
    <row r="4845">
      <c r="A4845" s="14">
        <v>571.0</v>
      </c>
      <c r="B4845" s="14">
        <v>1.12502412E8</v>
      </c>
      <c r="C4845" s="14">
        <v>4.88792291E8</v>
      </c>
      <c r="D4845" s="2" t="s">
        <v>23</v>
      </c>
      <c r="E4845" s="1" t="s">
        <v>121</v>
      </c>
      <c r="F4845" s="14">
        <v>-0.7485</v>
      </c>
      <c r="G4845" s="15"/>
      <c r="H4845" s="16"/>
      <c r="I4845" s="14"/>
    </row>
    <row r="4846">
      <c r="A4846" s="14">
        <v>93.0</v>
      </c>
      <c r="B4846" s="14">
        <v>161958.0</v>
      </c>
      <c r="C4846" s="14">
        <v>636121.0</v>
      </c>
      <c r="D4846" s="2" t="s">
        <v>5175</v>
      </c>
      <c r="E4846" s="1" t="s">
        <v>121</v>
      </c>
      <c r="F4846" s="14">
        <v>-0.7506</v>
      </c>
      <c r="G4846" s="15"/>
      <c r="H4846" s="16"/>
      <c r="I4846" s="14"/>
    </row>
    <row r="4847">
      <c r="A4847" s="14">
        <v>244.0</v>
      </c>
      <c r="B4847" s="14">
        <v>1631990.0</v>
      </c>
      <c r="C4847" s="14">
        <v>7140764.0</v>
      </c>
      <c r="D4847" s="2" t="s">
        <v>5070</v>
      </c>
      <c r="E4847" s="1" t="s">
        <v>121</v>
      </c>
      <c r="F4847" s="14">
        <v>-0.7506</v>
      </c>
      <c r="G4847" s="15"/>
      <c r="H4847" s="16"/>
      <c r="I4847" s="14"/>
    </row>
    <row r="4848">
      <c r="A4848" s="14">
        <v>410.0</v>
      </c>
      <c r="B4848" s="14">
        <v>7126593.0</v>
      </c>
      <c r="C4848" s="14">
        <v>3.0286828E7</v>
      </c>
      <c r="D4848" s="2" t="s">
        <v>4597</v>
      </c>
      <c r="E4848" s="1" t="s">
        <v>121</v>
      </c>
      <c r="F4848" s="14">
        <v>-0.7506</v>
      </c>
      <c r="G4848" s="15"/>
      <c r="H4848" s="16"/>
      <c r="I4848" s="14"/>
    </row>
    <row r="4849">
      <c r="A4849" s="14">
        <v>719.0</v>
      </c>
      <c r="B4849" s="14">
        <v>6.3119484E7</v>
      </c>
      <c r="C4849" s="14">
        <v>2.55784413E8</v>
      </c>
      <c r="D4849" s="2" t="s">
        <v>2560</v>
      </c>
      <c r="E4849" s="1" t="s">
        <v>121</v>
      </c>
      <c r="F4849" s="14">
        <v>-0.7506</v>
      </c>
      <c r="G4849" s="15"/>
      <c r="H4849" s="16"/>
      <c r="I4849" s="14"/>
    </row>
    <row r="4850">
      <c r="A4850" s="14">
        <v>565.0</v>
      </c>
      <c r="B4850" s="14">
        <v>4.743742E7</v>
      </c>
      <c r="C4850" s="14">
        <v>1.8758234E8</v>
      </c>
      <c r="D4850" s="2" t="s">
        <v>3137</v>
      </c>
      <c r="E4850" s="1" t="s">
        <v>121</v>
      </c>
      <c r="F4850" s="14">
        <v>-0.7511</v>
      </c>
      <c r="G4850" s="15"/>
      <c r="H4850" s="16"/>
      <c r="I4850" s="14"/>
    </row>
    <row r="4851">
      <c r="A4851" s="14">
        <v>571.0</v>
      </c>
      <c r="B4851" s="14">
        <v>8.7443908E7</v>
      </c>
      <c r="C4851" s="14">
        <v>3.69570603E8</v>
      </c>
      <c r="D4851" s="2" t="s">
        <v>1271</v>
      </c>
      <c r="E4851" s="1" t="s">
        <v>121</v>
      </c>
      <c r="F4851" s="14">
        <v>-0.7511</v>
      </c>
      <c r="G4851" s="15"/>
      <c r="H4851" s="16"/>
      <c r="I4851" s="14"/>
    </row>
    <row r="4852">
      <c r="A4852" s="14">
        <v>225.0</v>
      </c>
      <c r="B4852" s="14">
        <v>4249939.0</v>
      </c>
      <c r="C4852" s="14">
        <v>1.8036014E7</v>
      </c>
      <c r="D4852" s="2" t="s">
        <v>4856</v>
      </c>
      <c r="E4852" s="1" t="s">
        <v>121</v>
      </c>
      <c r="F4852" s="14">
        <v>-0.7514</v>
      </c>
      <c r="G4852" s="15"/>
      <c r="H4852" s="16"/>
      <c r="I4852" s="14"/>
    </row>
    <row r="4853">
      <c r="A4853" s="14">
        <v>120.0</v>
      </c>
      <c r="B4853" s="14">
        <v>271930.0</v>
      </c>
      <c r="C4853" s="14">
        <v>1161123.0</v>
      </c>
      <c r="D4853" s="2" t="s">
        <v>5180</v>
      </c>
      <c r="E4853" s="1" t="s">
        <v>699</v>
      </c>
      <c r="F4853" s="14">
        <v>-0.7525</v>
      </c>
      <c r="G4853" s="15"/>
      <c r="H4853" s="16"/>
      <c r="I4853" s="14"/>
    </row>
    <row r="4854">
      <c r="A4854" s="14">
        <v>158.0</v>
      </c>
      <c r="B4854" s="14">
        <v>443546.0</v>
      </c>
      <c r="C4854" s="14">
        <v>2039146.0</v>
      </c>
      <c r="D4854" s="2" t="s">
        <v>5180</v>
      </c>
      <c r="E4854" s="1" t="s">
        <v>699</v>
      </c>
      <c r="F4854" s="14">
        <v>-0.7525</v>
      </c>
      <c r="G4854" s="15"/>
      <c r="H4854" s="16"/>
      <c r="I4854" s="14"/>
    </row>
    <row r="4855">
      <c r="A4855" s="14">
        <v>120.0</v>
      </c>
      <c r="B4855" s="14">
        <v>522313.0</v>
      </c>
      <c r="C4855" s="14">
        <v>2500162.0</v>
      </c>
      <c r="D4855" s="2" t="s">
        <v>5180</v>
      </c>
      <c r="E4855" s="1" t="s">
        <v>699</v>
      </c>
      <c r="F4855" s="14">
        <v>-0.7525</v>
      </c>
      <c r="G4855" s="15"/>
      <c r="H4855" s="16"/>
      <c r="I4855" s="14"/>
    </row>
    <row r="4856">
      <c r="A4856" s="14">
        <v>608.0</v>
      </c>
      <c r="B4856" s="14">
        <v>2199601.0</v>
      </c>
      <c r="C4856" s="14">
        <v>9404777.0</v>
      </c>
      <c r="D4856" s="2" t="s">
        <v>5180</v>
      </c>
      <c r="E4856" s="1" t="s">
        <v>699</v>
      </c>
      <c r="F4856" s="14">
        <v>-0.7525</v>
      </c>
      <c r="G4856" s="15"/>
      <c r="H4856" s="16"/>
      <c r="I4856" s="14"/>
    </row>
    <row r="4857">
      <c r="A4857" s="14">
        <v>671.0</v>
      </c>
      <c r="B4857" s="14">
        <v>2441589.0</v>
      </c>
      <c r="C4857" s="14">
        <v>3.62251496E8</v>
      </c>
      <c r="D4857" s="2" t="s">
        <v>5180</v>
      </c>
      <c r="E4857" s="1" t="s">
        <v>699</v>
      </c>
      <c r="F4857" s="14">
        <v>-0.7525</v>
      </c>
      <c r="G4857" s="15"/>
      <c r="H4857" s="16"/>
      <c r="I4857" s="14"/>
    </row>
    <row r="4858">
      <c r="A4858" s="14">
        <v>571.0</v>
      </c>
      <c r="B4858" s="14">
        <v>3786006.0</v>
      </c>
      <c r="C4858" s="14">
        <v>1.6088973E7</v>
      </c>
      <c r="D4858" s="2" t="s">
        <v>5180</v>
      </c>
      <c r="E4858" s="1" t="s">
        <v>699</v>
      </c>
      <c r="F4858" s="14">
        <v>-0.7525</v>
      </c>
      <c r="G4858" s="15"/>
      <c r="H4858" s="16"/>
      <c r="I4858" s="14"/>
    </row>
    <row r="4859">
      <c r="A4859" s="14">
        <v>215.0</v>
      </c>
      <c r="B4859" s="14">
        <v>3885741.0</v>
      </c>
      <c r="C4859" s="14">
        <v>1.6508797E7</v>
      </c>
      <c r="D4859" s="2" t="s">
        <v>5180</v>
      </c>
      <c r="E4859" s="1" t="s">
        <v>699</v>
      </c>
      <c r="F4859" s="14">
        <v>-0.7525</v>
      </c>
      <c r="G4859" s="15"/>
      <c r="H4859" s="16"/>
      <c r="I4859" s="14"/>
    </row>
    <row r="4860">
      <c r="A4860" s="14">
        <v>609.0</v>
      </c>
      <c r="B4860" s="14">
        <v>6604154.0</v>
      </c>
      <c r="C4860" s="14">
        <v>2.8162889E7</v>
      </c>
      <c r="D4860" s="2" t="s">
        <v>5180</v>
      </c>
      <c r="E4860" s="1" t="s">
        <v>699</v>
      </c>
      <c r="F4860" s="14">
        <v>-0.7525</v>
      </c>
      <c r="G4860" s="15"/>
      <c r="H4860" s="16"/>
      <c r="I4860" s="14"/>
    </row>
    <row r="4861">
      <c r="A4861" s="14">
        <v>461.0</v>
      </c>
      <c r="B4861" s="14">
        <v>1.6416957E7</v>
      </c>
      <c r="C4861" s="14">
        <v>6.9592555E7</v>
      </c>
      <c r="D4861" s="2" t="s">
        <v>5180</v>
      </c>
      <c r="E4861" s="1" t="s">
        <v>699</v>
      </c>
      <c r="F4861" s="14">
        <v>-0.7525</v>
      </c>
      <c r="G4861" s="15"/>
      <c r="H4861" s="16"/>
      <c r="I4861" s="14"/>
    </row>
    <row r="4862">
      <c r="A4862" s="14">
        <v>671.0</v>
      </c>
      <c r="B4862" s="14">
        <v>1.7522009E7</v>
      </c>
      <c r="C4862" s="14">
        <v>7.4275033E7</v>
      </c>
      <c r="D4862" s="2" t="s">
        <v>5180</v>
      </c>
      <c r="E4862" s="1" t="s">
        <v>699</v>
      </c>
      <c r="F4862" s="14">
        <v>-0.7525</v>
      </c>
      <c r="G4862" s="15"/>
      <c r="H4862" s="16"/>
      <c r="I4862" s="14"/>
    </row>
    <row r="4863">
      <c r="A4863" s="14">
        <v>569.0</v>
      </c>
      <c r="B4863" s="14">
        <v>1.7644074E7</v>
      </c>
      <c r="C4863" s="14">
        <v>7.508815E7</v>
      </c>
      <c r="D4863" s="2" t="s">
        <v>5180</v>
      </c>
      <c r="E4863" s="1" t="s">
        <v>699</v>
      </c>
      <c r="F4863" s="14">
        <v>-0.7525</v>
      </c>
      <c r="G4863" s="15"/>
      <c r="H4863" s="16"/>
      <c r="I4863" s="14"/>
    </row>
    <row r="4864">
      <c r="A4864" s="14">
        <v>662.0</v>
      </c>
      <c r="B4864" s="14">
        <v>2.0933481E7</v>
      </c>
      <c r="C4864" s="14">
        <v>8.6771325E7</v>
      </c>
      <c r="D4864" s="2" t="s">
        <v>5180</v>
      </c>
      <c r="E4864" s="1" t="s">
        <v>699</v>
      </c>
      <c r="F4864" s="14">
        <v>-0.7525</v>
      </c>
      <c r="G4864" s="15"/>
      <c r="H4864" s="16"/>
      <c r="I4864" s="14"/>
    </row>
    <row r="4865">
      <c r="A4865" s="14">
        <v>662.0</v>
      </c>
      <c r="B4865" s="14">
        <v>2.676968E7</v>
      </c>
      <c r="C4865" s="14">
        <v>1.08308856E8</v>
      </c>
      <c r="D4865" s="2" t="s">
        <v>5180</v>
      </c>
      <c r="E4865" s="1" t="s">
        <v>699</v>
      </c>
      <c r="F4865" s="14">
        <v>-0.7525</v>
      </c>
      <c r="G4865" s="15"/>
      <c r="H4865" s="16"/>
      <c r="I4865" s="14"/>
    </row>
    <row r="4866">
      <c r="A4866" s="14">
        <v>662.0</v>
      </c>
      <c r="B4866" s="14">
        <v>2.7511637E7</v>
      </c>
      <c r="C4866" s="14">
        <v>1.11067962E8</v>
      </c>
      <c r="D4866" s="2" t="s">
        <v>5180</v>
      </c>
      <c r="E4866" s="1" t="s">
        <v>699</v>
      </c>
      <c r="F4866" s="14">
        <v>-0.7525</v>
      </c>
      <c r="G4866" s="15"/>
      <c r="H4866" s="16"/>
      <c r="I4866" s="14"/>
    </row>
    <row r="4867">
      <c r="A4867" s="14">
        <v>662.0</v>
      </c>
      <c r="B4867" s="14">
        <v>2.8640664E7</v>
      </c>
      <c r="C4867" s="14">
        <v>1.15318651E8</v>
      </c>
      <c r="D4867" s="2" t="s">
        <v>5180</v>
      </c>
      <c r="E4867" s="1" t="s">
        <v>699</v>
      </c>
      <c r="F4867" s="14">
        <v>-0.7525</v>
      </c>
      <c r="G4867" s="15"/>
      <c r="H4867" s="16"/>
      <c r="I4867" s="14"/>
    </row>
    <row r="4868">
      <c r="A4868" s="14">
        <v>662.0</v>
      </c>
      <c r="B4868" s="14">
        <v>3.900107E7</v>
      </c>
      <c r="C4868" s="14">
        <v>1.54604511E8</v>
      </c>
      <c r="D4868" s="2" t="s">
        <v>5180</v>
      </c>
      <c r="E4868" s="1" t="s">
        <v>699</v>
      </c>
      <c r="F4868" s="14">
        <v>-0.7525</v>
      </c>
      <c r="G4868" s="15"/>
      <c r="H4868" s="16"/>
      <c r="I4868" s="14"/>
    </row>
    <row r="4869">
      <c r="A4869" s="14">
        <v>662.0</v>
      </c>
      <c r="B4869" s="14">
        <v>3.9894186E7</v>
      </c>
      <c r="C4869" s="14">
        <v>1.58059768E8</v>
      </c>
      <c r="D4869" s="2" t="s">
        <v>5180</v>
      </c>
      <c r="E4869" s="1" t="s">
        <v>699</v>
      </c>
      <c r="F4869" s="14">
        <v>-0.7525</v>
      </c>
      <c r="G4869" s="15"/>
      <c r="H4869" s="16"/>
      <c r="I4869" s="14"/>
    </row>
    <row r="4870">
      <c r="A4870" s="14">
        <v>662.0</v>
      </c>
      <c r="B4870" s="14">
        <v>4.5669863E7</v>
      </c>
      <c r="C4870" s="14">
        <v>1.80236113E8</v>
      </c>
      <c r="D4870" s="2" t="s">
        <v>5180</v>
      </c>
      <c r="E4870" s="1" t="s">
        <v>699</v>
      </c>
      <c r="F4870" s="14">
        <v>-0.7525</v>
      </c>
      <c r="G4870" s="15"/>
      <c r="H4870" s="16"/>
      <c r="I4870" s="14"/>
    </row>
    <row r="4871">
      <c r="A4871" s="14">
        <v>492.0</v>
      </c>
      <c r="B4871" s="14">
        <v>5.6427221E7</v>
      </c>
      <c r="C4871" s="14">
        <v>2.24324228E8</v>
      </c>
      <c r="D4871" s="2" t="s">
        <v>5180</v>
      </c>
      <c r="E4871" s="1" t="s">
        <v>699</v>
      </c>
      <c r="F4871" s="14">
        <v>-0.7525</v>
      </c>
      <c r="G4871" s="15"/>
      <c r="H4871" s="16"/>
      <c r="I4871" s="14"/>
    </row>
    <row r="4872">
      <c r="A4872" s="14">
        <v>671.0</v>
      </c>
      <c r="B4872" s="14">
        <v>6.1575928E7</v>
      </c>
      <c r="C4872" s="14">
        <v>2.48053722E8</v>
      </c>
      <c r="D4872" s="2" t="s">
        <v>5180</v>
      </c>
      <c r="E4872" s="1" t="s">
        <v>699</v>
      </c>
      <c r="F4872" s="14">
        <v>-0.7525</v>
      </c>
      <c r="G4872" s="15"/>
      <c r="H4872" s="16"/>
      <c r="I4872" s="14"/>
    </row>
    <row r="4873">
      <c r="A4873" s="14">
        <v>129.0</v>
      </c>
      <c r="B4873" s="14">
        <v>7.0402923E7</v>
      </c>
      <c r="C4873" s="14">
        <v>2.90147398E8</v>
      </c>
      <c r="D4873" s="2" t="s">
        <v>5180</v>
      </c>
      <c r="E4873" s="1" t="s">
        <v>699</v>
      </c>
      <c r="F4873" s="14">
        <v>-0.7525</v>
      </c>
      <c r="G4873" s="15"/>
      <c r="H4873" s="16"/>
      <c r="I4873" s="14"/>
    </row>
    <row r="4874">
      <c r="A4874" s="14">
        <v>671.0</v>
      </c>
      <c r="B4874" s="14">
        <v>9.6739204E7</v>
      </c>
      <c r="C4874" s="14">
        <v>4.1279051E8</v>
      </c>
      <c r="D4874" s="2" t="s">
        <v>5180</v>
      </c>
      <c r="E4874" s="1" t="s">
        <v>699</v>
      </c>
      <c r="F4874" s="14">
        <v>-0.7525</v>
      </c>
      <c r="G4874" s="15"/>
      <c r="H4874" s="16"/>
      <c r="I4874" s="14"/>
    </row>
    <row r="4875">
      <c r="A4875" s="14">
        <v>610.0</v>
      </c>
      <c r="B4875" s="14">
        <v>2231707.0</v>
      </c>
      <c r="C4875" s="14">
        <v>9549748.0</v>
      </c>
      <c r="D4875" s="2" t="s">
        <v>5039</v>
      </c>
      <c r="E4875" s="1" t="s">
        <v>121</v>
      </c>
      <c r="F4875" s="14">
        <v>-0.7553</v>
      </c>
      <c r="G4875" s="15"/>
      <c r="H4875" s="16"/>
      <c r="I4875" s="14"/>
    </row>
    <row r="4876">
      <c r="A4876" s="14">
        <v>521.0</v>
      </c>
      <c r="B4876" s="14">
        <v>3.8722206E7</v>
      </c>
      <c r="C4876" s="14">
        <v>1.53670622E8</v>
      </c>
      <c r="D4876" s="2" t="s">
        <v>3419</v>
      </c>
      <c r="E4876" s="1" t="s">
        <v>699</v>
      </c>
      <c r="F4876" s="14">
        <v>-0.7579</v>
      </c>
      <c r="G4876" s="15"/>
      <c r="H4876" s="16"/>
      <c r="I4876" s="14"/>
    </row>
    <row r="4877">
      <c r="A4877" s="14">
        <v>601.0</v>
      </c>
      <c r="B4877" s="14">
        <v>8811484.0</v>
      </c>
      <c r="C4877" s="14">
        <v>3.7402341E7</v>
      </c>
      <c r="D4877" s="2" t="s">
        <v>4490</v>
      </c>
      <c r="E4877" s="1" t="s">
        <v>121</v>
      </c>
      <c r="F4877" s="14">
        <v>-0.7579</v>
      </c>
      <c r="G4877" s="15"/>
      <c r="H4877" s="16"/>
      <c r="I4877" s="14"/>
    </row>
    <row r="4878">
      <c r="A4878" s="14">
        <v>571.0</v>
      </c>
      <c r="B4878" s="14">
        <v>3.7884282E7</v>
      </c>
      <c r="C4878" s="14">
        <v>1.50532929E8</v>
      </c>
      <c r="D4878" s="2" t="s">
        <v>3433</v>
      </c>
      <c r="E4878" s="1" t="s">
        <v>121</v>
      </c>
      <c r="F4878" s="14">
        <v>-0.7579</v>
      </c>
      <c r="G4878" s="15"/>
      <c r="H4878" s="16"/>
      <c r="I4878" s="14"/>
    </row>
    <row r="4879">
      <c r="A4879" s="14">
        <v>610.0</v>
      </c>
      <c r="B4879" s="14">
        <v>7.12932E7</v>
      </c>
      <c r="C4879" s="14">
        <v>2.94249579E8</v>
      </c>
      <c r="D4879" s="2" t="s">
        <v>2162</v>
      </c>
      <c r="E4879" s="1" t="s">
        <v>121</v>
      </c>
      <c r="F4879" s="14">
        <v>-0.7579</v>
      </c>
      <c r="G4879" s="15"/>
      <c r="H4879" s="16"/>
      <c r="I4879" s="14"/>
    </row>
    <row r="4880">
      <c r="A4880" s="14">
        <v>504.0</v>
      </c>
      <c r="B4880" s="14">
        <v>2.1647435E7</v>
      </c>
      <c r="C4880" s="14">
        <v>8.9428313E7</v>
      </c>
      <c r="D4880" s="2" t="s">
        <v>3818</v>
      </c>
      <c r="E4880" s="1" t="s">
        <v>121</v>
      </c>
      <c r="F4880" s="14">
        <v>-0.7599</v>
      </c>
      <c r="G4880" s="15"/>
      <c r="H4880" s="16"/>
      <c r="I4880" s="14"/>
    </row>
    <row r="4881">
      <c r="A4881" s="14">
        <v>671.0</v>
      </c>
      <c r="B4881" s="14">
        <v>5673674.0</v>
      </c>
      <c r="C4881" s="14">
        <v>2.4264128E7</v>
      </c>
      <c r="D4881" s="2" t="s">
        <v>4727</v>
      </c>
      <c r="E4881" s="1" t="s">
        <v>121</v>
      </c>
      <c r="F4881" s="14">
        <v>-0.7601</v>
      </c>
      <c r="G4881" s="15"/>
      <c r="H4881" s="16"/>
      <c r="I4881" s="14"/>
    </row>
    <row r="4882">
      <c r="A4882" s="14">
        <v>597.0</v>
      </c>
      <c r="B4882" s="14">
        <v>7368637.0</v>
      </c>
      <c r="C4882" s="14">
        <v>3.1326408E7</v>
      </c>
      <c r="D4882" s="2" t="s">
        <v>4584</v>
      </c>
      <c r="E4882" s="1" t="s">
        <v>121</v>
      </c>
      <c r="F4882" s="14">
        <v>-0.7606</v>
      </c>
      <c r="G4882" s="15"/>
      <c r="H4882" s="16"/>
      <c r="I4882" s="14"/>
    </row>
    <row r="4883">
      <c r="A4883" s="14">
        <v>395.0</v>
      </c>
      <c r="B4883" s="14">
        <v>1.8024556E7</v>
      </c>
      <c r="C4883" s="14">
        <v>7.5910345E7</v>
      </c>
      <c r="D4883" s="2" t="s">
        <v>3936</v>
      </c>
      <c r="E4883" s="1" t="s">
        <v>121</v>
      </c>
      <c r="F4883" s="14">
        <v>-0.7645</v>
      </c>
      <c r="G4883" s="15"/>
      <c r="H4883" s="16"/>
      <c r="I4883" s="14"/>
    </row>
    <row r="4884">
      <c r="A4884" s="14">
        <v>713.0</v>
      </c>
      <c r="B4884" s="14">
        <v>6.7704024E7</v>
      </c>
      <c r="C4884" s="14">
        <v>2.77801531E8</v>
      </c>
      <c r="D4884" s="2" t="s">
        <v>2358</v>
      </c>
      <c r="E4884" s="1" t="s">
        <v>121</v>
      </c>
      <c r="F4884" s="14">
        <v>-0.765</v>
      </c>
      <c r="G4884" s="15"/>
      <c r="H4884" s="16"/>
      <c r="I4884" s="14"/>
    </row>
    <row r="4885">
      <c r="A4885" s="14">
        <v>244.0</v>
      </c>
      <c r="B4885" s="14">
        <v>9.5520135E7</v>
      </c>
      <c r="C4885" s="14">
        <v>4.06995643E8</v>
      </c>
      <c r="D4885" s="2" t="s">
        <v>851</v>
      </c>
      <c r="E4885" s="1" t="s">
        <v>121</v>
      </c>
      <c r="F4885" s="14">
        <v>-0.765</v>
      </c>
      <c r="G4885" s="15"/>
      <c r="H4885" s="16"/>
      <c r="I4885" s="14"/>
    </row>
    <row r="4886">
      <c r="A4886" s="14">
        <v>698.0</v>
      </c>
      <c r="B4886" s="14">
        <v>4758147.0</v>
      </c>
      <c r="C4886" s="14">
        <v>2.0227629E7</v>
      </c>
      <c r="D4886" s="2" t="s">
        <v>4808</v>
      </c>
      <c r="E4886" s="1" t="s">
        <v>121</v>
      </c>
      <c r="F4886" s="14">
        <v>-0.7707</v>
      </c>
      <c r="G4886" s="15"/>
      <c r="H4886" s="16"/>
      <c r="I4886" s="14"/>
    </row>
    <row r="4887">
      <c r="A4887" s="14">
        <v>421.0</v>
      </c>
      <c r="B4887" s="14">
        <v>8.0551018E7</v>
      </c>
      <c r="C4887" s="14">
        <v>3.37107002E8</v>
      </c>
      <c r="D4887" s="2" t="s">
        <v>1719</v>
      </c>
      <c r="E4887" s="1" t="s">
        <v>121</v>
      </c>
      <c r="F4887" s="14">
        <v>-0.7712</v>
      </c>
      <c r="G4887" s="15"/>
      <c r="H4887" s="16"/>
      <c r="I4887" s="14"/>
    </row>
    <row r="4888">
      <c r="A4888" s="14">
        <v>403.0</v>
      </c>
      <c r="B4888" s="14">
        <v>5302378.0</v>
      </c>
      <c r="C4888" s="14">
        <v>2.2626053E7</v>
      </c>
      <c r="D4888" s="2" t="s">
        <v>4758</v>
      </c>
      <c r="E4888" s="1" t="s">
        <v>121</v>
      </c>
      <c r="F4888" s="14">
        <v>-0.7742</v>
      </c>
      <c r="G4888" s="15"/>
      <c r="H4888" s="16"/>
      <c r="I4888" s="14"/>
    </row>
    <row r="4889">
      <c r="A4889" s="14">
        <v>481.0</v>
      </c>
      <c r="B4889" s="14">
        <v>2208499.0</v>
      </c>
      <c r="C4889" s="14">
        <v>9439108.0</v>
      </c>
      <c r="D4889" s="2" t="s">
        <v>5041</v>
      </c>
      <c r="E4889" s="1" t="s">
        <v>121</v>
      </c>
      <c r="F4889" s="14">
        <v>-0.7753</v>
      </c>
      <c r="G4889" s="15"/>
      <c r="H4889" s="16"/>
      <c r="I4889" s="14"/>
    </row>
    <row r="4890">
      <c r="A4890" s="14">
        <v>410.0</v>
      </c>
      <c r="B4890" s="14">
        <v>3124816.0</v>
      </c>
      <c r="C4890" s="14">
        <v>1.3264285E7</v>
      </c>
      <c r="D4890" s="2" t="s">
        <v>4953</v>
      </c>
      <c r="E4890" s="1" t="s">
        <v>121</v>
      </c>
      <c r="F4890" s="14">
        <v>-0.7762</v>
      </c>
      <c r="G4890" s="15"/>
      <c r="H4890" s="16"/>
      <c r="I4890" s="14"/>
    </row>
    <row r="4891">
      <c r="A4891" s="14">
        <v>602.0</v>
      </c>
      <c r="B4891" s="14">
        <v>6.0205034E7</v>
      </c>
      <c r="C4891" s="14">
        <v>2.41524661E8</v>
      </c>
      <c r="D4891" s="2" t="s">
        <v>2684</v>
      </c>
      <c r="E4891" s="1" t="s">
        <v>121</v>
      </c>
      <c r="F4891" s="14">
        <v>-0.7768</v>
      </c>
      <c r="G4891" s="15"/>
      <c r="H4891" s="16"/>
      <c r="I4891" s="14"/>
    </row>
    <row r="4892">
      <c r="A4892" s="14">
        <v>702.0</v>
      </c>
      <c r="B4892" s="14">
        <v>2.7443589E7</v>
      </c>
      <c r="C4892" s="14">
        <v>1.10870151E8</v>
      </c>
      <c r="D4892" s="2" t="s">
        <v>3664</v>
      </c>
      <c r="E4892" s="1" t="s">
        <v>121</v>
      </c>
      <c r="F4892" s="14">
        <v>-0.7778</v>
      </c>
      <c r="G4892" s="15"/>
      <c r="H4892" s="16"/>
      <c r="I4892" s="14"/>
    </row>
    <row r="4893">
      <c r="A4893" s="14">
        <v>532.0</v>
      </c>
      <c r="B4893" s="14">
        <v>3.3510404E7</v>
      </c>
      <c r="C4893" s="14">
        <v>1.33996502E8</v>
      </c>
      <c r="D4893" s="2" t="s">
        <v>3508</v>
      </c>
      <c r="E4893" s="1" t="s">
        <v>121</v>
      </c>
      <c r="F4893" s="14">
        <v>-0.7783</v>
      </c>
      <c r="G4893" s="15"/>
      <c r="H4893" s="16"/>
      <c r="I4893" s="14"/>
    </row>
    <row r="4894">
      <c r="A4894" s="14">
        <v>656.0</v>
      </c>
      <c r="B4894" s="14">
        <v>5.5141295E7</v>
      </c>
      <c r="C4894" s="14">
        <v>3.75228038E8</v>
      </c>
      <c r="D4894" s="2" t="s">
        <v>2838</v>
      </c>
      <c r="E4894" s="1" t="s">
        <v>121</v>
      </c>
      <c r="F4894" s="14">
        <v>-0.7797</v>
      </c>
      <c r="G4894" s="15"/>
      <c r="H4894" s="16"/>
      <c r="I4894" s="14"/>
    </row>
    <row r="4895">
      <c r="A4895" s="14">
        <v>228.0</v>
      </c>
      <c r="B4895" s="14">
        <v>4273402.0</v>
      </c>
      <c r="C4895" s="14">
        <v>1.8145944E7</v>
      </c>
      <c r="D4895" s="2" t="s">
        <v>4854</v>
      </c>
      <c r="E4895" s="1" t="s">
        <v>121</v>
      </c>
      <c r="F4895" s="14">
        <v>-0.7809</v>
      </c>
      <c r="G4895" s="15"/>
      <c r="H4895" s="16"/>
      <c r="I4895" s="14"/>
    </row>
    <row r="4896">
      <c r="A4896" s="14">
        <v>172.0</v>
      </c>
      <c r="B4896" s="14">
        <v>5.5420283E7</v>
      </c>
      <c r="C4896" s="14">
        <v>2.20095005E8</v>
      </c>
      <c r="D4896" s="2" t="s">
        <v>2831</v>
      </c>
      <c r="E4896" s="1" t="s">
        <v>121</v>
      </c>
      <c r="F4896" s="14">
        <v>-0.7814</v>
      </c>
      <c r="G4896" s="15"/>
      <c r="H4896" s="16"/>
      <c r="I4896" s="14"/>
    </row>
    <row r="4897">
      <c r="A4897" s="14">
        <v>481.0</v>
      </c>
      <c r="B4897" s="14">
        <v>1521417.0</v>
      </c>
      <c r="C4897" s="14">
        <v>6682242.0</v>
      </c>
      <c r="D4897" s="2" t="s">
        <v>5079</v>
      </c>
      <c r="E4897" s="1" t="s">
        <v>121</v>
      </c>
      <c r="F4897" s="14">
        <v>-0.7825</v>
      </c>
      <c r="G4897" s="15"/>
      <c r="H4897" s="16"/>
      <c r="I4897" s="14"/>
    </row>
    <row r="4898">
      <c r="A4898" s="14">
        <v>414.0</v>
      </c>
      <c r="B4898" s="14">
        <v>1.1212831E7</v>
      </c>
      <c r="C4898" s="14">
        <v>4.7650318E7</v>
      </c>
      <c r="D4898" s="2" t="s">
        <v>4302</v>
      </c>
      <c r="E4898" s="1" t="s">
        <v>121</v>
      </c>
      <c r="F4898" s="14">
        <v>-0.7849</v>
      </c>
      <c r="G4898" s="15"/>
      <c r="H4898" s="16"/>
      <c r="I4898" s="14"/>
    </row>
    <row r="4899">
      <c r="A4899" s="14">
        <v>602.0</v>
      </c>
      <c r="B4899" s="14">
        <v>1.1154148E7</v>
      </c>
      <c r="C4899" s="14">
        <v>4.7426471E7</v>
      </c>
      <c r="D4899" s="2" t="s">
        <v>4305</v>
      </c>
      <c r="E4899" s="1" t="s">
        <v>121</v>
      </c>
      <c r="F4899" s="14">
        <v>-0.7854</v>
      </c>
      <c r="G4899" s="15"/>
      <c r="H4899" s="16"/>
      <c r="I4899" s="14"/>
    </row>
    <row r="4900">
      <c r="A4900" s="14">
        <v>392.0</v>
      </c>
      <c r="B4900" s="14">
        <v>5314263.0</v>
      </c>
      <c r="C4900" s="14">
        <v>2.2686844E7</v>
      </c>
      <c r="D4900" s="2" t="s">
        <v>4753</v>
      </c>
      <c r="E4900" s="1" t="s">
        <v>121</v>
      </c>
      <c r="F4900" s="14">
        <v>-0.7876</v>
      </c>
      <c r="G4900" s="15"/>
      <c r="H4900" s="16"/>
      <c r="I4900" s="14"/>
    </row>
    <row r="4901">
      <c r="A4901" s="14">
        <v>403.0</v>
      </c>
      <c r="B4901" s="14">
        <v>5.59383E7</v>
      </c>
      <c r="C4901" s="14">
        <v>2.22219371E8</v>
      </c>
      <c r="D4901" s="2" t="s">
        <v>2816</v>
      </c>
      <c r="E4901" s="1" t="s">
        <v>121</v>
      </c>
      <c r="F4901" s="14">
        <v>-0.7893</v>
      </c>
      <c r="G4901" s="15"/>
      <c r="H4901" s="16"/>
      <c r="I4901" s="14"/>
    </row>
    <row r="4902">
      <c r="A4902" s="14">
        <v>120.0</v>
      </c>
      <c r="B4902" s="14">
        <v>503786.0</v>
      </c>
      <c r="C4902" s="14">
        <v>2403156.0</v>
      </c>
      <c r="D4902" s="2" t="s">
        <v>5158</v>
      </c>
      <c r="E4902" s="1" t="s">
        <v>121</v>
      </c>
      <c r="F4902" s="14">
        <v>-0.7916</v>
      </c>
      <c r="G4902" s="15"/>
      <c r="H4902" s="16"/>
      <c r="I4902" s="14"/>
    </row>
    <row r="4903">
      <c r="A4903" s="14">
        <v>403.0</v>
      </c>
      <c r="B4903" s="14">
        <v>4529865.0</v>
      </c>
      <c r="C4903" s="14">
        <v>1.9213255E7</v>
      </c>
      <c r="D4903" s="2" t="s">
        <v>4822</v>
      </c>
      <c r="E4903" s="1" t="s">
        <v>121</v>
      </c>
      <c r="F4903" s="14">
        <v>-0.7926</v>
      </c>
      <c r="G4903" s="15"/>
      <c r="H4903" s="16"/>
      <c r="I4903" s="14"/>
    </row>
    <row r="4904">
      <c r="A4904" s="14">
        <v>641.0</v>
      </c>
      <c r="B4904" s="14">
        <v>5462209.0</v>
      </c>
      <c r="C4904" s="14">
        <v>2.3396604E7</v>
      </c>
      <c r="D4904" s="2" t="s">
        <v>4742</v>
      </c>
      <c r="E4904" s="1" t="s">
        <v>121</v>
      </c>
      <c r="F4904" s="14">
        <v>-0.7964</v>
      </c>
      <c r="G4904" s="15"/>
      <c r="H4904" s="16"/>
      <c r="I4904" s="14"/>
    </row>
    <row r="4905">
      <c r="A4905" s="14">
        <v>661.0</v>
      </c>
      <c r="B4905" s="14">
        <v>6.9880363E7</v>
      </c>
      <c r="C4905" s="14">
        <v>2.88215652E8</v>
      </c>
      <c r="D4905" s="2" t="s">
        <v>2231</v>
      </c>
      <c r="E4905" s="1" t="s">
        <v>121</v>
      </c>
      <c r="F4905" s="14">
        <v>-0.7971</v>
      </c>
      <c r="G4905" s="15"/>
      <c r="H4905" s="16"/>
      <c r="I4905" s="14"/>
    </row>
    <row r="4906">
      <c r="A4906" s="14">
        <v>414.0</v>
      </c>
      <c r="B4906" s="14">
        <v>1.010583E7</v>
      </c>
      <c r="C4906" s="14">
        <v>4.2874774E7</v>
      </c>
      <c r="D4906" s="2" t="s">
        <v>4392</v>
      </c>
      <c r="E4906" s="1" t="s">
        <v>121</v>
      </c>
      <c r="F4906" s="14">
        <v>-0.7994</v>
      </c>
      <c r="G4906" s="15"/>
      <c r="H4906" s="16"/>
      <c r="I4906" s="14"/>
    </row>
    <row r="4907">
      <c r="A4907" s="14">
        <v>395.0</v>
      </c>
      <c r="B4907" s="14">
        <v>1.3656461E7</v>
      </c>
      <c r="C4907" s="14">
        <v>5.8028518E7</v>
      </c>
      <c r="D4907" s="2" t="s">
        <v>4179</v>
      </c>
      <c r="E4907" s="1" t="s">
        <v>121</v>
      </c>
      <c r="F4907" s="14">
        <v>-0.7996</v>
      </c>
      <c r="G4907" s="15"/>
      <c r="H4907" s="16"/>
      <c r="I4907" s="14"/>
    </row>
    <row r="4908">
      <c r="A4908" s="14">
        <v>571.0</v>
      </c>
      <c r="B4908" s="14">
        <v>4.1418537E7</v>
      </c>
      <c r="C4908" s="14">
        <v>1.64113069E8</v>
      </c>
      <c r="D4908" s="2" t="s">
        <v>3342</v>
      </c>
      <c r="E4908" s="1" t="s">
        <v>121</v>
      </c>
      <c r="F4908" s="14">
        <v>-0.7997</v>
      </c>
      <c r="G4908" s="15"/>
      <c r="H4908" s="16"/>
      <c r="I4908" s="14"/>
    </row>
    <row r="4909">
      <c r="A4909" s="14">
        <v>484.0</v>
      </c>
      <c r="B4909" s="14">
        <v>6.7996283E7</v>
      </c>
      <c r="C4909" s="14">
        <v>2.79121749E8</v>
      </c>
      <c r="D4909" s="2" t="s">
        <v>2340</v>
      </c>
      <c r="E4909" s="1" t="s">
        <v>121</v>
      </c>
      <c r="F4909" s="14">
        <v>-0.802</v>
      </c>
      <c r="G4909" s="15"/>
      <c r="H4909" s="16"/>
      <c r="I4909" s="14"/>
    </row>
    <row r="4910">
      <c r="A4910" s="14">
        <v>488.0</v>
      </c>
      <c r="B4910" s="14">
        <v>8.3710477E7</v>
      </c>
      <c r="C4910" s="14">
        <v>3.52143832E8</v>
      </c>
      <c r="D4910" s="2" t="s">
        <v>1535</v>
      </c>
      <c r="E4910" s="1" t="s">
        <v>121</v>
      </c>
      <c r="F4910" s="14">
        <v>-0.802</v>
      </c>
      <c r="G4910" s="15"/>
      <c r="H4910" s="16"/>
      <c r="I4910" s="14"/>
    </row>
    <row r="4911">
      <c r="A4911" s="14">
        <v>392.0</v>
      </c>
      <c r="B4911" s="14">
        <v>5.4461694E7</v>
      </c>
      <c r="C4911" s="14">
        <v>2.16055362E8</v>
      </c>
      <c r="D4911" s="2" t="s">
        <v>2861</v>
      </c>
      <c r="E4911" s="1" t="s">
        <v>121</v>
      </c>
      <c r="F4911" s="14">
        <v>-0.8021</v>
      </c>
      <c r="G4911" s="15"/>
      <c r="H4911" s="16"/>
      <c r="I4911" s="14"/>
    </row>
    <row r="4912">
      <c r="A4912" s="14">
        <v>341.0</v>
      </c>
      <c r="B4912" s="14">
        <v>8.8681031E7</v>
      </c>
      <c r="C4912" s="14">
        <v>3.75663172E8</v>
      </c>
      <c r="D4912" s="2" t="s">
        <v>1206</v>
      </c>
      <c r="E4912" s="1" t="s">
        <v>121</v>
      </c>
      <c r="F4912" s="14">
        <v>-0.8026</v>
      </c>
      <c r="G4912" s="15"/>
      <c r="H4912" s="16"/>
      <c r="I4912" s="14"/>
    </row>
    <row r="4913">
      <c r="A4913" s="14">
        <v>570.0</v>
      </c>
      <c r="B4913" s="14">
        <v>9.139603E7</v>
      </c>
      <c r="C4913" s="14">
        <v>3.8796277E8</v>
      </c>
      <c r="D4913" s="2" t="s">
        <v>1061</v>
      </c>
      <c r="E4913" s="1" t="s">
        <v>121</v>
      </c>
      <c r="F4913" s="14">
        <v>-0.8059</v>
      </c>
      <c r="G4913" s="15"/>
      <c r="H4913" s="16"/>
      <c r="I4913" s="14"/>
    </row>
    <row r="4914">
      <c r="A4914" s="14">
        <v>409.0</v>
      </c>
      <c r="B4914" s="14">
        <v>2667645.0</v>
      </c>
      <c r="C4914" s="14">
        <v>1.1283762E7</v>
      </c>
      <c r="D4914" s="2" t="s">
        <v>5012</v>
      </c>
      <c r="E4914" s="1" t="s">
        <v>121</v>
      </c>
      <c r="F4914" s="14">
        <v>-0.807</v>
      </c>
      <c r="G4914" s="15"/>
      <c r="H4914" s="16"/>
      <c r="I4914" s="14"/>
    </row>
    <row r="4915">
      <c r="A4915" s="14">
        <v>120.0</v>
      </c>
      <c r="B4915" s="14">
        <v>948007.0</v>
      </c>
      <c r="C4915" s="14">
        <v>4385736.0</v>
      </c>
      <c r="D4915" s="2" t="s">
        <v>5140</v>
      </c>
      <c r="E4915" s="1" t="s">
        <v>121</v>
      </c>
      <c r="F4915" s="14">
        <v>-0.8074</v>
      </c>
      <c r="G4915" s="15"/>
      <c r="H4915" s="16"/>
      <c r="I4915" s="14"/>
    </row>
    <row r="4916">
      <c r="A4916" s="14">
        <v>602.0</v>
      </c>
      <c r="B4916" s="14">
        <v>6002880.0</v>
      </c>
      <c r="C4916" s="14">
        <v>2.554399E7</v>
      </c>
      <c r="D4916" s="2" t="s">
        <v>4711</v>
      </c>
      <c r="E4916" s="1" t="s">
        <v>121</v>
      </c>
      <c r="F4916" s="14">
        <v>-0.8074</v>
      </c>
      <c r="G4916" s="15"/>
      <c r="H4916" s="16"/>
      <c r="I4916" s="14"/>
    </row>
    <row r="4917">
      <c r="A4917" s="14">
        <v>715.0</v>
      </c>
      <c r="B4917" s="14">
        <v>7.1811362E7</v>
      </c>
      <c r="C4917" s="14">
        <v>2.96577548E8</v>
      </c>
      <c r="D4917" s="2" t="s">
        <v>2136</v>
      </c>
      <c r="E4917" s="1" t="s">
        <v>121</v>
      </c>
      <c r="F4917" s="14">
        <v>-0.8091</v>
      </c>
      <c r="G4917" s="15"/>
      <c r="H4917" s="16"/>
      <c r="I4917" s="14"/>
    </row>
    <row r="4918">
      <c r="A4918" s="14">
        <v>406.0</v>
      </c>
      <c r="B4918" s="14">
        <v>9.897435E7</v>
      </c>
      <c r="C4918" s="14">
        <v>4.24079239E8</v>
      </c>
      <c r="D4918" s="2" t="s">
        <v>656</v>
      </c>
      <c r="E4918" s="1" t="s">
        <v>121</v>
      </c>
      <c r="F4918" s="14">
        <v>-0.8108</v>
      </c>
      <c r="G4918" s="15"/>
      <c r="H4918" s="16"/>
      <c r="I4918" s="14"/>
    </row>
    <row r="4919">
      <c r="A4919" s="14">
        <v>320.0</v>
      </c>
      <c r="B4919" s="14">
        <v>6294750.0</v>
      </c>
      <c r="C4919" s="14">
        <v>2.682613E7</v>
      </c>
      <c r="D4919" s="2" t="s">
        <v>4687</v>
      </c>
      <c r="E4919" s="1" t="s">
        <v>121</v>
      </c>
      <c r="F4919" s="14">
        <v>-0.8124</v>
      </c>
      <c r="G4919" s="15"/>
      <c r="H4919" s="16"/>
      <c r="I4919" s="14"/>
    </row>
    <row r="4920">
      <c r="A4920" s="14">
        <v>671.0</v>
      </c>
      <c r="B4920" s="14">
        <v>5.7036792E7</v>
      </c>
      <c r="C4920" s="14">
        <v>2.26987187E8</v>
      </c>
      <c r="D4920" s="2" t="s">
        <v>2784</v>
      </c>
      <c r="E4920" s="1" t="s">
        <v>121</v>
      </c>
      <c r="F4920" s="14">
        <v>-0.8126</v>
      </c>
      <c r="G4920" s="15"/>
      <c r="H4920" s="16"/>
      <c r="I4920" s="14"/>
    </row>
    <row r="4921">
      <c r="A4921" s="14">
        <v>380.0</v>
      </c>
      <c r="B4921" s="14">
        <v>8497404.0</v>
      </c>
      <c r="C4921" s="14">
        <v>3.6019519E7</v>
      </c>
      <c r="D4921" s="2" t="s">
        <v>327</v>
      </c>
      <c r="E4921" s="1" t="s">
        <v>121</v>
      </c>
      <c r="F4921" s="14">
        <v>-0.8176</v>
      </c>
      <c r="G4921" s="15"/>
      <c r="H4921" s="16"/>
      <c r="I4921" s="14"/>
    </row>
    <row r="4922">
      <c r="A4922" s="14">
        <v>484.0</v>
      </c>
      <c r="B4922" s="14">
        <v>7.5316624E7</v>
      </c>
      <c r="C4922" s="14">
        <v>3.12423855E8</v>
      </c>
      <c r="D4922" s="2" t="s">
        <v>482</v>
      </c>
      <c r="E4922" s="1" t="s">
        <v>121</v>
      </c>
      <c r="F4922" s="14">
        <v>-0.8181</v>
      </c>
      <c r="G4922" s="15"/>
      <c r="H4922" s="16"/>
      <c r="I4922" s="14"/>
    </row>
    <row r="4923">
      <c r="A4923" s="14">
        <v>713.0</v>
      </c>
      <c r="B4923" s="14">
        <v>6545715.0</v>
      </c>
      <c r="C4923" s="14">
        <v>2.7985896E7</v>
      </c>
      <c r="D4923" s="2" t="s">
        <v>306</v>
      </c>
      <c r="E4923" s="1" t="s">
        <v>121</v>
      </c>
      <c r="F4923" s="14">
        <v>-0.8221</v>
      </c>
      <c r="G4923" s="15"/>
      <c r="H4923" s="16"/>
      <c r="I4923" s="14"/>
    </row>
    <row r="4924">
      <c r="A4924" s="14">
        <v>715.0</v>
      </c>
      <c r="B4924" s="14">
        <v>6895211.0</v>
      </c>
      <c r="C4924" s="14">
        <v>2.9342272E7</v>
      </c>
      <c r="D4924" s="2" t="s">
        <v>308</v>
      </c>
      <c r="E4924" s="1" t="s">
        <v>121</v>
      </c>
      <c r="F4924" s="14">
        <v>-0.8221</v>
      </c>
      <c r="G4924" s="15"/>
      <c r="H4924" s="16"/>
      <c r="I4924" s="14"/>
    </row>
    <row r="4925">
      <c r="A4925" s="14">
        <v>713.0</v>
      </c>
      <c r="B4925" s="14">
        <v>1.0321917E7</v>
      </c>
      <c r="C4925" s="14">
        <v>4.3866055E7</v>
      </c>
      <c r="D4925" s="2" t="s">
        <v>347</v>
      </c>
      <c r="E4925" s="1" t="s">
        <v>121</v>
      </c>
      <c r="F4925" s="14">
        <v>-0.8221</v>
      </c>
      <c r="G4925" s="15"/>
      <c r="H4925" s="16"/>
      <c r="I4925" s="14"/>
    </row>
    <row r="4926">
      <c r="A4926" s="14">
        <v>492.0</v>
      </c>
      <c r="B4926" s="14">
        <v>3.692741E7</v>
      </c>
      <c r="C4926" s="14">
        <v>1.470747E8</v>
      </c>
      <c r="D4926" s="2" t="s">
        <v>431</v>
      </c>
      <c r="E4926" s="1" t="s">
        <v>121</v>
      </c>
      <c r="F4926" s="14">
        <v>-0.8225</v>
      </c>
      <c r="G4926" s="15"/>
      <c r="H4926" s="16"/>
      <c r="I4926" s="14"/>
    </row>
    <row r="4927">
      <c r="A4927" s="14">
        <v>484.0</v>
      </c>
      <c r="B4927" s="14">
        <v>6.0904479E7</v>
      </c>
      <c r="C4927" s="14">
        <v>2.44852232E8</v>
      </c>
      <c r="D4927" s="2" t="s">
        <v>455</v>
      </c>
      <c r="E4927" s="1" t="s">
        <v>121</v>
      </c>
      <c r="F4927" s="14">
        <v>-0.8227</v>
      </c>
      <c r="G4927" s="15"/>
      <c r="H4927" s="16"/>
      <c r="I4927" s="14"/>
    </row>
    <row r="4928">
      <c r="A4928" s="14">
        <v>671.0</v>
      </c>
      <c r="B4928" s="14">
        <v>3004510.0</v>
      </c>
      <c r="C4928" s="14">
        <v>1.270443E7</v>
      </c>
      <c r="D4928" s="2" t="s">
        <v>204</v>
      </c>
      <c r="E4928" s="1" t="s">
        <v>121</v>
      </c>
      <c r="F4928" s="14">
        <v>-0.8262</v>
      </c>
      <c r="G4928" s="15"/>
      <c r="H4928" s="16"/>
      <c r="I4928" s="14"/>
    </row>
    <row r="4929">
      <c r="A4929" s="14">
        <v>671.0</v>
      </c>
      <c r="B4929" s="14">
        <v>8.346926E7</v>
      </c>
      <c r="C4929" s="14">
        <v>3.5043307E8</v>
      </c>
      <c r="D4929" s="2" t="s">
        <v>505</v>
      </c>
      <c r="E4929" s="1" t="s">
        <v>121</v>
      </c>
      <c r="F4929" s="14">
        <v>-0.8291</v>
      </c>
      <c r="G4929" s="15"/>
      <c r="H4929" s="16"/>
      <c r="I4929" s="14"/>
    </row>
    <row r="4930">
      <c r="A4930" s="14">
        <v>504.0</v>
      </c>
      <c r="B4930" s="14">
        <v>2.2467115E7</v>
      </c>
      <c r="C4930" s="14">
        <v>9.2709485E7</v>
      </c>
      <c r="D4930" s="2" t="s">
        <v>404</v>
      </c>
      <c r="E4930" s="1" t="s">
        <v>121</v>
      </c>
      <c r="F4930" s="14">
        <v>-0.8306</v>
      </c>
      <c r="G4930" s="15"/>
      <c r="H4930" s="16"/>
      <c r="I4930" s="14"/>
    </row>
    <row r="4931">
      <c r="A4931" s="14">
        <v>671.0</v>
      </c>
      <c r="B4931" s="14">
        <v>3.1499314E7</v>
      </c>
      <c r="C4931" s="14">
        <v>1.26327487E8</v>
      </c>
      <c r="D4931" s="2" t="s">
        <v>422</v>
      </c>
      <c r="E4931" s="1" t="s">
        <v>121</v>
      </c>
      <c r="F4931" s="14">
        <v>-0.8316</v>
      </c>
      <c r="G4931" s="15"/>
      <c r="H4931" s="16"/>
      <c r="I4931" s="14"/>
    </row>
    <row r="4932">
      <c r="A4932" s="14">
        <v>586.0</v>
      </c>
      <c r="B4932" s="14">
        <v>7.1562685E7</v>
      </c>
      <c r="C4932" s="14">
        <v>2.95349984E8</v>
      </c>
      <c r="D4932" s="2" t="s">
        <v>473</v>
      </c>
      <c r="E4932" s="1" t="s">
        <v>121</v>
      </c>
      <c r="F4932" s="14">
        <v>-0.8334</v>
      </c>
      <c r="G4932" s="15"/>
      <c r="H4932" s="16"/>
      <c r="I4932" s="14"/>
    </row>
    <row r="4933">
      <c r="A4933" s="14">
        <v>120.0</v>
      </c>
      <c r="B4933" s="14">
        <v>286515.0</v>
      </c>
      <c r="C4933" s="14">
        <v>4673632.0</v>
      </c>
      <c r="D4933" s="2" t="s">
        <v>124</v>
      </c>
      <c r="E4933" s="1" t="s">
        <v>121</v>
      </c>
      <c r="F4933" s="14">
        <v>-0.8338</v>
      </c>
      <c r="G4933" s="15"/>
      <c r="H4933" s="16"/>
      <c r="I4933" s="14"/>
    </row>
    <row r="4934">
      <c r="A4934" s="14">
        <v>235.0</v>
      </c>
      <c r="B4934" s="14">
        <v>549215.0</v>
      </c>
      <c r="C4934" s="14">
        <v>3.2052237E7</v>
      </c>
      <c r="D4934" s="2" t="s">
        <v>313</v>
      </c>
      <c r="E4934" s="1" t="s">
        <v>121</v>
      </c>
      <c r="F4934" s="14">
        <v>-0.8347</v>
      </c>
      <c r="G4934" s="15"/>
      <c r="H4934" s="16"/>
      <c r="I4934" s="14"/>
    </row>
    <row r="4935">
      <c r="A4935" s="14">
        <v>571.0</v>
      </c>
      <c r="B4935" s="14">
        <v>2.539037E7</v>
      </c>
      <c r="C4935" s="14">
        <v>1.03412754E8</v>
      </c>
      <c r="D4935" s="2" t="s">
        <v>412</v>
      </c>
      <c r="E4935" s="1" t="s">
        <v>121</v>
      </c>
      <c r="F4935" s="14">
        <v>-0.8352</v>
      </c>
      <c r="G4935" s="15"/>
      <c r="H4935" s="16"/>
      <c r="I4935" s="14"/>
    </row>
    <row r="4936">
      <c r="A4936" s="14">
        <v>644.0</v>
      </c>
      <c r="B4936" s="14">
        <v>9.3728963E7</v>
      </c>
      <c r="C4936" s="14">
        <v>3.98364727E8</v>
      </c>
      <c r="D4936" s="2" t="s">
        <v>523</v>
      </c>
      <c r="E4936" s="1" t="s">
        <v>121</v>
      </c>
      <c r="F4936" s="14">
        <v>-0.8364</v>
      </c>
      <c r="G4936" s="15"/>
      <c r="H4936" s="16"/>
      <c r="I4936" s="14"/>
    </row>
    <row r="4937">
      <c r="A4937" s="14">
        <v>412.0</v>
      </c>
      <c r="B4937" s="14">
        <v>8.2961169E7</v>
      </c>
      <c r="C4937" s="14">
        <v>3.48680849E8</v>
      </c>
      <c r="D4937" s="2" t="s">
        <v>503</v>
      </c>
      <c r="E4937" s="1" t="s">
        <v>121</v>
      </c>
      <c r="F4937" s="14">
        <v>-0.8414</v>
      </c>
      <c r="G4937" s="15"/>
      <c r="H4937" s="16"/>
      <c r="I4937" s="14"/>
    </row>
    <row r="4938">
      <c r="A4938" s="14">
        <v>712.0</v>
      </c>
      <c r="B4938" s="14">
        <v>1.9733004E7</v>
      </c>
      <c r="C4938" s="14">
        <v>8.2336224E7</v>
      </c>
      <c r="D4938" s="2" t="s">
        <v>393</v>
      </c>
      <c r="E4938" s="1" t="s">
        <v>121</v>
      </c>
      <c r="F4938" s="14">
        <v>-0.8436</v>
      </c>
      <c r="G4938" s="15"/>
      <c r="H4938" s="16"/>
      <c r="I4938" s="14"/>
    </row>
    <row r="4939">
      <c r="A4939" s="14">
        <v>501.0</v>
      </c>
      <c r="B4939" s="14">
        <v>991924.0</v>
      </c>
      <c r="C4939" s="14">
        <v>4558336.0</v>
      </c>
      <c r="D4939" s="2" t="s">
        <v>122</v>
      </c>
      <c r="E4939" s="1" t="s">
        <v>121</v>
      </c>
      <c r="F4939" s="14">
        <v>-0.8439</v>
      </c>
      <c r="G4939" s="15"/>
      <c r="H4939" s="16"/>
      <c r="I4939" s="14"/>
    </row>
    <row r="4940">
      <c r="A4940" s="14">
        <v>715.0</v>
      </c>
      <c r="B4940" s="14">
        <v>7.6827545E7</v>
      </c>
      <c r="C4940" s="14">
        <v>3.18994237E8</v>
      </c>
      <c r="D4940" s="2" t="s">
        <v>487</v>
      </c>
      <c r="E4940" s="1" t="s">
        <v>121</v>
      </c>
      <c r="F4940" s="14">
        <v>-0.8452</v>
      </c>
      <c r="G4940" s="15"/>
      <c r="H4940" s="16"/>
      <c r="I4940" s="14"/>
    </row>
    <row r="4941">
      <c r="A4941" s="14">
        <v>586.0</v>
      </c>
      <c r="B4941" s="14">
        <v>1.2064627E7</v>
      </c>
      <c r="C4941" s="14">
        <v>5.122483E7</v>
      </c>
      <c r="D4941" s="2" t="s">
        <v>358</v>
      </c>
      <c r="E4941" s="1" t="s">
        <v>121</v>
      </c>
      <c r="F4941" s="14">
        <v>-0.8456</v>
      </c>
      <c r="G4941" s="15"/>
      <c r="H4941" s="16"/>
      <c r="I4941" s="14"/>
    </row>
    <row r="4942">
      <c r="A4942" s="14">
        <v>403.0</v>
      </c>
      <c r="B4942" s="14">
        <v>4093154.0</v>
      </c>
      <c r="C4942" s="14">
        <v>1.7339986E7</v>
      </c>
      <c r="D4942" s="2" t="s">
        <v>256</v>
      </c>
      <c r="E4942" s="1" t="s">
        <v>121</v>
      </c>
      <c r="F4942" s="14">
        <v>-0.8461</v>
      </c>
      <c r="G4942" s="15"/>
      <c r="H4942" s="16"/>
      <c r="I4942" s="14"/>
    </row>
    <row r="4943">
      <c r="A4943" s="14">
        <v>609.0</v>
      </c>
      <c r="B4943" s="14">
        <v>1.3055488E7</v>
      </c>
      <c r="C4943" s="14">
        <v>5.5473823E7</v>
      </c>
      <c r="D4943" s="2" t="s">
        <v>365</v>
      </c>
      <c r="E4943" s="1" t="s">
        <v>121</v>
      </c>
      <c r="F4943" s="14">
        <v>-0.8465</v>
      </c>
      <c r="G4943" s="15"/>
      <c r="H4943" s="16"/>
      <c r="I4943" s="14"/>
    </row>
    <row r="4944">
      <c r="A4944" s="14">
        <v>395.0</v>
      </c>
      <c r="B4944" s="14">
        <v>1.8309046E7</v>
      </c>
      <c r="C4944" s="14">
        <v>7.6981547E7</v>
      </c>
      <c r="D4944" s="2" t="s">
        <v>384</v>
      </c>
      <c r="E4944" s="1" t="s">
        <v>121</v>
      </c>
      <c r="F4944" s="14">
        <v>-0.848</v>
      </c>
      <c r="G4944" s="15"/>
      <c r="H4944" s="16"/>
      <c r="I4944" s="14"/>
    </row>
    <row r="4945">
      <c r="A4945" s="14">
        <v>410.0</v>
      </c>
      <c r="B4945" s="14">
        <v>1.01743285E8</v>
      </c>
      <c r="C4945" s="14">
        <v>4.36926807E8</v>
      </c>
      <c r="D4945" s="2" t="s">
        <v>489</v>
      </c>
      <c r="E4945" s="1" t="s">
        <v>121</v>
      </c>
      <c r="F4945" s="14">
        <v>-0.8481</v>
      </c>
      <c r="G4945" s="15"/>
      <c r="H4945" s="16"/>
      <c r="I4945" s="14"/>
    </row>
    <row r="4946">
      <c r="A4946" s="14">
        <v>715.0</v>
      </c>
      <c r="B4946" s="14">
        <v>8915143.0</v>
      </c>
      <c r="C4946" s="14">
        <v>3.7730059E7</v>
      </c>
      <c r="D4946" s="2" t="s">
        <v>333</v>
      </c>
      <c r="E4946" s="1" t="s">
        <v>121</v>
      </c>
      <c r="F4946" s="14">
        <v>-0.8484</v>
      </c>
      <c r="G4946" s="15"/>
      <c r="H4946" s="16"/>
      <c r="I4946" s="14"/>
    </row>
    <row r="4947">
      <c r="A4947" s="14">
        <v>414.0</v>
      </c>
      <c r="B4947" s="14">
        <v>1.3854227E7</v>
      </c>
      <c r="C4947" s="14">
        <v>5.8860212E7</v>
      </c>
      <c r="D4947" s="2" t="s">
        <v>374</v>
      </c>
      <c r="E4947" s="1" t="s">
        <v>121</v>
      </c>
      <c r="F4947" s="14">
        <v>-0.8496</v>
      </c>
      <c r="G4947" s="15"/>
      <c r="H4947" s="16"/>
      <c r="I4947" s="14"/>
    </row>
    <row r="4948">
      <c r="A4948" s="14">
        <v>421.0</v>
      </c>
      <c r="B4948" s="14">
        <v>7.9907421E7</v>
      </c>
      <c r="C4948" s="14">
        <v>3.3386179E8</v>
      </c>
      <c r="D4948" s="2" t="s">
        <v>494</v>
      </c>
      <c r="E4948" s="1" t="s">
        <v>121</v>
      </c>
      <c r="F4948" s="14">
        <v>-0.851</v>
      </c>
      <c r="G4948" s="15"/>
      <c r="H4948" s="16"/>
      <c r="I4948" s="14"/>
    </row>
    <row r="4949">
      <c r="A4949" s="14">
        <v>397.0</v>
      </c>
      <c r="B4949" s="14">
        <v>2459079.0</v>
      </c>
      <c r="C4949" s="14">
        <v>1.0435246E7</v>
      </c>
      <c r="D4949" s="2" t="s">
        <v>181</v>
      </c>
      <c r="E4949" s="1" t="s">
        <v>121</v>
      </c>
      <c r="F4949" s="14">
        <v>-0.8519</v>
      </c>
      <c r="G4949" s="15"/>
      <c r="H4949" s="16"/>
      <c r="I4949" s="14"/>
    </row>
    <row r="4950">
      <c r="A4950" s="14">
        <v>197.0</v>
      </c>
      <c r="B4950" s="14">
        <v>221642.0</v>
      </c>
      <c r="C4950" s="14">
        <v>919068.0</v>
      </c>
      <c r="D4950" s="2" t="s">
        <v>83</v>
      </c>
      <c r="E4950" s="1" t="s">
        <v>121</v>
      </c>
      <c r="F4950" s="14">
        <v>-0.8521</v>
      </c>
      <c r="G4950" s="15"/>
      <c r="H4950" s="16"/>
      <c r="I4950" s="14"/>
    </row>
    <row r="4951">
      <c r="A4951" s="14">
        <v>716.0</v>
      </c>
      <c r="B4951" s="14">
        <v>2.0983185E7</v>
      </c>
      <c r="C4951" s="14">
        <v>8.7103939E7</v>
      </c>
      <c r="D4951" s="2" t="s">
        <v>399</v>
      </c>
      <c r="E4951" s="1" t="s">
        <v>121</v>
      </c>
      <c r="F4951" s="14">
        <v>-0.8524</v>
      </c>
      <c r="G4951" s="15"/>
      <c r="H4951" s="16"/>
      <c r="I4951" s="14"/>
    </row>
    <row r="4952">
      <c r="A4952" s="14">
        <v>671.0</v>
      </c>
      <c r="B4952" s="14">
        <v>2.0383115E7</v>
      </c>
      <c r="C4952" s="14">
        <v>8.4880782E7</v>
      </c>
      <c r="D4952" s="2" t="s">
        <v>395</v>
      </c>
      <c r="E4952" s="1" t="s">
        <v>121</v>
      </c>
      <c r="F4952" s="14">
        <v>-0.8556</v>
      </c>
      <c r="G4952" s="15"/>
      <c r="H4952" s="16"/>
      <c r="I4952" s="14"/>
    </row>
    <row r="4953">
      <c r="A4953" s="14">
        <v>609.0</v>
      </c>
      <c r="B4953" s="14">
        <v>2.3084641E7</v>
      </c>
      <c r="C4953" s="14">
        <v>9.5198267E7</v>
      </c>
      <c r="D4953" s="2" t="s">
        <v>3774</v>
      </c>
      <c r="E4953" s="1" t="s">
        <v>121</v>
      </c>
      <c r="F4953" s="14">
        <v>-0.8573</v>
      </c>
      <c r="G4953" s="15"/>
      <c r="H4953" s="16"/>
      <c r="I4953" s="14"/>
    </row>
    <row r="4954">
      <c r="A4954" s="14">
        <v>608.0</v>
      </c>
      <c r="B4954" s="14">
        <v>2.6283453E7</v>
      </c>
      <c r="C4954" s="14">
        <v>1.06397018E8</v>
      </c>
      <c r="D4954" s="2" t="s">
        <v>414</v>
      </c>
      <c r="E4954" s="1" t="s">
        <v>121</v>
      </c>
      <c r="F4954" s="14">
        <v>-0.8573</v>
      </c>
      <c r="G4954" s="15"/>
      <c r="H4954" s="16"/>
      <c r="I4954" s="14"/>
    </row>
    <row r="4955">
      <c r="A4955" s="14">
        <v>601.0</v>
      </c>
      <c r="B4955" s="14">
        <v>4.7833263E7</v>
      </c>
      <c r="C4955" s="14">
        <v>1.88995231E8</v>
      </c>
      <c r="D4955" s="2" t="s">
        <v>440</v>
      </c>
      <c r="E4955" s="1" t="s">
        <v>121</v>
      </c>
      <c r="F4955" s="14">
        <v>-0.8587</v>
      </c>
      <c r="G4955" s="15"/>
      <c r="H4955" s="16"/>
      <c r="I4955" s="14"/>
    </row>
    <row r="4956">
      <c r="A4956" s="14">
        <v>716.0</v>
      </c>
      <c r="B4956" s="14">
        <v>1.3602322E7</v>
      </c>
      <c r="C4956" s="14">
        <v>5.7713975E7</v>
      </c>
      <c r="D4956" s="2" t="s">
        <v>368</v>
      </c>
      <c r="E4956" s="1" t="s">
        <v>121</v>
      </c>
      <c r="F4956" s="14">
        <v>-0.861</v>
      </c>
      <c r="G4956" s="15"/>
      <c r="H4956" s="16"/>
      <c r="I4956" s="14"/>
    </row>
    <row r="4957">
      <c r="A4957" s="14">
        <v>645.0</v>
      </c>
      <c r="B4957" s="14">
        <v>4320486.0</v>
      </c>
      <c r="C4957" s="14">
        <v>1.8310476E7</v>
      </c>
      <c r="D4957" s="2" t="s">
        <v>258</v>
      </c>
      <c r="E4957" s="1" t="s">
        <v>121</v>
      </c>
      <c r="F4957" s="14">
        <v>-0.8625</v>
      </c>
      <c r="G4957" s="15"/>
      <c r="H4957" s="16"/>
      <c r="I4957" s="14"/>
    </row>
    <row r="4958">
      <c r="A4958" s="14">
        <v>671.0</v>
      </c>
      <c r="B4958" s="14">
        <v>4.501984E7</v>
      </c>
      <c r="C4958" s="14">
        <v>1.77698539E8</v>
      </c>
      <c r="D4958" s="2" t="s">
        <v>434</v>
      </c>
      <c r="E4958" s="1" t="s">
        <v>121</v>
      </c>
      <c r="F4958" s="14">
        <v>-0.8658</v>
      </c>
      <c r="G4958" s="15"/>
      <c r="H4958" s="16"/>
      <c r="I4958" s="14"/>
    </row>
    <row r="4959">
      <c r="A4959" s="14">
        <v>716.0</v>
      </c>
      <c r="B4959" s="14">
        <v>6.2211772E7</v>
      </c>
      <c r="C4959" s="14">
        <v>2.51150448E8</v>
      </c>
      <c r="D4959" s="2" t="s">
        <v>459</v>
      </c>
      <c r="E4959" s="1" t="s">
        <v>121</v>
      </c>
      <c r="F4959" s="14">
        <v>-0.8658</v>
      </c>
      <c r="G4959" s="15"/>
      <c r="H4959" s="16"/>
      <c r="I4959" s="14"/>
    </row>
    <row r="4960">
      <c r="A4960" s="14">
        <v>642.0</v>
      </c>
      <c r="B4960" s="14">
        <v>1.1277686E8</v>
      </c>
      <c r="C4960" s="14">
        <v>4.89775138E8</v>
      </c>
      <c r="D4960" s="2" t="s">
        <v>19</v>
      </c>
      <c r="E4960" s="1" t="s">
        <v>121</v>
      </c>
      <c r="F4960" s="14">
        <v>-0.8658</v>
      </c>
      <c r="G4960" s="15"/>
      <c r="H4960" s="16"/>
      <c r="I4960" s="14"/>
    </row>
    <row r="4961">
      <c r="A4961" s="14">
        <v>674.0</v>
      </c>
      <c r="B4961" s="14">
        <v>6.3120806E7</v>
      </c>
      <c r="C4961" s="14">
        <v>2.55723931E8</v>
      </c>
      <c r="D4961" s="2" t="s">
        <v>463</v>
      </c>
      <c r="E4961" s="1" t="s">
        <v>121</v>
      </c>
      <c r="F4961" s="14">
        <v>-0.8677</v>
      </c>
      <c r="G4961" s="15"/>
      <c r="H4961" s="16"/>
      <c r="I4961" s="14"/>
    </row>
    <row r="4962">
      <c r="A4962" s="14">
        <v>571.0</v>
      </c>
      <c r="B4962" s="14">
        <v>3.5440023E7</v>
      </c>
      <c r="C4962" s="14">
        <v>1.41855211E8</v>
      </c>
      <c r="D4962" s="2" t="s">
        <v>429</v>
      </c>
      <c r="E4962" s="1" t="s">
        <v>121</v>
      </c>
      <c r="F4962" s="14">
        <v>-0.8699</v>
      </c>
      <c r="G4962" s="15"/>
      <c r="H4962" s="16"/>
      <c r="I4962" s="14"/>
    </row>
    <row r="4963">
      <c r="A4963" s="14">
        <v>414.0</v>
      </c>
      <c r="B4963" s="14">
        <v>5.3479118E7</v>
      </c>
      <c r="C4963" s="14">
        <v>2.1220671E8</v>
      </c>
      <c r="D4963" s="2" t="s">
        <v>449</v>
      </c>
      <c r="E4963" s="1" t="s">
        <v>121</v>
      </c>
      <c r="F4963" s="14">
        <v>-0.8723</v>
      </c>
      <c r="G4963" s="15"/>
      <c r="H4963" s="16"/>
      <c r="I4963" s="14"/>
    </row>
    <row r="4964">
      <c r="A4964" s="14">
        <v>173.0</v>
      </c>
      <c r="B4964" s="14">
        <v>1301511.0</v>
      </c>
      <c r="C4964" s="14">
        <v>5810032.0</v>
      </c>
      <c r="D4964" s="2" t="s">
        <v>136</v>
      </c>
      <c r="E4964" s="1" t="s">
        <v>121</v>
      </c>
      <c r="F4964" s="14">
        <v>-0.8739</v>
      </c>
      <c r="G4964" s="15"/>
      <c r="H4964" s="16"/>
      <c r="I4964" s="14"/>
    </row>
    <row r="4965">
      <c r="A4965" s="14">
        <v>609.0</v>
      </c>
      <c r="B4965" s="14">
        <v>3080964.0</v>
      </c>
      <c r="C4965" s="14">
        <v>1.3026536E7</v>
      </c>
      <c r="D4965" s="2" t="s">
        <v>209</v>
      </c>
      <c r="E4965" s="1" t="s">
        <v>121</v>
      </c>
      <c r="F4965" s="14">
        <v>-0.8764</v>
      </c>
      <c r="G4965" s="15"/>
      <c r="H4965" s="16"/>
      <c r="I4965" s="14"/>
    </row>
    <row r="4966">
      <c r="A4966" s="14">
        <v>602.0</v>
      </c>
      <c r="B4966" s="14">
        <v>4.7538626E7</v>
      </c>
      <c r="C4966" s="14">
        <v>1.878145E8</v>
      </c>
      <c r="D4966" s="2" t="s">
        <v>437</v>
      </c>
      <c r="E4966" s="1" t="s">
        <v>121</v>
      </c>
      <c r="F4966" s="14">
        <v>-0.8765</v>
      </c>
      <c r="G4966" s="15"/>
      <c r="H4966" s="16"/>
      <c r="I4966" s="14"/>
    </row>
    <row r="4967">
      <c r="A4967" s="14">
        <v>608.0</v>
      </c>
      <c r="B4967" s="14">
        <v>4872398.0</v>
      </c>
      <c r="C4967" s="14">
        <v>2.0702017E7</v>
      </c>
      <c r="D4967" s="2" t="s">
        <v>274</v>
      </c>
      <c r="E4967" s="1" t="s">
        <v>121</v>
      </c>
      <c r="F4967" s="14">
        <v>-0.8824</v>
      </c>
      <c r="G4967" s="15"/>
      <c r="H4967" s="16"/>
      <c r="I4967" s="14"/>
    </row>
    <row r="4968">
      <c r="A4968" s="14">
        <v>120.0</v>
      </c>
      <c r="B4968" s="14">
        <v>173382.0</v>
      </c>
      <c r="C4968" s="14">
        <v>984067.0</v>
      </c>
      <c r="D4968" s="2" t="s">
        <v>85</v>
      </c>
      <c r="E4968" s="1" t="s">
        <v>121</v>
      </c>
      <c r="F4968" s="14">
        <v>-0.8833</v>
      </c>
      <c r="G4968" s="15"/>
      <c r="H4968" s="16"/>
      <c r="I4968" s="14"/>
    </row>
    <row r="4969">
      <c r="A4969" s="14">
        <v>702.0</v>
      </c>
      <c r="B4969" s="14">
        <v>3.2495468E7</v>
      </c>
      <c r="C4969" s="14">
        <v>1.30160841E8</v>
      </c>
      <c r="D4969" s="2" t="s">
        <v>425</v>
      </c>
      <c r="E4969" s="1" t="s">
        <v>121</v>
      </c>
      <c r="F4969" s="14">
        <v>-0.8857</v>
      </c>
      <c r="G4969" s="15"/>
      <c r="H4969" s="16"/>
      <c r="I4969" s="14"/>
    </row>
    <row r="4970">
      <c r="A4970" s="14">
        <v>129.0</v>
      </c>
      <c r="B4970" s="14">
        <v>5154920.0</v>
      </c>
      <c r="C4970" s="14">
        <v>2.1970723E7</v>
      </c>
      <c r="D4970" s="2" t="s">
        <v>283</v>
      </c>
      <c r="E4970" s="1" t="s">
        <v>121</v>
      </c>
      <c r="F4970" s="14">
        <v>-0.8873</v>
      </c>
      <c r="G4970" s="15"/>
      <c r="H4970" s="16"/>
      <c r="I4970" s="14"/>
    </row>
    <row r="4971">
      <c r="A4971" s="14">
        <v>673.0</v>
      </c>
      <c r="B4971" s="14">
        <v>7822113.0</v>
      </c>
      <c r="C4971" s="14">
        <v>3.3223591E7</v>
      </c>
      <c r="D4971" s="2" t="s">
        <v>319</v>
      </c>
      <c r="E4971" s="1" t="s">
        <v>121</v>
      </c>
      <c r="F4971" s="14">
        <v>-0.8888</v>
      </c>
      <c r="G4971" s="15"/>
      <c r="H4971" s="16"/>
      <c r="I4971" s="14"/>
    </row>
    <row r="4972">
      <c r="A4972" s="14">
        <v>571.0</v>
      </c>
      <c r="B4972" s="14">
        <v>7.7961486E7</v>
      </c>
      <c r="C4972" s="14">
        <v>3.24505112E8</v>
      </c>
      <c r="D4972" s="2" t="s">
        <v>490</v>
      </c>
      <c r="E4972" s="1" t="s">
        <v>121</v>
      </c>
      <c r="F4972" s="14">
        <v>-0.8923</v>
      </c>
      <c r="G4972" s="15"/>
      <c r="H4972" s="16"/>
      <c r="I4972" s="14"/>
    </row>
    <row r="4973">
      <c r="A4973" s="14">
        <v>384.0</v>
      </c>
      <c r="B4973" s="14">
        <v>2361212.0</v>
      </c>
      <c r="C4973" s="14">
        <v>1.0029788E7</v>
      </c>
      <c r="D4973" s="2" t="s">
        <v>175</v>
      </c>
      <c r="E4973" s="1" t="s">
        <v>121</v>
      </c>
      <c r="F4973" s="14">
        <v>-0.893</v>
      </c>
      <c r="G4973" s="15"/>
      <c r="H4973" s="16"/>
      <c r="I4973" s="14"/>
    </row>
    <row r="4974">
      <c r="A4974" s="14">
        <v>673.0</v>
      </c>
      <c r="B4974" s="14">
        <v>9662853.0</v>
      </c>
      <c r="C4974" s="14">
        <v>4.1212314E7</v>
      </c>
      <c r="D4974" s="2" t="s">
        <v>340</v>
      </c>
      <c r="E4974" s="1" t="s">
        <v>121</v>
      </c>
      <c r="F4974" s="14">
        <v>-0.8945</v>
      </c>
      <c r="G4974" s="15"/>
      <c r="H4974" s="16"/>
      <c r="I4974" s="14"/>
    </row>
    <row r="4975">
      <c r="A4975" s="14">
        <v>120.0</v>
      </c>
      <c r="B4975" s="14">
        <v>558201.0</v>
      </c>
      <c r="C4975" s="14">
        <v>2686933.0</v>
      </c>
      <c r="D4975" s="2" t="s">
        <v>97</v>
      </c>
      <c r="E4975" s="1" t="s">
        <v>121</v>
      </c>
      <c r="F4975" s="14">
        <v>-0.8955</v>
      </c>
      <c r="G4975" s="15"/>
      <c r="H4975" s="16"/>
      <c r="I4975" s="14"/>
    </row>
    <row r="4976">
      <c r="A4976" s="14">
        <v>571.0</v>
      </c>
      <c r="B4976" s="14">
        <v>7383713.0</v>
      </c>
      <c r="C4976" s="14">
        <v>3.15089E7</v>
      </c>
      <c r="D4976" s="2" t="s">
        <v>311</v>
      </c>
      <c r="E4976" s="1" t="s">
        <v>121</v>
      </c>
      <c r="F4976" s="14">
        <v>-0.9001</v>
      </c>
      <c r="G4976" s="15"/>
      <c r="H4976" s="16"/>
      <c r="I4976" s="14"/>
    </row>
    <row r="4977">
      <c r="A4977" s="14">
        <v>180.0</v>
      </c>
      <c r="B4977" s="14">
        <v>3087208.0</v>
      </c>
      <c r="C4977" s="14">
        <v>1.3085682E7</v>
      </c>
      <c r="D4977" s="2" t="s">
        <v>216</v>
      </c>
      <c r="E4977" s="1" t="s">
        <v>121</v>
      </c>
      <c r="F4977" s="14">
        <v>-0.9009</v>
      </c>
      <c r="G4977" s="15"/>
      <c r="H4977" s="16"/>
      <c r="I4977" s="14"/>
    </row>
    <row r="4978">
      <c r="A4978" s="14">
        <v>694.0</v>
      </c>
      <c r="B4978" s="14">
        <v>1.5144782E7</v>
      </c>
      <c r="C4978" s="14">
        <v>6.4370063E7</v>
      </c>
      <c r="D4978" s="2" t="s">
        <v>378</v>
      </c>
      <c r="E4978" s="1" t="s">
        <v>121</v>
      </c>
      <c r="F4978" s="14">
        <v>-0.902</v>
      </c>
      <c r="G4978" s="15"/>
      <c r="H4978" s="16"/>
      <c r="I4978" s="14"/>
    </row>
    <row r="4979">
      <c r="A4979" s="14">
        <v>414.0</v>
      </c>
      <c r="B4979" s="14">
        <v>1.8583508E7</v>
      </c>
      <c r="C4979" s="14">
        <v>7.7914363E7</v>
      </c>
      <c r="D4979" s="2" t="s">
        <v>387</v>
      </c>
      <c r="E4979" s="1" t="s">
        <v>121</v>
      </c>
      <c r="F4979" s="14">
        <v>-0.9062</v>
      </c>
      <c r="G4979" s="15"/>
      <c r="H4979" s="16"/>
      <c r="I4979" s="14"/>
    </row>
    <row r="4980">
      <c r="A4980" s="14">
        <v>319.0</v>
      </c>
      <c r="B4980" s="14">
        <v>6.6600767E7</v>
      </c>
      <c r="C4980" s="14">
        <v>2.72241067E8</v>
      </c>
      <c r="D4980" s="2" t="s">
        <v>467</v>
      </c>
      <c r="E4980" s="1" t="s">
        <v>121</v>
      </c>
      <c r="F4980" s="14">
        <v>-0.9087</v>
      </c>
      <c r="G4980" s="15"/>
      <c r="H4980" s="16"/>
      <c r="I4980" s="14"/>
    </row>
    <row r="4981">
      <c r="A4981" s="14">
        <v>593.0</v>
      </c>
      <c r="B4981" s="14">
        <v>8.7711181E7</v>
      </c>
      <c r="C4981" s="14">
        <v>3.71007716E8</v>
      </c>
      <c r="D4981" s="2" t="s">
        <v>514</v>
      </c>
      <c r="E4981" s="1" t="s">
        <v>121</v>
      </c>
      <c r="F4981" s="14">
        <v>-0.9095</v>
      </c>
      <c r="G4981" s="15"/>
      <c r="H4981" s="16"/>
      <c r="I4981" s="14"/>
    </row>
    <row r="4982">
      <c r="A4982" s="14">
        <v>677.0</v>
      </c>
      <c r="B4982" s="14">
        <v>5.4688982E7</v>
      </c>
      <c r="C4982" s="14">
        <v>2.17040742E8</v>
      </c>
      <c r="D4982" s="2" t="s">
        <v>451</v>
      </c>
      <c r="E4982" s="1" t="s">
        <v>121</v>
      </c>
      <c r="F4982" s="14">
        <v>-0.9112</v>
      </c>
      <c r="G4982" s="15"/>
      <c r="H4982" s="16"/>
      <c r="I4982" s="14"/>
    </row>
    <row r="4983">
      <c r="A4983" s="14">
        <v>355.0</v>
      </c>
      <c r="B4983" s="14">
        <v>1.9185364E7</v>
      </c>
      <c r="C4983" s="14">
        <v>8.0311945E7</v>
      </c>
      <c r="D4983" s="2" t="s">
        <v>389</v>
      </c>
      <c r="E4983" s="1" t="s">
        <v>121</v>
      </c>
      <c r="F4983" s="14">
        <v>-0.9114</v>
      </c>
      <c r="G4983" s="15"/>
      <c r="H4983" s="16"/>
      <c r="I4983" s="14"/>
    </row>
    <row r="4984">
      <c r="A4984" s="14">
        <v>586.0</v>
      </c>
      <c r="B4984" s="14">
        <v>3.0395875E7</v>
      </c>
      <c r="C4984" s="14">
        <v>1.21877693E8</v>
      </c>
      <c r="D4984" s="2" t="s">
        <v>420</v>
      </c>
      <c r="E4984" s="1" t="s">
        <v>121</v>
      </c>
      <c r="F4984" s="14">
        <v>-0.9139</v>
      </c>
      <c r="G4984" s="15"/>
      <c r="H4984" s="16"/>
      <c r="I4984" s="14"/>
    </row>
    <row r="4985">
      <c r="A4985" s="14">
        <v>120.0</v>
      </c>
      <c r="B4985" s="14">
        <v>217436.0</v>
      </c>
      <c r="C4985" s="14">
        <v>898532.0</v>
      </c>
      <c r="D4985" s="2" t="s">
        <v>81</v>
      </c>
      <c r="E4985" s="1" t="s">
        <v>121</v>
      </c>
      <c r="F4985" s="14">
        <v>-0.9153</v>
      </c>
      <c r="G4985" s="15"/>
      <c r="H4985" s="16"/>
      <c r="I4985" s="14"/>
    </row>
    <row r="4986">
      <c r="A4986" s="14">
        <v>484.0</v>
      </c>
      <c r="B4986" s="14">
        <v>4189191.0</v>
      </c>
      <c r="C4986" s="14">
        <v>4.44069068E8</v>
      </c>
      <c r="D4986" s="2" t="s">
        <v>539</v>
      </c>
      <c r="E4986" s="1" t="s">
        <v>121</v>
      </c>
      <c r="F4986" s="14">
        <v>-0.9158</v>
      </c>
      <c r="G4986" s="15"/>
      <c r="H4986" s="16"/>
      <c r="I4986" s="14"/>
    </row>
    <row r="4987">
      <c r="A4987" s="14">
        <v>531.0</v>
      </c>
      <c r="B4987" s="14">
        <v>1.12905822E8</v>
      </c>
      <c r="C4987" s="14">
        <v>4.90563386E8</v>
      </c>
      <c r="D4987" s="2" t="s">
        <v>14</v>
      </c>
      <c r="E4987" s="1" t="s">
        <v>121</v>
      </c>
      <c r="F4987" s="14">
        <v>-0.9168</v>
      </c>
      <c r="G4987" s="15"/>
      <c r="H4987" s="16"/>
      <c r="I4987" s="14"/>
    </row>
    <row r="4988">
      <c r="A4988" s="14">
        <v>696.0</v>
      </c>
      <c r="B4988" s="14">
        <v>8.5490724E7</v>
      </c>
      <c r="C4988" s="14">
        <v>3.60434936E8</v>
      </c>
      <c r="D4988" s="2" t="s">
        <v>508</v>
      </c>
      <c r="E4988" s="1" t="s">
        <v>121</v>
      </c>
      <c r="F4988" s="14">
        <v>-0.9198</v>
      </c>
      <c r="G4988" s="15"/>
      <c r="H4988" s="16"/>
      <c r="I4988" s="14"/>
    </row>
    <row r="4989">
      <c r="A4989" s="14">
        <v>601.0</v>
      </c>
      <c r="B4989" s="14">
        <v>3312797.0</v>
      </c>
      <c r="C4989" s="14">
        <v>1.4044605E7</v>
      </c>
      <c r="D4989" s="2" t="s">
        <v>229</v>
      </c>
      <c r="E4989" s="1" t="s">
        <v>121</v>
      </c>
      <c r="F4989" s="14">
        <v>-0.9209</v>
      </c>
      <c r="G4989" s="15"/>
      <c r="H4989" s="16"/>
      <c r="I4989" s="14"/>
    </row>
    <row r="4990">
      <c r="A4990" s="14">
        <v>571.0</v>
      </c>
      <c r="B4990" s="14">
        <v>5.2590194E7</v>
      </c>
      <c r="C4990" s="14">
        <v>2.085513E8</v>
      </c>
      <c r="D4990" s="2" t="s">
        <v>447</v>
      </c>
      <c r="E4990" s="1" t="s">
        <v>121</v>
      </c>
      <c r="F4990" s="14">
        <v>-0.9287</v>
      </c>
      <c r="G4990" s="15"/>
      <c r="H4990" s="16"/>
      <c r="I4990" s="14"/>
    </row>
    <row r="4991">
      <c r="A4991" s="14">
        <v>498.0</v>
      </c>
      <c r="B4991" s="14">
        <v>7.6321781E7</v>
      </c>
      <c r="C4991" s="14">
        <v>3.18752916E8</v>
      </c>
      <c r="D4991" s="2" t="s">
        <v>485</v>
      </c>
      <c r="E4991" s="1" t="s">
        <v>121</v>
      </c>
      <c r="F4991" s="14">
        <v>-0.9403</v>
      </c>
      <c r="G4991" s="15"/>
      <c r="H4991" s="16"/>
      <c r="I4991" s="14"/>
    </row>
    <row r="4992">
      <c r="A4992" s="14">
        <v>702.0</v>
      </c>
      <c r="B4992" s="14">
        <v>2.2000003E7</v>
      </c>
      <c r="C4992" s="14">
        <v>9.0921141E7</v>
      </c>
      <c r="D4992" s="2" t="s">
        <v>402</v>
      </c>
      <c r="E4992" s="1" t="s">
        <v>121</v>
      </c>
      <c r="F4992" s="14">
        <v>-0.9422</v>
      </c>
      <c r="G4992" s="15"/>
      <c r="H4992" s="16"/>
      <c r="I4992" s="14"/>
    </row>
    <row r="4993">
      <c r="A4993" s="14">
        <v>531.0</v>
      </c>
      <c r="B4993" s="14">
        <v>9.2067753E7</v>
      </c>
      <c r="C4993" s="14">
        <v>3.91759252E8</v>
      </c>
      <c r="D4993" s="2" t="s">
        <v>520</v>
      </c>
      <c r="E4993" s="1" t="s">
        <v>121</v>
      </c>
      <c r="F4993" s="14">
        <v>-0.9427</v>
      </c>
      <c r="G4993" s="15"/>
      <c r="H4993" s="16"/>
      <c r="I4993" s="14"/>
    </row>
    <row r="4994">
      <c r="A4994" s="14">
        <v>619.0</v>
      </c>
      <c r="B4994" s="14">
        <v>2.8751467E7</v>
      </c>
      <c r="C4994" s="14">
        <v>1.1572431E8</v>
      </c>
      <c r="D4994" s="2" t="s">
        <v>3619</v>
      </c>
      <c r="E4994" s="1" t="s">
        <v>121</v>
      </c>
      <c r="F4994" s="14">
        <v>-0.9553</v>
      </c>
      <c r="G4994" s="15"/>
      <c r="H4994" s="16"/>
      <c r="I4994" s="14"/>
    </row>
    <row r="4995">
      <c r="A4995" s="14">
        <v>694.0</v>
      </c>
      <c r="B4995" s="14">
        <v>3.3970149E7</v>
      </c>
      <c r="C4995" s="14">
        <v>1.35787442E8</v>
      </c>
      <c r="D4995" s="2" t="s">
        <v>427</v>
      </c>
      <c r="E4995" s="1" t="s">
        <v>121</v>
      </c>
      <c r="F4995" s="14">
        <v>-0.9554</v>
      </c>
      <c r="G4995" s="15"/>
      <c r="H4995" s="16"/>
      <c r="I4995" s="14"/>
    </row>
    <row r="4996">
      <c r="A4996" s="14">
        <v>228.0</v>
      </c>
      <c r="B4996" s="14">
        <v>276960.0</v>
      </c>
      <c r="C4996" s="14">
        <v>3416745.0</v>
      </c>
      <c r="D4996" s="2" t="s">
        <v>109</v>
      </c>
      <c r="E4996" s="1" t="s">
        <v>121</v>
      </c>
      <c r="F4996" s="14">
        <v>-0.9629</v>
      </c>
      <c r="G4996" s="15"/>
      <c r="H4996" s="16"/>
      <c r="I4996" s="14"/>
    </row>
    <row r="4997">
      <c r="A4997" s="14">
        <v>671.0</v>
      </c>
      <c r="B4997" s="14">
        <v>8022684.0</v>
      </c>
      <c r="C4997" s="14">
        <v>3.3985284E7</v>
      </c>
      <c r="D4997" s="2" t="s">
        <v>322</v>
      </c>
      <c r="E4997" s="1" t="s">
        <v>121</v>
      </c>
      <c r="F4997" s="14">
        <v>-0.9713</v>
      </c>
      <c r="G4997" s="15"/>
      <c r="H4997" s="29" t="s">
        <v>5181</v>
      </c>
      <c r="I4997" s="14"/>
    </row>
    <row r="4998">
      <c r="A4998" s="14">
        <v>571.0</v>
      </c>
      <c r="B4998" s="14">
        <v>2502195.0</v>
      </c>
      <c r="C4998" s="14">
        <v>1.05987E7</v>
      </c>
      <c r="D4998" s="2" t="s">
        <v>184</v>
      </c>
      <c r="E4998" s="1" t="s">
        <v>121</v>
      </c>
      <c r="F4998" s="14">
        <v>-0.9745</v>
      </c>
      <c r="G4998" s="15"/>
      <c r="H4998" s="29" t="s">
        <v>5181</v>
      </c>
      <c r="I4998" s="14"/>
    </row>
    <row r="4999">
      <c r="A4999" s="14">
        <v>353.0</v>
      </c>
      <c r="B4999" s="14">
        <v>7.3455496E7</v>
      </c>
      <c r="C4999" s="14">
        <v>3.03920964E8</v>
      </c>
      <c r="D4999" s="2" t="s">
        <v>479</v>
      </c>
      <c r="E4999" s="1" t="s">
        <v>121</v>
      </c>
      <c r="F4999" s="14">
        <v>-0.9746</v>
      </c>
      <c r="G4999" s="15"/>
      <c r="H4999" s="29" t="s">
        <v>5181</v>
      </c>
      <c r="I4999" s="14"/>
    </row>
    <row r="5000">
      <c r="A5000" s="14">
        <v>594.0</v>
      </c>
      <c r="B5000" s="14">
        <v>2855018.0</v>
      </c>
      <c r="C5000" s="14">
        <v>1.2104812E7</v>
      </c>
      <c r="D5000" s="2" t="s">
        <v>199</v>
      </c>
      <c r="E5000" s="1" t="s">
        <v>121</v>
      </c>
      <c r="F5000" s="14">
        <v>-0.9757</v>
      </c>
      <c r="G5000" s="15"/>
      <c r="H5000" s="29" t="s">
        <v>5181</v>
      </c>
      <c r="I5000" s="14"/>
    </row>
    <row r="5001">
      <c r="A5001" s="14">
        <v>244.0</v>
      </c>
      <c r="B5001" s="14">
        <v>8.0104049E7</v>
      </c>
      <c r="C5001" s="14">
        <v>3.35204856E8</v>
      </c>
      <c r="D5001" s="2" t="s">
        <v>498</v>
      </c>
      <c r="E5001" s="1" t="s">
        <v>121</v>
      </c>
      <c r="F5001" s="14">
        <v>-0.9842</v>
      </c>
      <c r="G5001" s="15"/>
      <c r="H5001" s="29" t="s">
        <v>5181</v>
      </c>
      <c r="I5001" s="14"/>
    </row>
    <row r="5002">
      <c r="A5002" s="14">
        <v>720.0</v>
      </c>
      <c r="B5002" s="14">
        <v>2.4845302E7</v>
      </c>
      <c r="C5002" s="14">
        <v>1.01136927E8</v>
      </c>
      <c r="D5002" s="2" t="s">
        <v>409</v>
      </c>
      <c r="E5002" s="1" t="s">
        <v>121</v>
      </c>
      <c r="F5002" s="14">
        <v>-0.9927</v>
      </c>
      <c r="G5002" s="15"/>
      <c r="H5002" s="29" t="s">
        <v>5181</v>
      </c>
      <c r="I5002" s="14"/>
    </row>
  </sheetData>
  <mergeCells count="1">
    <mergeCell ref="H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69.75"/>
    <col customWidth="1" min="3" max="3" width="12.63"/>
    <col customWidth="1" min="4" max="4" width="22.75"/>
    <col customWidth="1" min="6" max="6" width="65.0"/>
    <col customWidth="1" hidden="1" min="7" max="7" width="26.38"/>
    <col customWidth="1" min="12" max="12" width="30.75"/>
  </cols>
  <sheetData>
    <row r="1">
      <c r="A1" s="3" t="s">
        <v>54</v>
      </c>
      <c r="B1" s="5" t="s">
        <v>65</v>
      </c>
      <c r="C1" s="5" t="s">
        <v>70</v>
      </c>
      <c r="D1" s="3" t="s">
        <v>130</v>
      </c>
      <c r="E1" s="18" t="s">
        <v>132</v>
      </c>
      <c r="F1" s="5" t="s">
        <v>146</v>
      </c>
      <c r="G1" s="3" t="s">
        <v>147</v>
      </c>
      <c r="H1" s="3" t="s">
        <v>148</v>
      </c>
      <c r="I1" s="3" t="s">
        <v>150</v>
      </c>
      <c r="J1" s="3" t="s">
        <v>153</v>
      </c>
      <c r="K1" s="3" t="s">
        <v>156</v>
      </c>
      <c r="L1" s="3" t="s">
        <v>158</v>
      </c>
      <c r="M1" s="3" t="s">
        <v>160</v>
      </c>
      <c r="N1" s="19"/>
      <c r="O1" s="19"/>
      <c r="P1" s="19"/>
      <c r="Q1" s="19"/>
      <c r="R1" s="19"/>
      <c r="S1" s="19"/>
      <c r="T1" s="19"/>
      <c r="U1" s="19"/>
      <c r="V1" s="19"/>
      <c r="W1" s="19"/>
      <c r="X1" s="19"/>
      <c r="Y1" s="19"/>
      <c r="Z1" s="19"/>
      <c r="AA1" s="19"/>
    </row>
    <row r="2">
      <c r="A2" s="7">
        <v>184240.0</v>
      </c>
      <c r="B2" s="8" t="s">
        <v>77</v>
      </c>
      <c r="C2" s="8" t="s">
        <v>78</v>
      </c>
      <c r="D2" s="7" t="str">
        <f t="shared" ref="D2:D187" si="1">IFS(ISNUMBER(SEARCH("Definitely alert-worthy", F2)), "Definitely alert-worthy", ISNUMBER(SEARCH("Probably alert-worthy", F2)), "Probably alert-worthy", ISNUMBER(SEARCH("Not alert-worthy", F2)), "Not alert-worthy", TRUE, "")</f>
        <v>Definitely alert-worthy</v>
      </c>
      <c r="E2" s="20" t="b">
        <f t="shared" ref="E2:E187" si="2">C2=D2</f>
        <v>1</v>
      </c>
      <c r="F2" s="8" t="s">
        <v>246</v>
      </c>
      <c r="G2" s="21" t="s">
        <v>246</v>
      </c>
      <c r="H2" s="7">
        <v>3549.0</v>
      </c>
      <c r="I2" s="7">
        <v>593.0</v>
      </c>
      <c r="J2" s="7">
        <v>184.0</v>
      </c>
      <c r="K2" s="7" t="s">
        <v>252</v>
      </c>
      <c r="L2" s="7" t="s">
        <v>253</v>
      </c>
      <c r="N2" s="20"/>
      <c r="O2" s="20"/>
      <c r="P2" s="20"/>
      <c r="Q2" s="20"/>
      <c r="R2" s="20"/>
      <c r="S2" s="20"/>
      <c r="T2" s="20"/>
      <c r="U2" s="20"/>
      <c r="V2" s="20"/>
      <c r="W2" s="20"/>
      <c r="X2" s="20"/>
      <c r="Y2" s="20"/>
      <c r="Z2" s="20"/>
      <c r="AA2" s="20"/>
    </row>
    <row r="3">
      <c r="A3" s="7">
        <v>898532.0</v>
      </c>
      <c r="B3" s="8" t="s">
        <v>81</v>
      </c>
      <c r="C3" s="8" t="s">
        <v>78</v>
      </c>
      <c r="D3" s="7" t="str">
        <f t="shared" si="1"/>
        <v>Definitely alert-worthy</v>
      </c>
      <c r="E3" s="20" t="b">
        <f t="shared" si="2"/>
        <v>1</v>
      </c>
      <c r="F3" s="8" t="s">
        <v>270</v>
      </c>
      <c r="G3" s="21" t="s">
        <v>270</v>
      </c>
      <c r="H3" s="7">
        <v>5125.0</v>
      </c>
      <c r="I3" s="7">
        <v>632.0</v>
      </c>
      <c r="J3" s="7">
        <v>310.0</v>
      </c>
      <c r="K3" s="7" t="s">
        <v>252</v>
      </c>
      <c r="L3" s="7" t="s">
        <v>253</v>
      </c>
      <c r="N3" s="20"/>
      <c r="O3" s="20"/>
      <c r="P3" s="20"/>
      <c r="Q3" s="20"/>
      <c r="R3" s="20"/>
      <c r="S3" s="20"/>
      <c r="T3" s="20"/>
      <c r="U3" s="20"/>
      <c r="V3" s="20"/>
      <c r="W3" s="20"/>
      <c r="X3" s="20"/>
      <c r="Y3" s="20"/>
      <c r="Z3" s="20"/>
      <c r="AA3" s="20"/>
    </row>
    <row r="4">
      <c r="A4" s="7">
        <v>919068.0</v>
      </c>
      <c r="B4" s="8" t="s">
        <v>83</v>
      </c>
      <c r="C4" s="8" t="s">
        <v>78</v>
      </c>
      <c r="D4" s="7" t="str">
        <f t="shared" si="1"/>
        <v>Definitely alert-worthy</v>
      </c>
      <c r="E4" s="20" t="b">
        <f t="shared" si="2"/>
        <v>1</v>
      </c>
      <c r="F4" s="8" t="s">
        <v>291</v>
      </c>
      <c r="G4" s="21" t="s">
        <v>291</v>
      </c>
      <c r="H4" s="7">
        <v>3802.0</v>
      </c>
      <c r="I4" s="7">
        <v>699.0</v>
      </c>
      <c r="J4" s="7">
        <v>194.0</v>
      </c>
      <c r="K4" s="7" t="s">
        <v>252</v>
      </c>
      <c r="L4" s="7" t="s">
        <v>253</v>
      </c>
      <c r="N4" s="20"/>
      <c r="O4" s="20"/>
      <c r="P4" s="20"/>
      <c r="Q4" s="20"/>
      <c r="R4" s="20"/>
      <c r="S4" s="20"/>
      <c r="T4" s="20"/>
      <c r="U4" s="20"/>
      <c r="V4" s="20"/>
      <c r="W4" s="20"/>
      <c r="X4" s="20"/>
      <c r="Y4" s="20"/>
      <c r="Z4" s="20"/>
      <c r="AA4" s="20"/>
    </row>
    <row r="5">
      <c r="A5" s="7">
        <v>984067.0</v>
      </c>
      <c r="B5" s="8" t="s">
        <v>85</v>
      </c>
      <c r="C5" s="8" t="s">
        <v>78</v>
      </c>
      <c r="D5" s="7" t="str">
        <f t="shared" si="1"/>
        <v>Definitely alert-worthy</v>
      </c>
      <c r="E5" s="20" t="b">
        <f t="shared" si="2"/>
        <v>1</v>
      </c>
      <c r="F5" s="8" t="s">
        <v>315</v>
      </c>
      <c r="G5" s="21" t="s">
        <v>315</v>
      </c>
      <c r="H5" s="7">
        <v>4364.0</v>
      </c>
      <c r="I5" s="7">
        <v>662.0</v>
      </c>
      <c r="J5" s="7">
        <v>233.0</v>
      </c>
      <c r="K5" s="7" t="s">
        <v>252</v>
      </c>
      <c r="L5" s="7" t="s">
        <v>253</v>
      </c>
      <c r="N5" s="20"/>
      <c r="O5" s="20"/>
      <c r="P5" s="20"/>
      <c r="Q5" s="20"/>
      <c r="R5" s="20"/>
      <c r="S5" s="20"/>
      <c r="T5" s="20"/>
      <c r="U5" s="20"/>
      <c r="V5" s="20"/>
      <c r="W5" s="20"/>
      <c r="X5" s="20"/>
      <c r="Y5" s="20"/>
      <c r="Z5" s="20"/>
      <c r="AA5" s="20"/>
    </row>
    <row r="6">
      <c r="A6" s="7">
        <v>1711043.0</v>
      </c>
      <c r="B6" s="8" t="s">
        <v>88</v>
      </c>
      <c r="C6" s="8" t="s">
        <v>78</v>
      </c>
      <c r="D6" s="7" t="str">
        <f t="shared" si="1"/>
        <v>Probably alert-worthy</v>
      </c>
      <c r="E6" s="20" t="b">
        <f t="shared" si="2"/>
        <v>0</v>
      </c>
      <c r="F6" s="8" t="s">
        <v>335</v>
      </c>
      <c r="G6" s="7" t="s">
        <v>335</v>
      </c>
      <c r="H6" s="7">
        <v>6392.0</v>
      </c>
      <c r="I6" s="7">
        <v>573.0</v>
      </c>
      <c r="J6" s="7">
        <v>352.0</v>
      </c>
      <c r="K6" s="7" t="s">
        <v>252</v>
      </c>
      <c r="L6" s="7" t="s">
        <v>253</v>
      </c>
      <c r="N6" s="20"/>
      <c r="O6" s="20"/>
      <c r="P6" s="20"/>
      <c r="Q6" s="20"/>
      <c r="R6" s="20"/>
      <c r="S6" s="20"/>
      <c r="T6" s="20"/>
      <c r="U6" s="20"/>
      <c r="V6" s="20"/>
      <c r="W6" s="20"/>
      <c r="X6" s="20"/>
      <c r="Y6" s="20"/>
      <c r="Z6" s="20"/>
      <c r="AA6" s="20"/>
    </row>
    <row r="7">
      <c r="A7" s="10">
        <v>1979172.0</v>
      </c>
      <c r="B7" s="12" t="s">
        <v>95</v>
      </c>
      <c r="C7" s="12" t="s">
        <v>78</v>
      </c>
      <c r="D7" s="10" t="str">
        <f t="shared" si="1"/>
        <v>Definitely alert-worthy</v>
      </c>
      <c r="E7" s="20" t="b">
        <f t="shared" si="2"/>
        <v>1</v>
      </c>
      <c r="F7" s="12" t="s">
        <v>355</v>
      </c>
      <c r="G7" s="22" t="s">
        <v>355</v>
      </c>
      <c r="H7" s="10">
        <v>4693.0</v>
      </c>
      <c r="I7" s="10">
        <v>671.0</v>
      </c>
      <c r="J7" s="10">
        <v>182.0</v>
      </c>
      <c r="K7" s="10" t="s">
        <v>252</v>
      </c>
      <c r="L7" s="10" t="s">
        <v>253</v>
      </c>
      <c r="N7" s="23"/>
      <c r="O7" s="23"/>
      <c r="P7" s="23"/>
      <c r="Q7" s="23"/>
      <c r="R7" s="23"/>
      <c r="S7" s="23"/>
      <c r="T7" s="23"/>
      <c r="U7" s="23"/>
      <c r="V7" s="23"/>
      <c r="W7" s="23"/>
      <c r="X7" s="23"/>
      <c r="Y7" s="23"/>
      <c r="Z7" s="23"/>
      <c r="AA7" s="23"/>
    </row>
    <row r="8">
      <c r="A8" s="7">
        <v>2686933.0</v>
      </c>
      <c r="B8" s="8" t="s">
        <v>97</v>
      </c>
      <c r="C8" s="8" t="s">
        <v>78</v>
      </c>
      <c r="D8" s="7" t="str">
        <f t="shared" si="1"/>
        <v>Definitely alert-worthy</v>
      </c>
      <c r="E8" s="20" t="b">
        <f t="shared" si="2"/>
        <v>1</v>
      </c>
      <c r="F8" s="8" t="s">
        <v>385</v>
      </c>
      <c r="G8" s="7" t="s">
        <v>385</v>
      </c>
      <c r="H8" s="7">
        <v>2827.0</v>
      </c>
      <c r="I8" s="7">
        <v>629.0</v>
      </c>
      <c r="J8" s="7">
        <v>134.0</v>
      </c>
      <c r="K8" s="7" t="s">
        <v>252</v>
      </c>
      <c r="L8" s="7" t="s">
        <v>253</v>
      </c>
      <c r="N8" s="20"/>
      <c r="O8" s="20"/>
      <c r="P8" s="20"/>
      <c r="Q8" s="20"/>
      <c r="R8" s="20"/>
      <c r="S8" s="20"/>
      <c r="T8" s="20"/>
      <c r="U8" s="20"/>
      <c r="V8" s="20"/>
      <c r="W8" s="20"/>
      <c r="X8" s="20"/>
      <c r="Y8" s="20"/>
      <c r="Z8" s="20"/>
      <c r="AA8" s="20"/>
    </row>
    <row r="9">
      <c r="A9" s="7">
        <v>3231860.0</v>
      </c>
      <c r="B9" s="8" t="s">
        <v>99</v>
      </c>
      <c r="C9" s="8" t="s">
        <v>101</v>
      </c>
      <c r="D9" s="7" t="str">
        <f t="shared" si="1"/>
        <v>Not alert-worthy</v>
      </c>
      <c r="E9" s="20" t="b">
        <f t="shared" si="2"/>
        <v>1</v>
      </c>
      <c r="F9" s="8" t="s">
        <v>401</v>
      </c>
      <c r="G9" s="7" t="s">
        <v>401</v>
      </c>
      <c r="H9" s="7">
        <v>2379.0</v>
      </c>
      <c r="I9" s="7">
        <v>664.0</v>
      </c>
      <c r="J9" s="7">
        <v>81.0</v>
      </c>
      <c r="K9" s="7" t="s">
        <v>252</v>
      </c>
      <c r="L9" s="7" t="s">
        <v>253</v>
      </c>
      <c r="N9" s="20"/>
      <c r="O9" s="20"/>
      <c r="P9" s="20"/>
      <c r="Q9" s="20"/>
      <c r="R9" s="20"/>
      <c r="S9" s="20"/>
      <c r="T9" s="20"/>
      <c r="U9" s="20"/>
      <c r="V9" s="20"/>
      <c r="W9" s="20"/>
      <c r="X9" s="20"/>
      <c r="Y9" s="20"/>
      <c r="Z9" s="20"/>
      <c r="AA9" s="20"/>
    </row>
    <row r="10">
      <c r="A10" s="7">
        <v>3291340.0</v>
      </c>
      <c r="B10" s="8" t="s">
        <v>102</v>
      </c>
      <c r="C10" s="8" t="s">
        <v>78</v>
      </c>
      <c r="D10" s="7" t="str">
        <f t="shared" si="1"/>
        <v>Definitely alert-worthy</v>
      </c>
      <c r="E10" s="20" t="b">
        <f t="shared" si="2"/>
        <v>1</v>
      </c>
      <c r="F10" s="8" t="s">
        <v>418</v>
      </c>
      <c r="G10" s="7" t="s">
        <v>418</v>
      </c>
      <c r="H10" s="7">
        <v>3936.0</v>
      </c>
      <c r="I10" s="7">
        <v>695.0</v>
      </c>
      <c r="J10" s="7">
        <v>185.0</v>
      </c>
      <c r="K10" s="7" t="s">
        <v>252</v>
      </c>
      <c r="L10" s="7" t="s">
        <v>253</v>
      </c>
      <c r="N10" s="20"/>
      <c r="O10" s="20"/>
      <c r="P10" s="20"/>
      <c r="Q10" s="20"/>
      <c r="R10" s="20"/>
      <c r="S10" s="20"/>
      <c r="T10" s="20"/>
      <c r="U10" s="20"/>
      <c r="V10" s="20"/>
      <c r="W10" s="20"/>
      <c r="X10" s="20"/>
      <c r="Y10" s="20"/>
      <c r="Z10" s="20"/>
      <c r="AA10" s="20"/>
    </row>
    <row r="11">
      <c r="A11" s="10">
        <v>3375729.0</v>
      </c>
      <c r="B11" s="12" t="s">
        <v>105</v>
      </c>
      <c r="C11" s="12" t="s">
        <v>78</v>
      </c>
      <c r="D11" s="10" t="str">
        <f t="shared" si="1"/>
        <v>Definitely alert-worthy</v>
      </c>
      <c r="E11" s="20" t="b">
        <f t="shared" si="2"/>
        <v>1</v>
      </c>
      <c r="F11" s="12" t="s">
        <v>444</v>
      </c>
      <c r="G11" s="22" t="s">
        <v>444</v>
      </c>
      <c r="H11" s="10">
        <v>6108.0</v>
      </c>
      <c r="I11" s="10">
        <v>628.0</v>
      </c>
      <c r="J11" s="10">
        <v>405.0</v>
      </c>
      <c r="K11" s="10" t="s">
        <v>252</v>
      </c>
      <c r="L11" s="10" t="s">
        <v>253</v>
      </c>
      <c r="N11" s="23"/>
      <c r="O11" s="23"/>
      <c r="P11" s="23"/>
      <c r="Q11" s="23"/>
      <c r="R11" s="23"/>
      <c r="S11" s="23"/>
      <c r="T11" s="23"/>
      <c r="U11" s="23"/>
      <c r="V11" s="23"/>
      <c r="W11" s="23"/>
      <c r="X11" s="23"/>
      <c r="Y11" s="23"/>
      <c r="Z11" s="23"/>
      <c r="AA11" s="23"/>
    </row>
    <row r="12">
      <c r="A12" s="7">
        <v>3416745.0</v>
      </c>
      <c r="B12" s="8" t="s">
        <v>109</v>
      </c>
      <c r="C12" s="8" t="s">
        <v>78</v>
      </c>
      <c r="D12" s="7" t="str">
        <f t="shared" si="1"/>
        <v>Definitely alert-worthy</v>
      </c>
      <c r="E12" s="20" t="b">
        <f t="shared" si="2"/>
        <v>1</v>
      </c>
      <c r="F12" s="8" t="s">
        <v>461</v>
      </c>
      <c r="G12" s="7" t="s">
        <v>461</v>
      </c>
      <c r="H12" s="7">
        <v>3699.0</v>
      </c>
      <c r="I12" s="7">
        <v>936.0</v>
      </c>
      <c r="J12" s="7">
        <v>169.0</v>
      </c>
      <c r="K12" s="7" t="s">
        <v>252</v>
      </c>
      <c r="L12" s="7" t="s">
        <v>253</v>
      </c>
      <c r="N12" s="20"/>
      <c r="O12" s="20"/>
      <c r="P12" s="20"/>
      <c r="Q12" s="20"/>
      <c r="R12" s="20"/>
      <c r="S12" s="20"/>
      <c r="T12" s="20"/>
      <c r="U12" s="20"/>
      <c r="V12" s="20"/>
      <c r="W12" s="20"/>
      <c r="X12" s="20"/>
      <c r="Y12" s="20"/>
      <c r="Z12" s="20"/>
      <c r="AA12" s="20"/>
    </row>
    <row r="13">
      <c r="A13" s="7">
        <v>4059496.0</v>
      </c>
      <c r="B13" s="8" t="s">
        <v>111</v>
      </c>
      <c r="C13" s="8" t="s">
        <v>101</v>
      </c>
      <c r="D13" s="7" t="str">
        <f t="shared" si="1"/>
        <v>Not alert-worthy</v>
      </c>
      <c r="E13" s="20" t="b">
        <f t="shared" si="2"/>
        <v>1</v>
      </c>
      <c r="F13" s="8" t="s">
        <v>475</v>
      </c>
      <c r="G13" s="7" t="s">
        <v>475</v>
      </c>
      <c r="H13" s="7">
        <v>3837.0</v>
      </c>
      <c r="I13" s="7">
        <v>635.0</v>
      </c>
      <c r="J13" s="7">
        <v>169.0</v>
      </c>
      <c r="K13" s="7" t="s">
        <v>252</v>
      </c>
      <c r="L13" s="7" t="s">
        <v>253</v>
      </c>
      <c r="N13" s="20"/>
      <c r="O13" s="20"/>
      <c r="P13" s="20"/>
      <c r="Q13" s="20"/>
      <c r="R13" s="20"/>
      <c r="S13" s="20"/>
      <c r="T13" s="20"/>
      <c r="U13" s="20"/>
      <c r="V13" s="20"/>
      <c r="W13" s="20"/>
      <c r="X13" s="20"/>
      <c r="Y13" s="20"/>
      <c r="Z13" s="20"/>
      <c r="AA13" s="20"/>
    </row>
    <row r="14">
      <c r="A14" s="7">
        <v>4059496.0</v>
      </c>
      <c r="B14" s="8" t="s">
        <v>111</v>
      </c>
      <c r="C14" s="8" t="s">
        <v>101</v>
      </c>
      <c r="D14" s="7" t="str">
        <f t="shared" si="1"/>
        <v>Not alert-worthy</v>
      </c>
      <c r="E14" s="20" t="b">
        <f t="shared" si="2"/>
        <v>1</v>
      </c>
      <c r="F14" s="8" t="s">
        <v>493</v>
      </c>
      <c r="G14" s="7" t="s">
        <v>493</v>
      </c>
      <c r="H14" s="7">
        <v>3119.0</v>
      </c>
      <c r="I14" s="7">
        <v>635.0</v>
      </c>
      <c r="J14" s="7">
        <v>138.0</v>
      </c>
      <c r="K14" s="7" t="s">
        <v>252</v>
      </c>
      <c r="L14" s="7" t="s">
        <v>253</v>
      </c>
      <c r="N14" s="20"/>
      <c r="O14" s="20"/>
      <c r="P14" s="20"/>
      <c r="Q14" s="20"/>
      <c r="R14" s="20"/>
      <c r="S14" s="20"/>
      <c r="T14" s="20"/>
      <c r="U14" s="20"/>
      <c r="V14" s="20"/>
      <c r="W14" s="20"/>
      <c r="X14" s="20"/>
      <c r="Y14" s="20"/>
      <c r="Z14" s="20"/>
      <c r="AA14" s="20"/>
    </row>
    <row r="15">
      <c r="A15" s="7">
        <v>4119396.0</v>
      </c>
      <c r="B15" s="8" t="s">
        <v>114</v>
      </c>
      <c r="C15" s="8" t="s">
        <v>78</v>
      </c>
      <c r="D15" s="7" t="str">
        <f t="shared" si="1"/>
        <v>Probably alert-worthy</v>
      </c>
      <c r="E15" s="20" t="b">
        <f t="shared" si="2"/>
        <v>0</v>
      </c>
      <c r="F15" s="8" t="s">
        <v>511</v>
      </c>
      <c r="G15" s="7" t="s">
        <v>511</v>
      </c>
      <c r="H15" s="7">
        <v>5000.0</v>
      </c>
      <c r="I15" s="7">
        <v>573.0</v>
      </c>
      <c r="J15" s="7">
        <v>261.0</v>
      </c>
      <c r="K15" s="7" t="s">
        <v>252</v>
      </c>
      <c r="L15" s="7" t="s">
        <v>253</v>
      </c>
      <c r="N15" s="20"/>
      <c r="O15" s="20"/>
      <c r="P15" s="20"/>
      <c r="Q15" s="20"/>
      <c r="R15" s="20"/>
      <c r="S15" s="20"/>
      <c r="T15" s="20"/>
      <c r="U15" s="20"/>
      <c r="V15" s="20"/>
      <c r="W15" s="20"/>
      <c r="X15" s="20"/>
      <c r="Y15" s="20"/>
      <c r="Z15" s="20"/>
      <c r="AA15" s="20"/>
    </row>
    <row r="16">
      <c r="A16" s="7">
        <v>4129412.0</v>
      </c>
      <c r="B16" s="8" t="s">
        <v>116</v>
      </c>
      <c r="C16" s="8" t="s">
        <v>101</v>
      </c>
      <c r="D16" s="7" t="str">
        <f t="shared" si="1"/>
        <v>Not alert-worthy</v>
      </c>
      <c r="E16" s="20" t="b">
        <f t="shared" si="2"/>
        <v>1</v>
      </c>
      <c r="F16" s="8" t="s">
        <v>530</v>
      </c>
      <c r="G16" s="7" t="s">
        <v>530</v>
      </c>
      <c r="H16" s="7">
        <v>3634.0</v>
      </c>
      <c r="I16" s="7">
        <v>596.0</v>
      </c>
      <c r="J16" s="7">
        <v>187.0</v>
      </c>
      <c r="K16" s="7" t="s">
        <v>252</v>
      </c>
      <c r="L16" s="7" t="s">
        <v>253</v>
      </c>
      <c r="N16" s="20"/>
      <c r="O16" s="20"/>
      <c r="P16" s="20"/>
      <c r="Q16" s="20"/>
      <c r="R16" s="20"/>
      <c r="S16" s="20"/>
      <c r="T16" s="20"/>
      <c r="U16" s="20"/>
      <c r="V16" s="20"/>
      <c r="W16" s="20"/>
      <c r="X16" s="20"/>
      <c r="Y16" s="20"/>
      <c r="Z16" s="20"/>
      <c r="AA16" s="20"/>
    </row>
    <row r="17">
      <c r="A17" s="10">
        <v>4248588.0</v>
      </c>
      <c r="B17" s="12" t="s">
        <v>118</v>
      </c>
      <c r="C17" s="12" t="s">
        <v>101</v>
      </c>
      <c r="D17" s="10" t="str">
        <f t="shared" si="1"/>
        <v>Probably alert-worthy</v>
      </c>
      <c r="E17" s="20" t="b">
        <f t="shared" si="2"/>
        <v>0</v>
      </c>
      <c r="F17" s="12" t="s">
        <v>547</v>
      </c>
      <c r="G17" s="10" t="s">
        <v>547</v>
      </c>
      <c r="H17" s="10">
        <v>3953.0</v>
      </c>
      <c r="I17" s="10">
        <v>599.0</v>
      </c>
      <c r="J17" s="10">
        <v>199.0</v>
      </c>
      <c r="K17" s="10" t="s">
        <v>252</v>
      </c>
      <c r="L17" s="10" t="s">
        <v>253</v>
      </c>
      <c r="N17" s="23"/>
      <c r="O17" s="23"/>
      <c r="P17" s="23"/>
      <c r="Q17" s="23"/>
      <c r="R17" s="23"/>
      <c r="S17" s="23"/>
      <c r="T17" s="23"/>
      <c r="U17" s="23"/>
      <c r="V17" s="23"/>
      <c r="W17" s="23"/>
      <c r="X17" s="23"/>
      <c r="Y17" s="23"/>
      <c r="Z17" s="23"/>
      <c r="AA17" s="23"/>
    </row>
    <row r="18">
      <c r="A18" s="7">
        <v>4558336.0</v>
      </c>
      <c r="B18" s="8" t="s">
        <v>122</v>
      </c>
      <c r="C18" s="8" t="s">
        <v>78</v>
      </c>
      <c r="D18" s="7" t="str">
        <f t="shared" si="1"/>
        <v>Definitely alert-worthy</v>
      </c>
      <c r="E18" s="20" t="b">
        <f t="shared" si="2"/>
        <v>1</v>
      </c>
      <c r="F18" s="8" t="s">
        <v>561</v>
      </c>
      <c r="G18" s="21" t="s">
        <v>561</v>
      </c>
      <c r="H18" s="7">
        <v>3699.0</v>
      </c>
      <c r="I18" s="7">
        <v>678.0</v>
      </c>
      <c r="J18" s="7">
        <v>187.0</v>
      </c>
      <c r="K18" s="7" t="s">
        <v>252</v>
      </c>
      <c r="L18" s="7" t="s">
        <v>253</v>
      </c>
      <c r="N18" s="20"/>
      <c r="O18" s="20"/>
      <c r="P18" s="20"/>
      <c r="Q18" s="20"/>
      <c r="R18" s="20"/>
      <c r="S18" s="20"/>
      <c r="T18" s="20"/>
      <c r="U18" s="20"/>
      <c r="V18" s="20"/>
      <c r="W18" s="20"/>
      <c r="X18" s="20"/>
      <c r="Y18" s="20"/>
      <c r="Z18" s="20"/>
      <c r="AA18" s="20"/>
    </row>
    <row r="19">
      <c r="A19" s="7">
        <v>4673632.0</v>
      </c>
      <c r="B19" s="8" t="s">
        <v>124</v>
      </c>
      <c r="C19" s="8" t="s">
        <v>78</v>
      </c>
      <c r="D19" s="7" t="str">
        <f t="shared" si="1"/>
        <v>Definitely alert-worthy</v>
      </c>
      <c r="E19" s="20" t="b">
        <f t="shared" si="2"/>
        <v>1</v>
      </c>
      <c r="F19" s="8" t="s">
        <v>574</v>
      </c>
      <c r="G19" s="7" t="s">
        <v>574</v>
      </c>
      <c r="H19" s="7">
        <v>3588.0</v>
      </c>
      <c r="I19" s="7">
        <v>690.0</v>
      </c>
      <c r="J19" s="7">
        <v>165.0</v>
      </c>
      <c r="K19" s="7" t="s">
        <v>252</v>
      </c>
      <c r="L19" s="7" t="s">
        <v>253</v>
      </c>
      <c r="N19" s="20"/>
      <c r="O19" s="20"/>
      <c r="P19" s="20"/>
      <c r="Q19" s="20"/>
      <c r="R19" s="20"/>
      <c r="S19" s="20"/>
      <c r="T19" s="20"/>
      <c r="U19" s="20"/>
      <c r="V19" s="20"/>
      <c r="W19" s="20"/>
      <c r="X19" s="20"/>
      <c r="Y19" s="20"/>
      <c r="Z19" s="20"/>
      <c r="AA19" s="20"/>
    </row>
    <row r="20">
      <c r="A20" s="7">
        <v>5067908.0</v>
      </c>
      <c r="B20" s="8" t="s">
        <v>126</v>
      </c>
      <c r="C20" s="8" t="s">
        <v>101</v>
      </c>
      <c r="D20" s="7" t="str">
        <f t="shared" si="1"/>
        <v>Probably alert-worthy</v>
      </c>
      <c r="E20" s="20" t="b">
        <f t="shared" si="2"/>
        <v>0</v>
      </c>
      <c r="F20" s="8" t="s">
        <v>588</v>
      </c>
      <c r="G20" s="21" t="s">
        <v>588</v>
      </c>
      <c r="H20" s="7">
        <v>10663.0</v>
      </c>
      <c r="I20" s="7">
        <v>592.0</v>
      </c>
      <c r="J20" s="7">
        <v>780.0</v>
      </c>
      <c r="K20" s="7" t="s">
        <v>252</v>
      </c>
      <c r="L20" s="7" t="s">
        <v>253</v>
      </c>
      <c r="N20" s="20"/>
      <c r="O20" s="20"/>
      <c r="P20" s="20"/>
      <c r="Q20" s="20"/>
      <c r="R20" s="20"/>
      <c r="S20" s="20"/>
      <c r="T20" s="20"/>
      <c r="U20" s="20"/>
      <c r="V20" s="20"/>
      <c r="W20" s="20"/>
      <c r="X20" s="20"/>
      <c r="Y20" s="20"/>
      <c r="Z20" s="20"/>
      <c r="AA20" s="20"/>
    </row>
    <row r="21">
      <c r="A21" s="7">
        <v>5153546.0</v>
      </c>
      <c r="B21" s="8" t="s">
        <v>129</v>
      </c>
      <c r="C21" s="8" t="s">
        <v>78</v>
      </c>
      <c r="D21" s="7" t="str">
        <f t="shared" si="1"/>
        <v>Probably alert-worthy</v>
      </c>
      <c r="E21" s="20" t="b">
        <f t="shared" si="2"/>
        <v>0</v>
      </c>
      <c r="F21" s="8" t="s">
        <v>599</v>
      </c>
      <c r="G21" s="21" t="s">
        <v>599</v>
      </c>
      <c r="H21" s="7">
        <v>6609.0</v>
      </c>
      <c r="I21" s="7">
        <v>576.0</v>
      </c>
      <c r="J21" s="7">
        <v>428.0</v>
      </c>
      <c r="K21" s="7" t="s">
        <v>252</v>
      </c>
      <c r="L21" s="7" t="s">
        <v>253</v>
      </c>
      <c r="N21" s="20"/>
      <c r="O21" s="20"/>
      <c r="P21" s="20"/>
      <c r="Q21" s="20"/>
      <c r="R21" s="20"/>
      <c r="S21" s="20"/>
      <c r="T21" s="20"/>
      <c r="U21" s="20"/>
      <c r="V21" s="20"/>
      <c r="W21" s="20"/>
      <c r="X21" s="20"/>
      <c r="Y21" s="20"/>
      <c r="Z21" s="20"/>
      <c r="AA21" s="20"/>
    </row>
    <row r="22">
      <c r="A22" s="7">
        <v>5409900.0</v>
      </c>
      <c r="B22" s="8" t="s">
        <v>131</v>
      </c>
      <c r="C22" s="8" t="s">
        <v>78</v>
      </c>
      <c r="D22" s="7" t="str">
        <f t="shared" si="1"/>
        <v>Definitely alert-worthy</v>
      </c>
      <c r="E22" s="20" t="b">
        <f t="shared" si="2"/>
        <v>1</v>
      </c>
      <c r="F22" s="8" t="s">
        <v>609</v>
      </c>
      <c r="G22" s="7" t="s">
        <v>609</v>
      </c>
      <c r="H22" s="7">
        <v>6371.0</v>
      </c>
      <c r="I22" s="7">
        <v>611.0</v>
      </c>
      <c r="J22" s="7">
        <v>310.0</v>
      </c>
      <c r="K22" s="7" t="s">
        <v>252</v>
      </c>
      <c r="L22" s="7" t="s">
        <v>253</v>
      </c>
      <c r="N22" s="20"/>
      <c r="O22" s="20"/>
      <c r="P22" s="20"/>
      <c r="Q22" s="20"/>
      <c r="R22" s="20"/>
      <c r="S22" s="20"/>
      <c r="T22" s="20"/>
      <c r="U22" s="20"/>
      <c r="V22" s="20"/>
      <c r="W22" s="20"/>
      <c r="X22" s="20"/>
      <c r="Y22" s="20"/>
      <c r="Z22" s="20"/>
      <c r="AA22" s="20"/>
    </row>
    <row r="23">
      <c r="A23" s="10">
        <v>5743652.0</v>
      </c>
      <c r="B23" s="12" t="s">
        <v>134</v>
      </c>
      <c r="C23" s="12" t="s">
        <v>78</v>
      </c>
      <c r="D23" s="10" t="str">
        <f t="shared" si="1"/>
        <v>Definitely alert-worthy</v>
      </c>
      <c r="E23" s="20" t="b">
        <f t="shared" si="2"/>
        <v>1</v>
      </c>
      <c r="F23" s="12" t="s">
        <v>619</v>
      </c>
      <c r="G23" s="10" t="s">
        <v>619</v>
      </c>
      <c r="H23" s="10">
        <v>5907.0</v>
      </c>
      <c r="I23" s="10">
        <v>607.0</v>
      </c>
      <c r="J23" s="10">
        <v>358.0</v>
      </c>
      <c r="K23" s="10" t="s">
        <v>252</v>
      </c>
      <c r="L23" s="10" t="s">
        <v>253</v>
      </c>
      <c r="N23" s="23"/>
      <c r="O23" s="23"/>
      <c r="P23" s="23"/>
      <c r="Q23" s="23"/>
      <c r="R23" s="23"/>
      <c r="S23" s="23"/>
      <c r="T23" s="23"/>
      <c r="U23" s="23"/>
      <c r="V23" s="23"/>
      <c r="W23" s="23"/>
      <c r="X23" s="23"/>
      <c r="Y23" s="23"/>
      <c r="Z23" s="23"/>
      <c r="AA23" s="23"/>
    </row>
    <row r="24">
      <c r="A24" s="10">
        <v>5810032.0</v>
      </c>
      <c r="B24" s="12" t="s">
        <v>136</v>
      </c>
      <c r="C24" s="12" t="s">
        <v>78</v>
      </c>
      <c r="D24" s="10" t="str">
        <f t="shared" si="1"/>
        <v>Definitely alert-worthy</v>
      </c>
      <c r="E24" s="20" t="b">
        <f t="shared" si="2"/>
        <v>1</v>
      </c>
      <c r="F24" s="12" t="s">
        <v>631</v>
      </c>
      <c r="G24" s="22" t="s">
        <v>631</v>
      </c>
      <c r="H24" s="10">
        <v>4490.0</v>
      </c>
      <c r="I24" s="10">
        <v>628.0</v>
      </c>
      <c r="J24" s="10">
        <v>253.0</v>
      </c>
      <c r="K24" s="10" t="s">
        <v>252</v>
      </c>
      <c r="L24" s="10" t="s">
        <v>253</v>
      </c>
      <c r="N24" s="23"/>
      <c r="O24" s="23"/>
      <c r="P24" s="23"/>
      <c r="Q24" s="23"/>
      <c r="R24" s="23"/>
      <c r="S24" s="23"/>
      <c r="T24" s="23"/>
      <c r="U24" s="23"/>
      <c r="V24" s="23"/>
      <c r="W24" s="23"/>
      <c r="X24" s="23"/>
      <c r="Y24" s="23"/>
      <c r="Z24" s="23"/>
      <c r="AA24" s="23"/>
    </row>
    <row r="25">
      <c r="A25" s="7">
        <v>6014590.0</v>
      </c>
      <c r="B25" s="8" t="s">
        <v>138</v>
      </c>
      <c r="C25" s="8" t="s">
        <v>78</v>
      </c>
      <c r="D25" s="7" t="str">
        <f t="shared" si="1"/>
        <v>Probably alert-worthy</v>
      </c>
      <c r="E25" s="20" t="b">
        <f t="shared" si="2"/>
        <v>0</v>
      </c>
      <c r="F25" s="8" t="s">
        <v>644</v>
      </c>
      <c r="G25" s="7" t="s">
        <v>644</v>
      </c>
      <c r="H25" s="7">
        <v>6762.0</v>
      </c>
      <c r="I25" s="7">
        <v>577.0</v>
      </c>
      <c r="J25" s="7">
        <v>432.0</v>
      </c>
      <c r="K25" s="7" t="s">
        <v>252</v>
      </c>
      <c r="L25" s="7" t="s">
        <v>253</v>
      </c>
      <c r="N25" s="20"/>
      <c r="O25" s="20"/>
      <c r="P25" s="20"/>
      <c r="Q25" s="20"/>
      <c r="R25" s="20"/>
      <c r="S25" s="20"/>
      <c r="T25" s="20"/>
      <c r="U25" s="20"/>
      <c r="V25" s="20"/>
      <c r="W25" s="20"/>
      <c r="X25" s="20"/>
      <c r="Y25" s="20"/>
      <c r="Z25" s="20"/>
      <c r="AA25" s="20"/>
    </row>
    <row r="26">
      <c r="A26" s="7">
        <v>6152718.0</v>
      </c>
      <c r="B26" s="8" t="s">
        <v>141</v>
      </c>
      <c r="C26" s="8" t="s">
        <v>78</v>
      </c>
      <c r="D26" s="7" t="str">
        <f t="shared" si="1"/>
        <v>Probably alert-worthy</v>
      </c>
      <c r="E26" s="20" t="b">
        <f t="shared" si="2"/>
        <v>0</v>
      </c>
      <c r="F26" s="8" t="s">
        <v>658</v>
      </c>
      <c r="G26" s="7" t="s">
        <v>658</v>
      </c>
      <c r="H26" s="7">
        <v>5934.0</v>
      </c>
      <c r="I26" s="7">
        <v>572.0</v>
      </c>
      <c r="J26" s="7">
        <v>333.0</v>
      </c>
      <c r="K26" s="7" t="s">
        <v>252</v>
      </c>
      <c r="L26" s="7" t="s">
        <v>253</v>
      </c>
      <c r="N26" s="20"/>
      <c r="O26" s="20"/>
      <c r="P26" s="20"/>
      <c r="Q26" s="20"/>
      <c r="R26" s="20"/>
      <c r="S26" s="20"/>
      <c r="T26" s="20"/>
      <c r="U26" s="20"/>
      <c r="V26" s="20"/>
      <c r="W26" s="20"/>
      <c r="X26" s="20"/>
      <c r="Y26" s="20"/>
      <c r="Z26" s="20"/>
      <c r="AA26" s="20"/>
    </row>
    <row r="27">
      <c r="A27" s="10">
        <v>6395644.0</v>
      </c>
      <c r="B27" s="12" t="s">
        <v>143</v>
      </c>
      <c r="C27" s="12" t="s">
        <v>78</v>
      </c>
      <c r="D27" s="10" t="str">
        <f t="shared" si="1"/>
        <v>Not alert-worthy</v>
      </c>
      <c r="E27" s="20" t="b">
        <f t="shared" si="2"/>
        <v>0</v>
      </c>
      <c r="F27" s="12" t="s">
        <v>672</v>
      </c>
      <c r="G27" s="22" t="s">
        <v>672</v>
      </c>
      <c r="H27" s="10">
        <v>5900.0</v>
      </c>
      <c r="I27" s="10">
        <v>586.0</v>
      </c>
      <c r="J27" s="10">
        <v>368.0</v>
      </c>
      <c r="K27" s="10" t="s">
        <v>252</v>
      </c>
      <c r="L27" s="10" t="s">
        <v>253</v>
      </c>
      <c r="N27" s="23"/>
      <c r="O27" s="23"/>
      <c r="P27" s="23"/>
      <c r="Q27" s="23"/>
      <c r="R27" s="23"/>
      <c r="S27" s="23"/>
      <c r="T27" s="23"/>
      <c r="U27" s="23"/>
      <c r="V27" s="23"/>
      <c r="W27" s="23"/>
      <c r="X27" s="23"/>
      <c r="Y27" s="23"/>
      <c r="Z27" s="23"/>
      <c r="AA27" s="23"/>
    </row>
    <row r="28">
      <c r="A28" s="7">
        <v>7353773.0</v>
      </c>
      <c r="B28" s="8" t="s">
        <v>145</v>
      </c>
      <c r="C28" s="8" t="s">
        <v>101</v>
      </c>
      <c r="D28" s="7" t="str">
        <f t="shared" si="1"/>
        <v>Definitely alert-worthy</v>
      </c>
      <c r="E28" s="20" t="b">
        <f t="shared" si="2"/>
        <v>0</v>
      </c>
      <c r="F28" s="8" t="s">
        <v>683</v>
      </c>
      <c r="G28" s="21" t="s">
        <v>683</v>
      </c>
      <c r="H28" s="7">
        <v>6208.0</v>
      </c>
      <c r="I28" s="7">
        <v>639.0</v>
      </c>
      <c r="J28" s="7">
        <v>343.0</v>
      </c>
      <c r="K28" s="7" t="s">
        <v>252</v>
      </c>
      <c r="L28" s="7" t="s">
        <v>253</v>
      </c>
      <c r="N28" s="20"/>
      <c r="O28" s="20"/>
      <c r="P28" s="20"/>
      <c r="Q28" s="20"/>
      <c r="R28" s="20"/>
      <c r="S28" s="20"/>
      <c r="T28" s="20"/>
      <c r="U28" s="20"/>
      <c r="V28" s="20"/>
      <c r="W28" s="20"/>
      <c r="X28" s="20"/>
      <c r="Y28" s="20"/>
      <c r="Z28" s="20"/>
      <c r="AA28" s="20"/>
    </row>
    <row r="29">
      <c r="A29" s="7">
        <v>7536923.0</v>
      </c>
      <c r="B29" s="8" t="s">
        <v>144</v>
      </c>
      <c r="C29" s="8" t="s">
        <v>101</v>
      </c>
      <c r="D29" s="7" t="str">
        <f t="shared" si="1"/>
        <v>Not alert-worthy</v>
      </c>
      <c r="E29" s="20" t="b">
        <f t="shared" si="2"/>
        <v>1</v>
      </c>
      <c r="F29" s="8" t="s">
        <v>695</v>
      </c>
      <c r="G29" s="7" t="s">
        <v>695</v>
      </c>
      <c r="H29" s="7">
        <v>3895.0</v>
      </c>
      <c r="I29" s="7">
        <v>767.0</v>
      </c>
      <c r="J29" s="7">
        <v>128.0</v>
      </c>
      <c r="K29" s="7" t="s">
        <v>252</v>
      </c>
      <c r="L29" s="7" t="s">
        <v>253</v>
      </c>
      <c r="N29" s="20"/>
      <c r="O29" s="20"/>
      <c r="P29" s="20"/>
      <c r="Q29" s="20"/>
      <c r="R29" s="20"/>
      <c r="S29" s="20"/>
      <c r="T29" s="20"/>
      <c r="U29" s="20"/>
      <c r="V29" s="20"/>
      <c r="W29" s="20"/>
      <c r="X29" s="20"/>
      <c r="Y29" s="20"/>
      <c r="Z29" s="20"/>
      <c r="AA29" s="20"/>
    </row>
    <row r="30">
      <c r="A30" s="7">
        <v>7656895.0</v>
      </c>
      <c r="B30" s="8" t="s">
        <v>151</v>
      </c>
      <c r="C30" s="8" t="s">
        <v>78</v>
      </c>
      <c r="D30" s="7" t="str">
        <f t="shared" si="1"/>
        <v>Definitely alert-worthy</v>
      </c>
      <c r="E30" s="20" t="b">
        <f t="shared" si="2"/>
        <v>1</v>
      </c>
      <c r="F30" s="8" t="s">
        <v>707</v>
      </c>
      <c r="G30" s="21" t="s">
        <v>707</v>
      </c>
      <c r="H30" s="7">
        <v>8089.0</v>
      </c>
      <c r="I30" s="7">
        <v>594.0</v>
      </c>
      <c r="J30" s="7">
        <v>603.0</v>
      </c>
      <c r="K30" s="7" t="s">
        <v>252</v>
      </c>
      <c r="L30" s="7" t="s">
        <v>253</v>
      </c>
      <c r="N30" s="20"/>
      <c r="O30" s="20"/>
      <c r="P30" s="20"/>
      <c r="Q30" s="20"/>
      <c r="R30" s="20"/>
      <c r="S30" s="20"/>
      <c r="T30" s="20"/>
      <c r="U30" s="20"/>
      <c r="V30" s="20"/>
      <c r="W30" s="20"/>
      <c r="X30" s="20"/>
      <c r="Y30" s="20"/>
      <c r="Z30" s="20"/>
      <c r="AA30" s="20"/>
    </row>
    <row r="31">
      <c r="A31" s="7">
        <v>7732258.0</v>
      </c>
      <c r="B31" s="8" t="s">
        <v>154</v>
      </c>
      <c r="C31" s="8" t="s">
        <v>101</v>
      </c>
      <c r="D31" s="7" t="str">
        <f t="shared" si="1"/>
        <v>Not alert-worthy</v>
      </c>
      <c r="E31" s="20" t="b">
        <f t="shared" si="2"/>
        <v>1</v>
      </c>
      <c r="F31" s="8" t="s">
        <v>717</v>
      </c>
      <c r="G31" s="21" t="s">
        <v>717</v>
      </c>
      <c r="H31" s="7">
        <v>3917.0</v>
      </c>
      <c r="I31" s="7">
        <v>600.0</v>
      </c>
      <c r="J31" s="7">
        <v>217.0</v>
      </c>
      <c r="K31" s="7" t="s">
        <v>252</v>
      </c>
      <c r="L31" s="7" t="s">
        <v>253</v>
      </c>
      <c r="N31" s="20"/>
      <c r="O31" s="20"/>
      <c r="P31" s="20"/>
      <c r="Q31" s="20"/>
      <c r="R31" s="20"/>
      <c r="S31" s="20"/>
      <c r="T31" s="20"/>
      <c r="U31" s="20"/>
      <c r="V31" s="20"/>
      <c r="W31" s="20"/>
      <c r="X31" s="20"/>
      <c r="Y31" s="20"/>
      <c r="Z31" s="20"/>
      <c r="AA31" s="20"/>
    </row>
    <row r="32">
      <c r="A32" s="7">
        <v>8017398.0</v>
      </c>
      <c r="B32" s="8" t="s">
        <v>135</v>
      </c>
      <c r="C32" s="8" t="s">
        <v>161</v>
      </c>
      <c r="D32" s="7" t="str">
        <f t="shared" si="1"/>
        <v>Probably alert-worthy</v>
      </c>
      <c r="E32" s="20" t="b">
        <f t="shared" si="2"/>
        <v>1</v>
      </c>
      <c r="F32" s="8" t="s">
        <v>728</v>
      </c>
      <c r="G32" s="7" t="s">
        <v>728</v>
      </c>
      <c r="H32" s="7">
        <v>5993.0</v>
      </c>
      <c r="I32" s="7">
        <v>838.0</v>
      </c>
      <c r="J32" s="7">
        <v>191.0</v>
      </c>
      <c r="K32" s="7" t="s">
        <v>252</v>
      </c>
      <c r="L32" s="7" t="s">
        <v>253</v>
      </c>
      <c r="N32" s="20"/>
      <c r="O32" s="20"/>
      <c r="P32" s="20"/>
      <c r="Q32" s="20"/>
      <c r="R32" s="20"/>
      <c r="S32" s="20"/>
      <c r="T32" s="20"/>
      <c r="U32" s="20"/>
      <c r="V32" s="20"/>
      <c r="W32" s="20"/>
      <c r="X32" s="20"/>
      <c r="Y32" s="20"/>
      <c r="Z32" s="20"/>
      <c r="AA32" s="20"/>
    </row>
    <row r="33">
      <c r="A33" s="7">
        <v>8661711.0</v>
      </c>
      <c r="B33" s="8" t="s">
        <v>165</v>
      </c>
      <c r="C33" s="8" t="s">
        <v>101</v>
      </c>
      <c r="D33" s="7" t="str">
        <f t="shared" si="1"/>
        <v>Not alert-worthy</v>
      </c>
      <c r="E33" s="20" t="b">
        <f t="shared" si="2"/>
        <v>1</v>
      </c>
      <c r="F33" s="8" t="s">
        <v>740</v>
      </c>
      <c r="G33" s="7" t="s">
        <v>740</v>
      </c>
      <c r="H33" s="7">
        <v>4058.0</v>
      </c>
      <c r="I33" s="7">
        <v>702.0</v>
      </c>
      <c r="J33" s="7">
        <v>154.0</v>
      </c>
      <c r="K33" s="7" t="s">
        <v>252</v>
      </c>
      <c r="L33" s="7" t="s">
        <v>253</v>
      </c>
      <c r="N33" s="20"/>
      <c r="O33" s="20"/>
      <c r="P33" s="20"/>
      <c r="Q33" s="20"/>
      <c r="R33" s="20"/>
      <c r="S33" s="20"/>
      <c r="T33" s="20"/>
      <c r="U33" s="20"/>
      <c r="V33" s="20"/>
      <c r="W33" s="20"/>
      <c r="X33" s="20"/>
      <c r="Y33" s="20"/>
      <c r="Z33" s="20"/>
      <c r="AA33" s="20"/>
    </row>
    <row r="34">
      <c r="A34" s="7">
        <v>9102592.0</v>
      </c>
      <c r="B34" s="8" t="s">
        <v>168</v>
      </c>
      <c r="C34" s="8" t="s">
        <v>78</v>
      </c>
      <c r="D34" s="7" t="str">
        <f t="shared" si="1"/>
        <v>Definitely alert-worthy</v>
      </c>
      <c r="E34" s="20" t="b">
        <f t="shared" si="2"/>
        <v>1</v>
      </c>
      <c r="F34" s="8" t="s">
        <v>750</v>
      </c>
      <c r="G34" s="21" t="s">
        <v>750</v>
      </c>
      <c r="H34" s="7">
        <v>4246.0</v>
      </c>
      <c r="I34" s="7">
        <v>591.0</v>
      </c>
      <c r="J34" s="7">
        <v>214.0</v>
      </c>
      <c r="K34" s="7" t="s">
        <v>252</v>
      </c>
      <c r="L34" s="7" t="s">
        <v>253</v>
      </c>
      <c r="N34" s="20"/>
      <c r="O34" s="20"/>
      <c r="P34" s="20"/>
      <c r="Q34" s="20"/>
      <c r="R34" s="20"/>
      <c r="S34" s="20"/>
      <c r="T34" s="20"/>
      <c r="U34" s="20"/>
      <c r="V34" s="20"/>
      <c r="W34" s="20"/>
      <c r="X34" s="20"/>
      <c r="Y34" s="20"/>
      <c r="Z34" s="20"/>
      <c r="AA34" s="20"/>
    </row>
    <row r="35">
      <c r="A35" s="7">
        <v>9211835.0</v>
      </c>
      <c r="B35" s="8" t="s">
        <v>170</v>
      </c>
      <c r="C35" s="8" t="s">
        <v>101</v>
      </c>
      <c r="D35" s="7" t="str">
        <f t="shared" si="1"/>
        <v>Probably alert-worthy</v>
      </c>
      <c r="E35" s="20" t="b">
        <f t="shared" si="2"/>
        <v>0</v>
      </c>
      <c r="F35" s="8" t="s">
        <v>763</v>
      </c>
      <c r="G35" s="21" t="s">
        <v>763</v>
      </c>
      <c r="H35" s="7">
        <v>6939.0</v>
      </c>
      <c r="I35" s="7">
        <v>655.0</v>
      </c>
      <c r="J35" s="7">
        <v>432.0</v>
      </c>
      <c r="K35" s="7" t="s">
        <v>252</v>
      </c>
      <c r="L35" s="7" t="s">
        <v>253</v>
      </c>
      <c r="N35" s="20"/>
      <c r="O35" s="20"/>
      <c r="P35" s="20"/>
      <c r="Q35" s="20"/>
      <c r="R35" s="20"/>
      <c r="S35" s="20"/>
      <c r="T35" s="20"/>
      <c r="U35" s="20"/>
      <c r="V35" s="20"/>
      <c r="W35" s="20"/>
      <c r="X35" s="20"/>
      <c r="Y35" s="20"/>
      <c r="Z35" s="20"/>
      <c r="AA35" s="20"/>
    </row>
    <row r="36">
      <c r="A36" s="7">
        <v>9728443.0</v>
      </c>
      <c r="B36" s="8" t="s">
        <v>173</v>
      </c>
      <c r="C36" s="8" t="s">
        <v>101</v>
      </c>
      <c r="D36" s="7" t="str">
        <f t="shared" si="1"/>
        <v>Not alert-worthy</v>
      </c>
      <c r="E36" s="20" t="b">
        <f t="shared" si="2"/>
        <v>1</v>
      </c>
      <c r="F36" s="8" t="s">
        <v>773</v>
      </c>
      <c r="G36" s="7" t="s">
        <v>773</v>
      </c>
      <c r="H36" s="7">
        <v>3403.0</v>
      </c>
      <c r="I36" s="7">
        <v>640.0</v>
      </c>
      <c r="J36" s="7">
        <v>147.0</v>
      </c>
      <c r="K36" s="7" t="s">
        <v>252</v>
      </c>
      <c r="L36" s="7" t="s">
        <v>253</v>
      </c>
      <c r="N36" s="20"/>
      <c r="O36" s="20"/>
      <c r="P36" s="20"/>
      <c r="Q36" s="20"/>
      <c r="R36" s="20"/>
      <c r="S36" s="20"/>
      <c r="T36" s="20"/>
      <c r="U36" s="20"/>
      <c r="V36" s="20"/>
      <c r="W36" s="20"/>
      <c r="X36" s="20"/>
      <c r="Y36" s="20"/>
      <c r="Z36" s="20"/>
      <c r="AA36" s="20"/>
    </row>
    <row r="37">
      <c r="A37" s="7">
        <v>1.0029788E7</v>
      </c>
      <c r="B37" s="8" t="s">
        <v>175</v>
      </c>
      <c r="C37" s="8" t="s">
        <v>78</v>
      </c>
      <c r="D37" s="7" t="str">
        <f t="shared" si="1"/>
        <v>Definitely alert-worthy</v>
      </c>
      <c r="E37" s="20" t="b">
        <f t="shared" si="2"/>
        <v>1</v>
      </c>
      <c r="F37" s="8" t="s">
        <v>781</v>
      </c>
      <c r="G37" s="21" t="s">
        <v>781</v>
      </c>
      <c r="H37" s="7">
        <v>4989.0</v>
      </c>
      <c r="I37" s="7">
        <v>596.0</v>
      </c>
      <c r="J37" s="7">
        <v>295.0</v>
      </c>
      <c r="K37" s="7" t="s">
        <v>252</v>
      </c>
      <c r="L37" s="7" t="s">
        <v>253</v>
      </c>
      <c r="N37" s="20"/>
      <c r="O37" s="20"/>
      <c r="P37" s="20"/>
      <c r="Q37" s="20"/>
      <c r="R37" s="20"/>
      <c r="S37" s="20"/>
      <c r="T37" s="20"/>
      <c r="U37" s="20"/>
      <c r="V37" s="20"/>
      <c r="W37" s="20"/>
      <c r="X37" s="20"/>
      <c r="Y37" s="20"/>
      <c r="Z37" s="20"/>
      <c r="AA37" s="20"/>
    </row>
    <row r="38">
      <c r="A38" s="7">
        <v>1.0135648E7</v>
      </c>
      <c r="B38" s="8" t="s">
        <v>178</v>
      </c>
      <c r="C38" s="8" t="s">
        <v>101</v>
      </c>
      <c r="D38" s="7" t="str">
        <f t="shared" si="1"/>
        <v>Not alert-worthy</v>
      </c>
      <c r="E38" s="20" t="b">
        <f t="shared" si="2"/>
        <v>1</v>
      </c>
      <c r="F38" s="8" t="s">
        <v>795</v>
      </c>
      <c r="G38" s="21" t="s">
        <v>795</v>
      </c>
      <c r="H38" s="7">
        <v>2988.0</v>
      </c>
      <c r="I38" s="7">
        <v>574.0</v>
      </c>
      <c r="J38" s="7">
        <v>120.0</v>
      </c>
      <c r="K38" s="7" t="s">
        <v>252</v>
      </c>
      <c r="L38" s="7" t="s">
        <v>253</v>
      </c>
      <c r="N38" s="20"/>
      <c r="O38" s="20"/>
      <c r="P38" s="20"/>
      <c r="Q38" s="20"/>
      <c r="R38" s="20"/>
      <c r="S38" s="20"/>
      <c r="T38" s="20"/>
      <c r="U38" s="20"/>
      <c r="V38" s="20"/>
      <c r="W38" s="20"/>
      <c r="X38" s="20"/>
      <c r="Y38" s="20"/>
      <c r="Z38" s="20"/>
      <c r="AA38" s="20"/>
    </row>
    <row r="39">
      <c r="A39" s="7">
        <v>1.0435246E7</v>
      </c>
      <c r="B39" s="8" t="s">
        <v>181</v>
      </c>
      <c r="C39" s="8" t="s">
        <v>161</v>
      </c>
      <c r="D39" s="7" t="str">
        <f t="shared" si="1"/>
        <v>Probably alert-worthy</v>
      </c>
      <c r="E39" s="20" t="b">
        <f t="shared" si="2"/>
        <v>1</v>
      </c>
      <c r="F39" s="8" t="s">
        <v>809</v>
      </c>
      <c r="G39" s="21" t="s">
        <v>809</v>
      </c>
      <c r="H39" s="7">
        <v>5885.0</v>
      </c>
      <c r="I39" s="7">
        <v>720.0</v>
      </c>
      <c r="J39" s="7">
        <v>362.0</v>
      </c>
      <c r="K39" s="7" t="s">
        <v>252</v>
      </c>
      <c r="L39" s="7" t="s">
        <v>253</v>
      </c>
      <c r="N39" s="20"/>
      <c r="O39" s="20"/>
      <c r="P39" s="20"/>
      <c r="Q39" s="20"/>
      <c r="R39" s="20"/>
      <c r="S39" s="20"/>
      <c r="T39" s="20"/>
      <c r="U39" s="20"/>
      <c r="V39" s="20"/>
      <c r="W39" s="20"/>
      <c r="X39" s="20"/>
      <c r="Y39" s="20"/>
      <c r="Z39" s="20"/>
      <c r="AA39" s="20"/>
    </row>
    <row r="40">
      <c r="A40" s="7">
        <v>1.05987E7</v>
      </c>
      <c r="B40" s="8" t="s">
        <v>184</v>
      </c>
      <c r="C40" s="8" t="s">
        <v>78</v>
      </c>
      <c r="D40" s="7" t="str">
        <f t="shared" si="1"/>
        <v>Definitely alert-worthy</v>
      </c>
      <c r="E40" s="20" t="b">
        <f t="shared" si="2"/>
        <v>1</v>
      </c>
      <c r="F40" s="8" t="s">
        <v>824</v>
      </c>
      <c r="G40" s="7" t="s">
        <v>824</v>
      </c>
      <c r="H40" s="7">
        <v>3404.0</v>
      </c>
      <c r="I40" s="7">
        <v>771.0</v>
      </c>
      <c r="J40" s="7">
        <v>153.0</v>
      </c>
      <c r="K40" s="7" t="s">
        <v>252</v>
      </c>
      <c r="L40" s="7" t="s">
        <v>253</v>
      </c>
      <c r="N40" s="20"/>
      <c r="O40" s="20"/>
      <c r="P40" s="20"/>
      <c r="Q40" s="20"/>
      <c r="R40" s="20"/>
      <c r="S40" s="20"/>
      <c r="T40" s="20"/>
      <c r="U40" s="20"/>
      <c r="V40" s="20"/>
      <c r="W40" s="20"/>
      <c r="X40" s="20"/>
      <c r="Y40" s="20"/>
      <c r="Z40" s="20"/>
      <c r="AA40" s="20"/>
    </row>
    <row r="41">
      <c r="A41" s="7">
        <v>1.1120604E7</v>
      </c>
      <c r="B41" s="8" t="s">
        <v>187</v>
      </c>
      <c r="C41" s="8" t="s">
        <v>101</v>
      </c>
      <c r="D41" s="7" t="str">
        <f t="shared" si="1"/>
        <v>Not alert-worthy</v>
      </c>
      <c r="E41" s="20" t="b">
        <f t="shared" si="2"/>
        <v>1</v>
      </c>
      <c r="F41" s="8" t="s">
        <v>842</v>
      </c>
      <c r="G41" s="21" t="s">
        <v>842</v>
      </c>
      <c r="H41" s="7">
        <v>3014.0</v>
      </c>
      <c r="I41" s="7">
        <v>648.0</v>
      </c>
      <c r="J41" s="7">
        <v>163.0</v>
      </c>
      <c r="K41" s="7" t="s">
        <v>252</v>
      </c>
      <c r="L41" s="7" t="s">
        <v>253</v>
      </c>
      <c r="N41" s="20"/>
      <c r="O41" s="20"/>
      <c r="P41" s="20"/>
      <c r="Q41" s="20"/>
      <c r="R41" s="20"/>
      <c r="S41" s="20"/>
      <c r="T41" s="20"/>
      <c r="U41" s="20"/>
      <c r="V41" s="20"/>
      <c r="W41" s="20"/>
      <c r="X41" s="20"/>
      <c r="Y41" s="20"/>
      <c r="Z41" s="20"/>
      <c r="AA41" s="20"/>
    </row>
    <row r="42">
      <c r="A42" s="7">
        <v>1.1287397E7</v>
      </c>
      <c r="B42" s="8" t="s">
        <v>189</v>
      </c>
      <c r="C42" s="8" t="s">
        <v>78</v>
      </c>
      <c r="D42" s="7" t="str">
        <f t="shared" si="1"/>
        <v>Definitely alert-worthy</v>
      </c>
      <c r="E42" s="20" t="b">
        <f t="shared" si="2"/>
        <v>1</v>
      </c>
      <c r="F42" s="8" t="s">
        <v>853</v>
      </c>
      <c r="G42" s="21" t="s">
        <v>853</v>
      </c>
      <c r="H42" s="7">
        <v>3945.0</v>
      </c>
      <c r="I42" s="7">
        <v>603.0</v>
      </c>
      <c r="J42" s="7">
        <v>203.0</v>
      </c>
      <c r="K42" s="7" t="s">
        <v>252</v>
      </c>
      <c r="L42" s="7" t="s">
        <v>253</v>
      </c>
      <c r="N42" s="20"/>
      <c r="O42" s="20"/>
      <c r="P42" s="20"/>
      <c r="Q42" s="20"/>
      <c r="R42" s="20"/>
      <c r="S42" s="20"/>
      <c r="T42" s="20"/>
      <c r="U42" s="20"/>
      <c r="V42" s="20"/>
      <c r="W42" s="20"/>
      <c r="X42" s="20"/>
      <c r="Y42" s="20"/>
      <c r="Z42" s="20"/>
      <c r="AA42" s="20"/>
    </row>
    <row r="43">
      <c r="A43" s="7">
        <v>1.1987739E7</v>
      </c>
      <c r="B43" s="8" t="s">
        <v>194</v>
      </c>
      <c r="C43" s="8" t="s">
        <v>78</v>
      </c>
      <c r="D43" s="7" t="str">
        <f t="shared" si="1"/>
        <v>Definitely alert-worthy</v>
      </c>
      <c r="E43" s="20" t="b">
        <f t="shared" si="2"/>
        <v>1</v>
      </c>
      <c r="F43" s="8" t="s">
        <v>867</v>
      </c>
      <c r="G43" s="21" t="s">
        <v>867</v>
      </c>
      <c r="H43" s="7">
        <v>9865.0</v>
      </c>
      <c r="I43" s="7">
        <v>645.0</v>
      </c>
      <c r="J43" s="7">
        <v>714.0</v>
      </c>
      <c r="K43" s="7" t="s">
        <v>252</v>
      </c>
      <c r="L43" s="7" t="s">
        <v>253</v>
      </c>
      <c r="N43" s="20"/>
      <c r="O43" s="20"/>
      <c r="P43" s="20"/>
      <c r="Q43" s="20"/>
      <c r="R43" s="20"/>
      <c r="S43" s="20"/>
      <c r="T43" s="20"/>
      <c r="U43" s="20"/>
      <c r="V43" s="20"/>
      <c r="W43" s="20"/>
      <c r="X43" s="20"/>
      <c r="Y43" s="20"/>
      <c r="Z43" s="20"/>
      <c r="AA43" s="20"/>
    </row>
    <row r="44">
      <c r="A44" s="7">
        <v>1.1991438E7</v>
      </c>
      <c r="B44" s="8" t="s">
        <v>196</v>
      </c>
      <c r="C44" s="8" t="s">
        <v>101</v>
      </c>
      <c r="D44" s="7" t="str">
        <f t="shared" si="1"/>
        <v>Not alert-worthy</v>
      </c>
      <c r="E44" s="20" t="b">
        <f t="shared" si="2"/>
        <v>1</v>
      </c>
      <c r="F44" s="8" t="s">
        <v>880</v>
      </c>
      <c r="G44" s="21" t="s">
        <v>880</v>
      </c>
      <c r="H44" s="7">
        <v>3709.0</v>
      </c>
      <c r="I44" s="7">
        <v>660.0</v>
      </c>
      <c r="J44" s="7">
        <v>211.0</v>
      </c>
      <c r="K44" s="7" t="s">
        <v>252</v>
      </c>
      <c r="L44" s="7" t="s">
        <v>253</v>
      </c>
      <c r="N44" s="20"/>
      <c r="O44" s="20"/>
      <c r="P44" s="20"/>
      <c r="Q44" s="20"/>
      <c r="R44" s="20"/>
      <c r="S44" s="20"/>
      <c r="T44" s="20"/>
      <c r="U44" s="20"/>
      <c r="V44" s="20"/>
      <c r="W44" s="20"/>
      <c r="X44" s="20"/>
      <c r="Y44" s="20"/>
      <c r="Z44" s="20"/>
      <c r="AA44" s="20"/>
    </row>
    <row r="45">
      <c r="A45" s="7">
        <v>1.2104812E7</v>
      </c>
      <c r="B45" s="8" t="s">
        <v>199</v>
      </c>
      <c r="C45" s="8" t="s">
        <v>78</v>
      </c>
      <c r="D45" s="7" t="str">
        <f t="shared" si="1"/>
        <v>Definitely alert-worthy</v>
      </c>
      <c r="E45" s="20" t="b">
        <f t="shared" si="2"/>
        <v>1</v>
      </c>
      <c r="F45" s="8" t="s">
        <v>892</v>
      </c>
      <c r="G45" s="7" t="s">
        <v>892</v>
      </c>
      <c r="H45" s="7">
        <v>2985.0</v>
      </c>
      <c r="I45" s="7">
        <v>832.0</v>
      </c>
      <c r="J45" s="7">
        <v>134.0</v>
      </c>
      <c r="K45" s="7" t="s">
        <v>252</v>
      </c>
      <c r="L45" s="7" t="s">
        <v>253</v>
      </c>
      <c r="N45" s="20"/>
      <c r="O45" s="20"/>
      <c r="P45" s="20"/>
      <c r="Q45" s="20"/>
      <c r="R45" s="20"/>
      <c r="S45" s="20"/>
      <c r="T45" s="20"/>
      <c r="U45" s="20"/>
      <c r="V45" s="20"/>
      <c r="W45" s="20"/>
      <c r="X45" s="20"/>
      <c r="Y45" s="20"/>
      <c r="Z45" s="20"/>
      <c r="AA45" s="20"/>
    </row>
    <row r="46">
      <c r="A46" s="10">
        <v>1.2261129E7</v>
      </c>
      <c r="B46" s="12" t="s">
        <v>202</v>
      </c>
      <c r="C46" s="12" t="s">
        <v>101</v>
      </c>
      <c r="D46" s="10" t="str">
        <f t="shared" si="1"/>
        <v>Definitely alert-worthy</v>
      </c>
      <c r="E46" s="20" t="b">
        <f t="shared" si="2"/>
        <v>0</v>
      </c>
      <c r="F46" s="12" t="s">
        <v>905</v>
      </c>
      <c r="G46" s="22" t="s">
        <v>905</v>
      </c>
      <c r="H46" s="10">
        <v>3056.0</v>
      </c>
      <c r="I46" s="10">
        <v>600.0</v>
      </c>
      <c r="J46" s="10">
        <v>154.0</v>
      </c>
      <c r="K46" s="10" t="s">
        <v>252</v>
      </c>
      <c r="L46" s="10" t="s">
        <v>253</v>
      </c>
      <c r="N46" s="23"/>
      <c r="O46" s="23"/>
      <c r="P46" s="23"/>
      <c r="Q46" s="23"/>
      <c r="R46" s="23"/>
      <c r="S46" s="23"/>
      <c r="T46" s="23"/>
      <c r="U46" s="23"/>
      <c r="V46" s="23"/>
      <c r="W46" s="23"/>
      <c r="X46" s="23"/>
      <c r="Y46" s="23"/>
      <c r="Z46" s="23"/>
      <c r="AA46" s="23"/>
    </row>
    <row r="47">
      <c r="A47" s="7">
        <v>1.270443E7</v>
      </c>
      <c r="B47" s="8" t="s">
        <v>204</v>
      </c>
      <c r="C47" s="8" t="s">
        <v>78</v>
      </c>
      <c r="D47" s="7" t="str">
        <f t="shared" si="1"/>
        <v>Probably alert-worthy</v>
      </c>
      <c r="E47" s="20" t="b">
        <f t="shared" si="2"/>
        <v>0</v>
      </c>
      <c r="F47" s="8" t="s">
        <v>918</v>
      </c>
      <c r="G47" s="7" t="s">
        <v>918</v>
      </c>
      <c r="H47" s="7">
        <v>3199.0</v>
      </c>
      <c r="I47" s="7">
        <v>653.0</v>
      </c>
      <c r="J47" s="7">
        <v>157.0</v>
      </c>
      <c r="K47" s="7" t="s">
        <v>252</v>
      </c>
      <c r="L47" s="7" t="s">
        <v>253</v>
      </c>
      <c r="N47" s="20"/>
      <c r="O47" s="20"/>
      <c r="P47" s="20"/>
      <c r="Q47" s="20"/>
      <c r="R47" s="20"/>
      <c r="S47" s="20"/>
      <c r="T47" s="20"/>
      <c r="U47" s="20"/>
      <c r="V47" s="20"/>
      <c r="W47" s="20"/>
      <c r="X47" s="20"/>
      <c r="Y47" s="20"/>
      <c r="Z47" s="20"/>
      <c r="AA47" s="20"/>
    </row>
    <row r="48">
      <c r="A48" s="10">
        <v>1.2975626E7</v>
      </c>
      <c r="B48" s="12" t="s">
        <v>207</v>
      </c>
      <c r="C48" s="12" t="s">
        <v>101</v>
      </c>
      <c r="D48" s="10" t="str">
        <f t="shared" si="1"/>
        <v>Probably alert-worthy</v>
      </c>
      <c r="E48" s="20" t="b">
        <f t="shared" si="2"/>
        <v>0</v>
      </c>
      <c r="F48" s="12" t="s">
        <v>936</v>
      </c>
      <c r="G48" s="10" t="s">
        <v>936</v>
      </c>
      <c r="H48" s="10">
        <v>5461.0</v>
      </c>
      <c r="I48" s="10">
        <v>581.0</v>
      </c>
      <c r="J48" s="10">
        <v>327.0</v>
      </c>
      <c r="K48" s="10" t="s">
        <v>252</v>
      </c>
      <c r="L48" s="10" t="s">
        <v>253</v>
      </c>
      <c r="N48" s="23"/>
      <c r="O48" s="23"/>
      <c r="P48" s="23"/>
      <c r="Q48" s="23"/>
      <c r="R48" s="23"/>
      <c r="S48" s="23"/>
      <c r="T48" s="23"/>
      <c r="U48" s="23"/>
      <c r="V48" s="23"/>
      <c r="W48" s="23"/>
      <c r="X48" s="23"/>
      <c r="Y48" s="23"/>
      <c r="Z48" s="23"/>
      <c r="AA48" s="23"/>
    </row>
    <row r="49">
      <c r="A49" s="7">
        <v>1.3026536E7</v>
      </c>
      <c r="B49" s="8" t="s">
        <v>209</v>
      </c>
      <c r="C49" s="8" t="s">
        <v>78</v>
      </c>
      <c r="D49" s="7" t="str">
        <f t="shared" si="1"/>
        <v>Definitely alert-worthy</v>
      </c>
      <c r="E49" s="20" t="b">
        <f t="shared" si="2"/>
        <v>1</v>
      </c>
      <c r="F49" s="8" t="s">
        <v>948</v>
      </c>
      <c r="G49" s="21" t="s">
        <v>948</v>
      </c>
      <c r="H49" s="7">
        <v>5652.0</v>
      </c>
      <c r="I49" s="7">
        <v>587.0</v>
      </c>
      <c r="J49" s="7">
        <v>275.0</v>
      </c>
      <c r="K49" s="7" t="s">
        <v>252</v>
      </c>
      <c r="L49" s="7" t="s">
        <v>253</v>
      </c>
      <c r="N49" s="20"/>
      <c r="O49" s="20"/>
      <c r="P49" s="20"/>
      <c r="Q49" s="20"/>
      <c r="R49" s="20"/>
      <c r="S49" s="20"/>
      <c r="T49" s="20"/>
      <c r="U49" s="20"/>
      <c r="V49" s="20"/>
      <c r="W49" s="20"/>
      <c r="X49" s="20"/>
      <c r="Y49" s="20"/>
      <c r="Z49" s="20"/>
      <c r="AA49" s="20"/>
    </row>
    <row r="50">
      <c r="A50" s="7">
        <v>1.3076366E7</v>
      </c>
      <c r="B50" s="8" t="s">
        <v>212</v>
      </c>
      <c r="C50" s="8" t="s">
        <v>101</v>
      </c>
      <c r="D50" s="7" t="str">
        <f t="shared" si="1"/>
        <v>Not alert-worthy</v>
      </c>
      <c r="E50" s="20" t="b">
        <f t="shared" si="2"/>
        <v>1</v>
      </c>
      <c r="F50" s="8" t="s">
        <v>961</v>
      </c>
      <c r="G50" s="7" t="s">
        <v>961</v>
      </c>
      <c r="H50" s="7">
        <v>3597.0</v>
      </c>
      <c r="I50" s="7">
        <v>713.0</v>
      </c>
      <c r="J50" s="7">
        <v>102.0</v>
      </c>
      <c r="K50" s="7" t="s">
        <v>252</v>
      </c>
      <c r="L50" s="7" t="s">
        <v>253</v>
      </c>
      <c r="N50" s="20"/>
      <c r="O50" s="20"/>
      <c r="P50" s="20"/>
      <c r="Q50" s="20"/>
      <c r="R50" s="20"/>
      <c r="S50" s="20"/>
      <c r="T50" s="20"/>
      <c r="U50" s="20"/>
      <c r="V50" s="20"/>
      <c r="W50" s="20"/>
      <c r="X50" s="20"/>
      <c r="Y50" s="20"/>
      <c r="Z50" s="20"/>
      <c r="AA50" s="20"/>
    </row>
    <row r="51">
      <c r="A51" s="7">
        <v>1.3076366E7</v>
      </c>
      <c r="B51" s="8" t="s">
        <v>212</v>
      </c>
      <c r="C51" s="8" t="s">
        <v>101</v>
      </c>
      <c r="D51" s="7" t="str">
        <f t="shared" si="1"/>
        <v>Not alert-worthy</v>
      </c>
      <c r="E51" s="20" t="b">
        <f t="shared" si="2"/>
        <v>1</v>
      </c>
      <c r="F51" s="8" t="s">
        <v>972</v>
      </c>
      <c r="G51" s="7" t="s">
        <v>972</v>
      </c>
      <c r="H51" s="7">
        <v>2644.0</v>
      </c>
      <c r="I51" s="7">
        <v>713.0</v>
      </c>
      <c r="J51" s="7">
        <v>86.0</v>
      </c>
      <c r="K51" s="7" t="s">
        <v>252</v>
      </c>
      <c r="L51" s="7" t="s">
        <v>253</v>
      </c>
      <c r="N51" s="20"/>
      <c r="O51" s="20"/>
      <c r="P51" s="20"/>
      <c r="Q51" s="20"/>
      <c r="R51" s="20"/>
      <c r="S51" s="20"/>
      <c r="T51" s="20"/>
      <c r="U51" s="20"/>
      <c r="V51" s="20"/>
      <c r="W51" s="20"/>
      <c r="X51" s="20"/>
      <c r="Y51" s="20"/>
      <c r="Z51" s="20"/>
      <c r="AA51" s="20"/>
    </row>
    <row r="52">
      <c r="A52" s="10">
        <v>1.3085682E7</v>
      </c>
      <c r="B52" s="12" t="s">
        <v>216</v>
      </c>
      <c r="C52" s="12" t="s">
        <v>78</v>
      </c>
      <c r="D52" s="10" t="str">
        <f t="shared" si="1"/>
        <v>Definitely alert-worthy</v>
      </c>
      <c r="E52" s="20" t="b">
        <f t="shared" si="2"/>
        <v>1</v>
      </c>
      <c r="F52" s="12" t="s">
        <v>987</v>
      </c>
      <c r="G52" s="22" t="s">
        <v>987</v>
      </c>
      <c r="H52" s="10">
        <v>3972.0</v>
      </c>
      <c r="I52" s="10">
        <v>752.0</v>
      </c>
      <c r="J52" s="10">
        <v>195.0</v>
      </c>
      <c r="K52" s="10" t="s">
        <v>252</v>
      </c>
      <c r="L52" s="10" t="s">
        <v>253</v>
      </c>
      <c r="N52" s="23"/>
      <c r="O52" s="23"/>
      <c r="P52" s="23"/>
      <c r="Q52" s="23"/>
      <c r="R52" s="23"/>
      <c r="S52" s="23"/>
      <c r="T52" s="23"/>
      <c r="U52" s="23"/>
      <c r="V52" s="23"/>
      <c r="W52" s="23"/>
      <c r="X52" s="23"/>
      <c r="Y52" s="23"/>
      <c r="Z52" s="23"/>
      <c r="AA52" s="23"/>
    </row>
    <row r="53">
      <c r="A53" s="7">
        <v>1.3090188E7</v>
      </c>
      <c r="B53" s="8" t="s">
        <v>198</v>
      </c>
      <c r="C53" s="8" t="s">
        <v>161</v>
      </c>
      <c r="D53" s="7" t="str">
        <f t="shared" si="1"/>
        <v>Probably alert-worthy</v>
      </c>
      <c r="E53" s="20" t="b">
        <f t="shared" si="2"/>
        <v>1</v>
      </c>
      <c r="F53" s="8" t="s">
        <v>1002</v>
      </c>
      <c r="G53" s="7" t="s">
        <v>1002</v>
      </c>
      <c r="H53" s="7">
        <v>4801.0</v>
      </c>
      <c r="I53" s="7">
        <v>740.0</v>
      </c>
      <c r="J53" s="7">
        <v>194.0</v>
      </c>
      <c r="K53" s="7" t="s">
        <v>252</v>
      </c>
      <c r="L53" s="7" t="s">
        <v>253</v>
      </c>
      <c r="N53" s="20"/>
      <c r="O53" s="20"/>
      <c r="P53" s="20"/>
      <c r="Q53" s="20"/>
      <c r="R53" s="20"/>
      <c r="S53" s="20"/>
      <c r="T53" s="20"/>
      <c r="U53" s="20"/>
      <c r="V53" s="20"/>
      <c r="W53" s="20"/>
      <c r="X53" s="20"/>
      <c r="Y53" s="20"/>
      <c r="Z53" s="20"/>
      <c r="AA53" s="20"/>
    </row>
    <row r="54">
      <c r="A54" s="10">
        <v>1.3192339E7</v>
      </c>
      <c r="B54" s="12" t="s">
        <v>222</v>
      </c>
      <c r="C54" s="12" t="s">
        <v>161</v>
      </c>
      <c r="D54" s="10" t="str">
        <f t="shared" si="1"/>
        <v>Definitely alert-worthy</v>
      </c>
      <c r="E54" s="20" t="b">
        <f t="shared" si="2"/>
        <v>0</v>
      </c>
      <c r="F54" s="12" t="s">
        <v>1016</v>
      </c>
      <c r="G54" s="22" t="s">
        <v>1016</v>
      </c>
      <c r="H54" s="10">
        <v>4570.0</v>
      </c>
      <c r="I54" s="10">
        <v>668.0</v>
      </c>
      <c r="J54" s="10">
        <v>262.0</v>
      </c>
      <c r="K54" s="10" t="s">
        <v>252</v>
      </c>
      <c r="L54" s="10" t="s">
        <v>253</v>
      </c>
      <c r="N54" s="23"/>
      <c r="O54" s="23"/>
      <c r="P54" s="23"/>
      <c r="Q54" s="23"/>
      <c r="R54" s="23"/>
      <c r="S54" s="23"/>
      <c r="T54" s="23"/>
      <c r="U54" s="23"/>
      <c r="V54" s="23"/>
      <c r="W54" s="23"/>
      <c r="X54" s="23"/>
      <c r="Y54" s="23"/>
      <c r="Z54" s="23"/>
      <c r="AA54" s="23"/>
    </row>
    <row r="55">
      <c r="A55" s="10">
        <v>1.3363445E7</v>
      </c>
      <c r="B55" s="12" t="s">
        <v>104</v>
      </c>
      <c r="C55" s="12" t="s">
        <v>78</v>
      </c>
      <c r="D55" s="10" t="str">
        <f t="shared" si="1"/>
        <v>Not alert-worthy</v>
      </c>
      <c r="E55" s="20" t="b">
        <f t="shared" si="2"/>
        <v>0</v>
      </c>
      <c r="F55" s="12" t="s">
        <v>1028</v>
      </c>
      <c r="G55" s="10" t="s">
        <v>1028</v>
      </c>
      <c r="H55" s="10">
        <v>6077.0</v>
      </c>
      <c r="I55" s="10">
        <v>762.0</v>
      </c>
      <c r="J55" s="10">
        <v>317.0</v>
      </c>
      <c r="K55" s="10" t="s">
        <v>252</v>
      </c>
      <c r="L55" s="10" t="s">
        <v>253</v>
      </c>
      <c r="N55" s="23"/>
      <c r="O55" s="23"/>
      <c r="P55" s="23"/>
      <c r="Q55" s="23"/>
      <c r="R55" s="23"/>
      <c r="S55" s="23"/>
      <c r="T55" s="23"/>
      <c r="U55" s="23"/>
      <c r="V55" s="23"/>
      <c r="W55" s="23"/>
      <c r="X55" s="23"/>
      <c r="Y55" s="23"/>
      <c r="Z55" s="23"/>
      <c r="AA55" s="23"/>
    </row>
    <row r="56">
      <c r="A56" s="7">
        <v>1.353247E7</v>
      </c>
      <c r="B56" s="8" t="s">
        <v>227</v>
      </c>
      <c r="C56" s="8" t="s">
        <v>101</v>
      </c>
      <c r="D56" s="7" t="str">
        <f t="shared" si="1"/>
        <v>Not alert-worthy</v>
      </c>
      <c r="E56" s="20" t="b">
        <f t="shared" si="2"/>
        <v>1</v>
      </c>
      <c r="F56" s="8" t="s">
        <v>1039</v>
      </c>
      <c r="G56" s="7" t="s">
        <v>1039</v>
      </c>
      <c r="H56" s="7">
        <v>2292.0</v>
      </c>
      <c r="I56" s="7">
        <v>639.0</v>
      </c>
      <c r="J56" s="7">
        <v>81.0</v>
      </c>
      <c r="K56" s="7" t="s">
        <v>252</v>
      </c>
      <c r="L56" s="7" t="s">
        <v>253</v>
      </c>
      <c r="N56" s="20"/>
      <c r="O56" s="20"/>
      <c r="P56" s="20"/>
      <c r="Q56" s="20"/>
      <c r="R56" s="20"/>
      <c r="S56" s="20"/>
      <c r="T56" s="20"/>
      <c r="U56" s="20"/>
      <c r="V56" s="20"/>
      <c r="W56" s="20"/>
      <c r="X56" s="20"/>
      <c r="Y56" s="20"/>
      <c r="Z56" s="20"/>
      <c r="AA56" s="20"/>
    </row>
    <row r="57">
      <c r="A57" s="10">
        <v>1.4044605E7</v>
      </c>
      <c r="B57" s="12" t="s">
        <v>229</v>
      </c>
      <c r="C57" s="12" t="s">
        <v>101</v>
      </c>
      <c r="D57" s="10" t="str">
        <f t="shared" si="1"/>
        <v>Probably alert-worthy</v>
      </c>
      <c r="E57" s="20" t="b">
        <f t="shared" si="2"/>
        <v>0</v>
      </c>
      <c r="F57" s="12" t="s">
        <v>1060</v>
      </c>
      <c r="G57" s="10" t="s">
        <v>1060</v>
      </c>
      <c r="H57" s="10">
        <v>8137.0</v>
      </c>
      <c r="I57" s="10">
        <v>630.0</v>
      </c>
      <c r="J57" s="10">
        <v>552.0</v>
      </c>
      <c r="K57" s="10" t="s">
        <v>252</v>
      </c>
      <c r="L57" s="10" t="s">
        <v>253</v>
      </c>
      <c r="N57" s="23"/>
      <c r="O57" s="23"/>
      <c r="P57" s="23"/>
      <c r="Q57" s="23"/>
      <c r="R57" s="23"/>
      <c r="S57" s="23"/>
      <c r="T57" s="23"/>
      <c r="U57" s="23"/>
      <c r="V57" s="23"/>
      <c r="W57" s="23"/>
      <c r="X57" s="23"/>
      <c r="Y57" s="23"/>
      <c r="Z57" s="23"/>
      <c r="AA57" s="23"/>
    </row>
    <row r="58">
      <c r="A58" s="7">
        <v>1.4214444E7</v>
      </c>
      <c r="B58" s="8" t="s">
        <v>232</v>
      </c>
      <c r="C58" s="8" t="s">
        <v>101</v>
      </c>
      <c r="D58" s="7" t="str">
        <f t="shared" si="1"/>
        <v>Probably alert-worthy</v>
      </c>
      <c r="E58" s="20" t="b">
        <f t="shared" si="2"/>
        <v>0</v>
      </c>
      <c r="F58" s="8" t="s">
        <v>1075</v>
      </c>
      <c r="G58" s="7" t="s">
        <v>1075</v>
      </c>
      <c r="H58" s="7">
        <v>6589.0</v>
      </c>
      <c r="I58" s="7">
        <v>634.0</v>
      </c>
      <c r="J58" s="7">
        <v>376.0</v>
      </c>
      <c r="K58" s="7" t="s">
        <v>252</v>
      </c>
      <c r="L58" s="7" t="s">
        <v>253</v>
      </c>
      <c r="N58" s="20"/>
      <c r="O58" s="20"/>
      <c r="P58" s="20"/>
      <c r="Q58" s="20"/>
      <c r="R58" s="20"/>
      <c r="S58" s="20"/>
      <c r="T58" s="20"/>
      <c r="U58" s="20"/>
      <c r="V58" s="20"/>
      <c r="W58" s="20"/>
      <c r="X58" s="20"/>
      <c r="Y58" s="20"/>
      <c r="Z58" s="20"/>
      <c r="AA58" s="20"/>
    </row>
    <row r="59">
      <c r="A59" s="7">
        <v>1.4974823E7</v>
      </c>
      <c r="B59" s="8" t="s">
        <v>162</v>
      </c>
      <c r="C59" s="8" t="s">
        <v>101</v>
      </c>
      <c r="D59" s="7" t="str">
        <f t="shared" si="1"/>
        <v>Not alert-worthy</v>
      </c>
      <c r="E59" s="20" t="b">
        <f t="shared" si="2"/>
        <v>1</v>
      </c>
      <c r="F59" s="8" t="s">
        <v>1086</v>
      </c>
      <c r="G59" s="7" t="s">
        <v>1086</v>
      </c>
      <c r="H59" s="7">
        <v>2743.0</v>
      </c>
      <c r="I59" s="7">
        <v>670.0</v>
      </c>
      <c r="J59" s="7">
        <v>53.0</v>
      </c>
      <c r="K59" s="7" t="s">
        <v>252</v>
      </c>
      <c r="L59" s="7" t="s">
        <v>253</v>
      </c>
      <c r="N59" s="20"/>
      <c r="O59" s="20"/>
      <c r="P59" s="20"/>
      <c r="Q59" s="20"/>
      <c r="R59" s="20"/>
      <c r="S59" s="20"/>
      <c r="T59" s="20"/>
      <c r="U59" s="20"/>
      <c r="V59" s="20"/>
      <c r="W59" s="20"/>
      <c r="X59" s="20"/>
      <c r="Y59" s="20"/>
      <c r="Z59" s="20"/>
      <c r="AA59" s="20"/>
    </row>
    <row r="60">
      <c r="A60" s="7">
        <v>1.4974823E7</v>
      </c>
      <c r="B60" s="8" t="s">
        <v>162</v>
      </c>
      <c r="C60" s="8" t="s">
        <v>101</v>
      </c>
      <c r="D60" s="7" t="str">
        <f t="shared" si="1"/>
        <v>Not alert-worthy</v>
      </c>
      <c r="E60" s="20" t="b">
        <f t="shared" si="2"/>
        <v>1</v>
      </c>
      <c r="F60" s="8" t="s">
        <v>1096</v>
      </c>
      <c r="G60" s="7" t="s">
        <v>1096</v>
      </c>
      <c r="H60" s="7">
        <v>2085.0</v>
      </c>
      <c r="I60" s="7">
        <v>670.0</v>
      </c>
      <c r="J60" s="7">
        <v>50.0</v>
      </c>
      <c r="K60" s="7" t="s">
        <v>252</v>
      </c>
      <c r="L60" s="7" t="s">
        <v>253</v>
      </c>
      <c r="N60" s="20"/>
      <c r="O60" s="20"/>
      <c r="P60" s="20"/>
      <c r="Q60" s="20"/>
      <c r="R60" s="20"/>
      <c r="S60" s="20"/>
      <c r="T60" s="20"/>
      <c r="U60" s="20"/>
      <c r="V60" s="20"/>
      <c r="W60" s="20"/>
      <c r="X60" s="20"/>
      <c r="Y60" s="20"/>
      <c r="Z60" s="20"/>
      <c r="AA60" s="20"/>
    </row>
    <row r="61">
      <c r="A61" s="10">
        <v>1.5085999E7</v>
      </c>
      <c r="B61" s="12" t="s">
        <v>239</v>
      </c>
      <c r="C61" s="12" t="s">
        <v>78</v>
      </c>
      <c r="D61" s="10" t="str">
        <f t="shared" si="1"/>
        <v>Not alert-worthy</v>
      </c>
      <c r="E61" s="20" t="b">
        <f t="shared" si="2"/>
        <v>0</v>
      </c>
      <c r="F61" s="12" t="s">
        <v>1107</v>
      </c>
      <c r="G61" s="10" t="s">
        <v>1107</v>
      </c>
      <c r="H61" s="10">
        <v>7104.0</v>
      </c>
      <c r="I61" s="10">
        <v>574.0</v>
      </c>
      <c r="J61" s="10">
        <v>451.0</v>
      </c>
      <c r="K61" s="10" t="s">
        <v>252</v>
      </c>
      <c r="L61" s="10" t="s">
        <v>253</v>
      </c>
      <c r="N61" s="23"/>
      <c r="O61" s="23"/>
      <c r="P61" s="23"/>
      <c r="Q61" s="23"/>
      <c r="R61" s="23"/>
      <c r="S61" s="23"/>
      <c r="T61" s="23"/>
      <c r="U61" s="23"/>
      <c r="V61" s="23"/>
      <c r="W61" s="23"/>
      <c r="X61" s="23"/>
      <c r="Y61" s="23"/>
      <c r="Z61" s="23"/>
      <c r="AA61" s="23"/>
    </row>
    <row r="62">
      <c r="A62" s="7">
        <v>1.522508E7</v>
      </c>
      <c r="B62" s="8" t="s">
        <v>240</v>
      </c>
      <c r="C62" s="8" t="s">
        <v>101</v>
      </c>
      <c r="D62" s="7" t="str">
        <f t="shared" si="1"/>
        <v>Not alert-worthy</v>
      </c>
      <c r="E62" s="20" t="b">
        <f t="shared" si="2"/>
        <v>1</v>
      </c>
      <c r="F62" s="8" t="s">
        <v>1118</v>
      </c>
      <c r="G62" s="21" t="s">
        <v>1118</v>
      </c>
      <c r="H62" s="7">
        <v>2955.0</v>
      </c>
      <c r="I62" s="7">
        <v>581.0</v>
      </c>
      <c r="J62" s="7">
        <v>148.0</v>
      </c>
      <c r="K62" s="7" t="s">
        <v>252</v>
      </c>
      <c r="L62" s="7" t="s">
        <v>253</v>
      </c>
      <c r="N62" s="20"/>
      <c r="O62" s="20"/>
      <c r="P62" s="20"/>
      <c r="Q62" s="20"/>
      <c r="R62" s="20"/>
      <c r="S62" s="20"/>
      <c r="T62" s="20"/>
      <c r="U62" s="20"/>
      <c r="V62" s="20"/>
      <c r="W62" s="20"/>
      <c r="X62" s="20"/>
      <c r="Y62" s="20"/>
      <c r="Z62" s="20"/>
      <c r="AA62" s="20"/>
    </row>
    <row r="63">
      <c r="A63" s="7">
        <v>1.5560185E7</v>
      </c>
      <c r="B63" s="8" t="s">
        <v>243</v>
      </c>
      <c r="C63" s="8" t="s">
        <v>101</v>
      </c>
      <c r="D63" s="7" t="str">
        <f t="shared" si="1"/>
        <v>Not alert-worthy</v>
      </c>
      <c r="E63" s="20" t="b">
        <f t="shared" si="2"/>
        <v>1</v>
      </c>
      <c r="F63" s="8" t="s">
        <v>1132</v>
      </c>
      <c r="G63" s="21" t="s">
        <v>1132</v>
      </c>
      <c r="H63" s="7">
        <v>3020.0</v>
      </c>
      <c r="I63" s="7">
        <v>610.0</v>
      </c>
      <c r="J63" s="7">
        <v>119.0</v>
      </c>
      <c r="K63" s="7" t="s">
        <v>252</v>
      </c>
      <c r="L63" s="7" t="s">
        <v>253</v>
      </c>
      <c r="N63" s="20"/>
      <c r="O63" s="20"/>
      <c r="P63" s="20"/>
      <c r="Q63" s="20"/>
      <c r="R63" s="20"/>
      <c r="S63" s="20"/>
      <c r="T63" s="20"/>
      <c r="U63" s="20"/>
      <c r="V63" s="20"/>
      <c r="W63" s="20"/>
      <c r="X63" s="20"/>
      <c r="Y63" s="20"/>
      <c r="Z63" s="20"/>
      <c r="AA63" s="20"/>
    </row>
    <row r="64">
      <c r="A64" s="7">
        <v>1.6042959E7</v>
      </c>
      <c r="B64" s="8" t="s">
        <v>245</v>
      </c>
      <c r="C64" s="8" t="s">
        <v>78</v>
      </c>
      <c r="D64" s="7" t="str">
        <f t="shared" si="1"/>
        <v>Definitely alert-worthy</v>
      </c>
      <c r="E64" s="20" t="b">
        <f t="shared" si="2"/>
        <v>1</v>
      </c>
      <c r="F64" s="8" t="s">
        <v>1146</v>
      </c>
      <c r="G64" s="21" t="s">
        <v>1146</v>
      </c>
      <c r="H64" s="7">
        <v>5105.0</v>
      </c>
      <c r="I64" s="7">
        <v>662.0</v>
      </c>
      <c r="J64" s="7">
        <v>281.0</v>
      </c>
      <c r="K64" s="7" t="s">
        <v>252</v>
      </c>
      <c r="L64" s="7" t="s">
        <v>253</v>
      </c>
      <c r="N64" s="20"/>
      <c r="O64" s="20"/>
      <c r="P64" s="20"/>
      <c r="Q64" s="20"/>
      <c r="R64" s="20"/>
      <c r="S64" s="20"/>
      <c r="T64" s="20"/>
      <c r="U64" s="20"/>
      <c r="V64" s="20"/>
      <c r="W64" s="20"/>
      <c r="X64" s="20"/>
      <c r="Y64" s="20"/>
      <c r="Z64" s="20"/>
      <c r="AA64" s="20"/>
    </row>
    <row r="65">
      <c r="A65" s="7">
        <v>1.6366305E7</v>
      </c>
      <c r="B65" s="8" t="s">
        <v>248</v>
      </c>
      <c r="C65" s="8" t="s">
        <v>101</v>
      </c>
      <c r="D65" s="7" t="str">
        <f t="shared" si="1"/>
        <v>Not alert-worthy</v>
      </c>
      <c r="E65" s="20" t="b">
        <f t="shared" si="2"/>
        <v>1</v>
      </c>
      <c r="F65" s="8" t="s">
        <v>1161</v>
      </c>
      <c r="G65" s="21" t="s">
        <v>1161</v>
      </c>
      <c r="H65" s="7">
        <v>5938.0</v>
      </c>
      <c r="I65" s="7">
        <v>598.0</v>
      </c>
      <c r="J65" s="7">
        <v>407.0</v>
      </c>
      <c r="K65" s="7" t="s">
        <v>252</v>
      </c>
      <c r="L65" s="7" t="s">
        <v>253</v>
      </c>
      <c r="N65" s="20"/>
      <c r="O65" s="20"/>
      <c r="P65" s="20"/>
      <c r="Q65" s="20"/>
      <c r="R65" s="20"/>
      <c r="S65" s="20"/>
      <c r="T65" s="20"/>
      <c r="U65" s="20"/>
      <c r="V65" s="20"/>
      <c r="W65" s="20"/>
      <c r="X65" s="20"/>
      <c r="Y65" s="20"/>
      <c r="Z65" s="20"/>
      <c r="AA65" s="20"/>
    </row>
    <row r="66">
      <c r="A66" s="7">
        <v>1.6367752E7</v>
      </c>
      <c r="B66" s="8" t="s">
        <v>249</v>
      </c>
      <c r="C66" s="8" t="s">
        <v>101</v>
      </c>
      <c r="D66" s="7" t="str">
        <f t="shared" si="1"/>
        <v>Not alert-worthy</v>
      </c>
      <c r="E66" s="20" t="b">
        <f t="shared" si="2"/>
        <v>1</v>
      </c>
      <c r="F66" s="8" t="s">
        <v>1171</v>
      </c>
      <c r="G66" s="7" t="s">
        <v>1171</v>
      </c>
      <c r="H66" s="7">
        <v>2813.0</v>
      </c>
      <c r="I66" s="7">
        <v>710.0</v>
      </c>
      <c r="J66" s="7">
        <v>91.0</v>
      </c>
      <c r="K66" s="7" t="s">
        <v>252</v>
      </c>
      <c r="L66" s="7" t="s">
        <v>253</v>
      </c>
      <c r="N66" s="20"/>
      <c r="O66" s="20"/>
      <c r="P66" s="20"/>
      <c r="Q66" s="20"/>
      <c r="R66" s="20"/>
      <c r="S66" s="20"/>
      <c r="T66" s="20"/>
      <c r="U66" s="20"/>
      <c r="V66" s="20"/>
      <c r="W66" s="20"/>
      <c r="X66" s="20"/>
      <c r="Y66" s="20"/>
      <c r="Z66" s="20"/>
      <c r="AA66" s="20"/>
    </row>
    <row r="67">
      <c r="A67" s="7">
        <v>1.6648949E7</v>
      </c>
      <c r="B67" s="8" t="s">
        <v>251</v>
      </c>
      <c r="C67" s="8" t="s">
        <v>78</v>
      </c>
      <c r="D67" s="7" t="str">
        <f t="shared" si="1"/>
        <v>Probably alert-worthy</v>
      </c>
      <c r="E67" s="20" t="b">
        <f t="shared" si="2"/>
        <v>0</v>
      </c>
      <c r="F67" s="8" t="s">
        <v>1179</v>
      </c>
      <c r="G67" s="21" t="s">
        <v>1179</v>
      </c>
      <c r="H67" s="7">
        <v>5810.0</v>
      </c>
      <c r="I67" s="7">
        <v>572.0</v>
      </c>
      <c r="J67" s="7">
        <v>394.0</v>
      </c>
      <c r="K67" s="7" t="s">
        <v>252</v>
      </c>
      <c r="L67" s="7" t="s">
        <v>253</v>
      </c>
      <c r="N67" s="20"/>
      <c r="O67" s="20"/>
      <c r="P67" s="20"/>
      <c r="Q67" s="20"/>
      <c r="R67" s="20"/>
      <c r="S67" s="20"/>
      <c r="T67" s="20"/>
      <c r="U67" s="20"/>
      <c r="V67" s="20"/>
      <c r="W67" s="20"/>
      <c r="X67" s="20"/>
      <c r="Y67" s="20"/>
      <c r="Z67" s="20"/>
      <c r="AA67" s="20"/>
    </row>
    <row r="68">
      <c r="A68" s="7">
        <v>1.7025317E7</v>
      </c>
      <c r="B68" s="8" t="s">
        <v>183</v>
      </c>
      <c r="C68" s="8" t="s">
        <v>101</v>
      </c>
      <c r="D68" s="7" t="str">
        <f t="shared" si="1"/>
        <v>Not alert-worthy</v>
      </c>
      <c r="E68" s="20" t="b">
        <f t="shared" si="2"/>
        <v>1</v>
      </c>
      <c r="F68" s="8" t="s">
        <v>1190</v>
      </c>
      <c r="G68" s="7" t="s">
        <v>1190</v>
      </c>
      <c r="H68" s="7">
        <v>3276.0</v>
      </c>
      <c r="I68" s="7">
        <v>664.0</v>
      </c>
      <c r="J68" s="7">
        <v>82.0</v>
      </c>
      <c r="K68" s="7" t="s">
        <v>252</v>
      </c>
      <c r="L68" s="7" t="s">
        <v>253</v>
      </c>
      <c r="N68" s="20"/>
      <c r="O68" s="20"/>
      <c r="P68" s="20"/>
      <c r="Q68" s="20"/>
      <c r="R68" s="20"/>
      <c r="S68" s="20"/>
      <c r="T68" s="20"/>
      <c r="U68" s="20"/>
      <c r="V68" s="20"/>
      <c r="W68" s="20"/>
      <c r="X68" s="20"/>
      <c r="Y68" s="20"/>
      <c r="Z68" s="20"/>
      <c r="AA68" s="20"/>
    </row>
    <row r="69">
      <c r="A69" s="7">
        <v>1.7025317E7</v>
      </c>
      <c r="B69" s="8" t="s">
        <v>183</v>
      </c>
      <c r="C69" s="8" t="s">
        <v>101</v>
      </c>
      <c r="D69" s="7" t="str">
        <f t="shared" si="1"/>
        <v>Not alert-worthy</v>
      </c>
      <c r="E69" s="20" t="b">
        <f t="shared" si="2"/>
        <v>1</v>
      </c>
      <c r="F69" s="8" t="s">
        <v>1200</v>
      </c>
      <c r="G69" s="7" t="s">
        <v>1200</v>
      </c>
      <c r="H69" s="7">
        <v>2285.0</v>
      </c>
      <c r="I69" s="7">
        <v>664.0</v>
      </c>
      <c r="J69" s="7">
        <v>59.0</v>
      </c>
      <c r="K69" s="7" t="s">
        <v>252</v>
      </c>
      <c r="L69" s="7" t="s">
        <v>253</v>
      </c>
      <c r="N69" s="20"/>
      <c r="O69" s="20"/>
      <c r="P69" s="20"/>
      <c r="Q69" s="20"/>
      <c r="R69" s="20"/>
      <c r="S69" s="20"/>
      <c r="T69" s="20"/>
      <c r="U69" s="20"/>
      <c r="V69" s="20"/>
      <c r="W69" s="20"/>
      <c r="X69" s="20"/>
      <c r="Y69" s="20"/>
      <c r="Z69" s="20"/>
      <c r="AA69" s="20"/>
    </row>
    <row r="70">
      <c r="A70" s="10">
        <v>1.7339986E7</v>
      </c>
      <c r="B70" s="12" t="s">
        <v>256</v>
      </c>
      <c r="C70" s="12" t="s">
        <v>161</v>
      </c>
      <c r="D70" s="10" t="str">
        <f t="shared" si="1"/>
        <v>Probably alert-worthy</v>
      </c>
      <c r="E70" s="20" t="b">
        <f t="shared" si="2"/>
        <v>1</v>
      </c>
      <c r="F70" s="12" t="s">
        <v>1214</v>
      </c>
      <c r="G70" s="10" t="s">
        <v>1214</v>
      </c>
      <c r="H70" s="10">
        <v>3490.0</v>
      </c>
      <c r="I70" s="10">
        <v>679.0</v>
      </c>
      <c r="J70" s="10">
        <v>169.0</v>
      </c>
      <c r="K70" s="10" t="s">
        <v>252</v>
      </c>
      <c r="L70" s="10" t="s">
        <v>253</v>
      </c>
      <c r="N70" s="23"/>
      <c r="O70" s="23"/>
      <c r="P70" s="23"/>
      <c r="Q70" s="23"/>
      <c r="R70" s="23"/>
      <c r="S70" s="23"/>
      <c r="T70" s="23"/>
      <c r="U70" s="23"/>
      <c r="V70" s="23"/>
      <c r="W70" s="23"/>
      <c r="X70" s="23"/>
      <c r="Y70" s="23"/>
      <c r="Z70" s="23"/>
      <c r="AA70" s="23"/>
    </row>
    <row r="71">
      <c r="A71" s="10">
        <v>1.8310476E7</v>
      </c>
      <c r="B71" s="12" t="s">
        <v>258</v>
      </c>
      <c r="C71" s="12" t="s">
        <v>101</v>
      </c>
      <c r="D71" s="10" t="str">
        <f t="shared" si="1"/>
        <v>Probably alert-worthy</v>
      </c>
      <c r="E71" s="20" t="b">
        <f t="shared" si="2"/>
        <v>0</v>
      </c>
      <c r="F71" s="12" t="s">
        <v>1229</v>
      </c>
      <c r="G71" s="22" t="s">
        <v>1229</v>
      </c>
      <c r="H71" s="10">
        <v>6801.0</v>
      </c>
      <c r="I71" s="10">
        <v>598.0</v>
      </c>
      <c r="J71" s="10">
        <v>473.0</v>
      </c>
      <c r="K71" s="10" t="s">
        <v>252</v>
      </c>
      <c r="L71" s="10" t="s">
        <v>253</v>
      </c>
      <c r="N71" s="23"/>
      <c r="O71" s="23"/>
      <c r="P71" s="23"/>
      <c r="Q71" s="23"/>
      <c r="R71" s="23"/>
      <c r="S71" s="23"/>
      <c r="T71" s="23"/>
      <c r="U71" s="23"/>
      <c r="V71" s="23"/>
      <c r="W71" s="23"/>
      <c r="X71" s="23"/>
      <c r="Y71" s="23"/>
      <c r="Z71" s="23"/>
      <c r="AA71" s="23"/>
    </row>
    <row r="72">
      <c r="A72" s="7">
        <v>1.8436915E7</v>
      </c>
      <c r="B72" s="8" t="s">
        <v>260</v>
      </c>
      <c r="C72" s="8" t="s">
        <v>78</v>
      </c>
      <c r="D72" s="7" t="str">
        <f t="shared" si="1"/>
        <v>Definitely alert-worthy</v>
      </c>
      <c r="E72" s="20" t="b">
        <f t="shared" si="2"/>
        <v>1</v>
      </c>
      <c r="F72" s="8" t="s">
        <v>1242</v>
      </c>
      <c r="G72" s="21" t="s">
        <v>1242</v>
      </c>
      <c r="H72" s="7">
        <v>5023.0</v>
      </c>
      <c r="I72" s="7">
        <v>634.0</v>
      </c>
      <c r="J72" s="7">
        <v>307.0</v>
      </c>
      <c r="K72" s="7" t="s">
        <v>252</v>
      </c>
      <c r="L72" s="7" t="s">
        <v>253</v>
      </c>
      <c r="N72" s="20"/>
      <c r="O72" s="20"/>
      <c r="P72" s="20"/>
      <c r="Q72" s="20"/>
      <c r="R72" s="20"/>
      <c r="S72" s="20"/>
      <c r="T72" s="20"/>
      <c r="U72" s="20"/>
      <c r="V72" s="20"/>
      <c r="W72" s="20"/>
      <c r="X72" s="20"/>
      <c r="Y72" s="20"/>
      <c r="Z72" s="20"/>
      <c r="AA72" s="20"/>
    </row>
    <row r="73">
      <c r="A73" s="7">
        <v>1.8552945E7</v>
      </c>
      <c r="B73" s="8" t="s">
        <v>263</v>
      </c>
      <c r="C73" s="8" t="s">
        <v>101</v>
      </c>
      <c r="D73" s="7" t="str">
        <f t="shared" si="1"/>
        <v>Not alert-worthy</v>
      </c>
      <c r="E73" s="20" t="b">
        <f t="shared" si="2"/>
        <v>1</v>
      </c>
      <c r="F73" s="8" t="s">
        <v>1252</v>
      </c>
      <c r="G73" s="7" t="s">
        <v>1252</v>
      </c>
      <c r="H73" s="7">
        <v>4454.0</v>
      </c>
      <c r="I73" s="7">
        <v>576.0</v>
      </c>
      <c r="J73" s="7">
        <v>238.0</v>
      </c>
      <c r="K73" s="7" t="s">
        <v>252</v>
      </c>
      <c r="L73" s="7" t="s">
        <v>253</v>
      </c>
      <c r="N73" s="20"/>
      <c r="O73" s="20"/>
      <c r="P73" s="20"/>
      <c r="Q73" s="20"/>
      <c r="R73" s="20"/>
      <c r="S73" s="20"/>
      <c r="T73" s="20"/>
      <c r="U73" s="20"/>
      <c r="V73" s="20"/>
      <c r="W73" s="20"/>
      <c r="X73" s="20"/>
      <c r="Y73" s="20"/>
      <c r="Z73" s="20"/>
      <c r="AA73" s="20"/>
    </row>
    <row r="74">
      <c r="A74" s="7">
        <v>1.8900773E7</v>
      </c>
      <c r="B74" s="8" t="s">
        <v>265</v>
      </c>
      <c r="C74" s="8" t="s">
        <v>78</v>
      </c>
      <c r="D74" s="7" t="str">
        <f t="shared" si="1"/>
        <v>Definitely alert-worthy</v>
      </c>
      <c r="E74" s="20" t="b">
        <f t="shared" si="2"/>
        <v>1</v>
      </c>
      <c r="F74" s="8" t="s">
        <v>1263</v>
      </c>
      <c r="G74" s="21" t="s">
        <v>1263</v>
      </c>
      <c r="H74" s="7">
        <v>8087.0</v>
      </c>
      <c r="I74" s="7">
        <v>587.0</v>
      </c>
      <c r="J74" s="7">
        <v>546.0</v>
      </c>
      <c r="K74" s="7" t="s">
        <v>252</v>
      </c>
      <c r="L74" s="7" t="s">
        <v>253</v>
      </c>
      <c r="N74" s="20"/>
      <c r="O74" s="20"/>
      <c r="P74" s="20"/>
      <c r="Q74" s="20"/>
      <c r="R74" s="20"/>
      <c r="S74" s="20"/>
      <c r="T74" s="20"/>
      <c r="U74" s="20"/>
      <c r="V74" s="20"/>
      <c r="W74" s="20"/>
      <c r="X74" s="20"/>
      <c r="Y74" s="20"/>
      <c r="Z74" s="20"/>
      <c r="AA74" s="20"/>
    </row>
    <row r="75">
      <c r="A75" s="7">
        <v>2.022792E7</v>
      </c>
      <c r="B75" s="8" t="s">
        <v>139</v>
      </c>
      <c r="C75" s="8" t="s">
        <v>101</v>
      </c>
      <c r="D75" s="7" t="str">
        <f t="shared" si="1"/>
        <v>Not alert-worthy</v>
      </c>
      <c r="E75" s="20" t="b">
        <f t="shared" si="2"/>
        <v>1</v>
      </c>
      <c r="F75" s="8" t="s">
        <v>1272</v>
      </c>
      <c r="G75" s="7" t="s">
        <v>1272</v>
      </c>
      <c r="H75" s="7">
        <v>3073.0</v>
      </c>
      <c r="I75" s="7">
        <v>658.0</v>
      </c>
      <c r="J75" s="7">
        <v>73.0</v>
      </c>
      <c r="K75" s="7" t="s">
        <v>252</v>
      </c>
      <c r="L75" s="7" t="s">
        <v>253</v>
      </c>
      <c r="N75" s="20"/>
      <c r="O75" s="20"/>
      <c r="P75" s="20"/>
      <c r="Q75" s="20"/>
      <c r="R75" s="20"/>
      <c r="S75" s="20"/>
      <c r="T75" s="20"/>
      <c r="U75" s="20"/>
      <c r="V75" s="20"/>
      <c r="W75" s="20"/>
      <c r="X75" s="20"/>
      <c r="Y75" s="20"/>
      <c r="Z75" s="20"/>
      <c r="AA75" s="20"/>
    </row>
    <row r="76">
      <c r="A76" s="7">
        <v>2.0690536E7</v>
      </c>
      <c r="B76" s="8" t="s">
        <v>272</v>
      </c>
      <c r="C76" s="8" t="s">
        <v>78</v>
      </c>
      <c r="D76" s="7" t="str">
        <f t="shared" si="1"/>
        <v>Definitely alert-worthy</v>
      </c>
      <c r="E76" s="20" t="b">
        <f t="shared" si="2"/>
        <v>1</v>
      </c>
      <c r="F76" s="8" t="s">
        <v>1285</v>
      </c>
      <c r="G76" s="21" t="s">
        <v>1285</v>
      </c>
      <c r="H76" s="7">
        <v>8612.0</v>
      </c>
      <c r="I76" s="7">
        <v>597.0</v>
      </c>
      <c r="J76" s="7">
        <v>625.0</v>
      </c>
      <c r="K76" s="7" t="s">
        <v>252</v>
      </c>
      <c r="L76" s="7" t="s">
        <v>253</v>
      </c>
      <c r="N76" s="20"/>
      <c r="O76" s="20"/>
      <c r="P76" s="20"/>
      <c r="Q76" s="20"/>
      <c r="R76" s="20"/>
      <c r="S76" s="20"/>
      <c r="T76" s="20"/>
      <c r="U76" s="20"/>
      <c r="V76" s="20"/>
      <c r="W76" s="20"/>
      <c r="X76" s="20"/>
      <c r="Y76" s="20"/>
      <c r="Z76" s="20"/>
      <c r="AA76" s="20"/>
    </row>
    <row r="77">
      <c r="A77" s="7">
        <v>2.0702017E7</v>
      </c>
      <c r="B77" s="8" t="s">
        <v>274</v>
      </c>
      <c r="C77" s="8" t="s">
        <v>78</v>
      </c>
      <c r="D77" s="7" t="str">
        <f t="shared" si="1"/>
        <v>Definitely alert-worthy</v>
      </c>
      <c r="E77" s="20" t="b">
        <f t="shared" si="2"/>
        <v>1</v>
      </c>
      <c r="F77" s="8" t="s">
        <v>1298</v>
      </c>
      <c r="G77" s="7" t="s">
        <v>1298</v>
      </c>
      <c r="H77" s="7">
        <v>4865.0</v>
      </c>
      <c r="I77" s="7">
        <v>726.0</v>
      </c>
      <c r="J77" s="7">
        <v>180.0</v>
      </c>
      <c r="K77" s="7" t="s">
        <v>252</v>
      </c>
      <c r="L77" s="7" t="s">
        <v>253</v>
      </c>
      <c r="N77" s="20"/>
      <c r="O77" s="20"/>
      <c r="P77" s="20"/>
      <c r="Q77" s="20"/>
      <c r="R77" s="20"/>
      <c r="S77" s="20"/>
      <c r="T77" s="20"/>
      <c r="U77" s="20"/>
      <c r="V77" s="20"/>
      <c r="W77" s="20"/>
      <c r="X77" s="20"/>
      <c r="Y77" s="20"/>
      <c r="Z77" s="20"/>
      <c r="AA77" s="20"/>
    </row>
    <row r="78">
      <c r="A78" s="7">
        <v>2.0739235E7</v>
      </c>
      <c r="B78" s="8" t="s">
        <v>276</v>
      </c>
      <c r="C78" s="8" t="s">
        <v>78</v>
      </c>
      <c r="D78" s="7" t="str">
        <f t="shared" si="1"/>
        <v>Probably alert-worthy</v>
      </c>
      <c r="E78" s="20" t="b">
        <f t="shared" si="2"/>
        <v>0</v>
      </c>
      <c r="F78" s="8" t="s">
        <v>1312</v>
      </c>
      <c r="G78" s="21" t="s">
        <v>1312</v>
      </c>
      <c r="H78" s="7">
        <v>7395.0</v>
      </c>
      <c r="I78" s="7">
        <v>582.0</v>
      </c>
      <c r="J78" s="7">
        <v>459.0</v>
      </c>
      <c r="K78" s="7" t="s">
        <v>252</v>
      </c>
      <c r="L78" s="7" t="s">
        <v>253</v>
      </c>
      <c r="N78" s="20"/>
      <c r="O78" s="20"/>
      <c r="P78" s="20"/>
      <c r="Q78" s="20"/>
      <c r="R78" s="20"/>
      <c r="S78" s="20"/>
      <c r="T78" s="20"/>
      <c r="U78" s="20"/>
      <c r="V78" s="20"/>
      <c r="W78" s="20"/>
      <c r="X78" s="20"/>
      <c r="Y78" s="20"/>
      <c r="Z78" s="20"/>
      <c r="AA78" s="20"/>
    </row>
    <row r="79">
      <c r="A79" s="10">
        <v>2.1304862E7</v>
      </c>
      <c r="B79" s="12" t="s">
        <v>279</v>
      </c>
      <c r="C79" s="12" t="s">
        <v>101</v>
      </c>
      <c r="D79" s="10" t="str">
        <f t="shared" si="1"/>
        <v>Probably alert-worthy</v>
      </c>
      <c r="E79" s="20" t="b">
        <f t="shared" si="2"/>
        <v>0</v>
      </c>
      <c r="F79" s="12" t="s">
        <v>1327</v>
      </c>
      <c r="G79" s="10" t="s">
        <v>1327</v>
      </c>
      <c r="H79" s="10">
        <v>3972.0</v>
      </c>
      <c r="I79" s="10">
        <v>655.0</v>
      </c>
      <c r="J79" s="10">
        <v>171.0</v>
      </c>
      <c r="K79" s="10" t="s">
        <v>252</v>
      </c>
      <c r="L79" s="10" t="s">
        <v>253</v>
      </c>
      <c r="N79" s="23"/>
      <c r="O79" s="23"/>
      <c r="P79" s="23"/>
      <c r="Q79" s="23"/>
      <c r="R79" s="23"/>
      <c r="S79" s="23"/>
      <c r="T79" s="23"/>
      <c r="U79" s="23"/>
      <c r="V79" s="23"/>
      <c r="W79" s="23"/>
      <c r="X79" s="23"/>
      <c r="Y79" s="23"/>
      <c r="Z79" s="23"/>
      <c r="AA79" s="23"/>
    </row>
    <row r="80">
      <c r="A80" s="10">
        <v>2.1506816E7</v>
      </c>
      <c r="B80" s="12" t="s">
        <v>278</v>
      </c>
      <c r="C80" s="12" t="s">
        <v>101</v>
      </c>
      <c r="D80" s="10" t="str">
        <f t="shared" si="1"/>
        <v>Not alert-worthy</v>
      </c>
      <c r="E80" s="20" t="b">
        <f t="shared" si="2"/>
        <v>1</v>
      </c>
      <c r="F80" s="12" t="s">
        <v>1341</v>
      </c>
      <c r="G80" s="10" t="s">
        <v>1341</v>
      </c>
      <c r="H80" s="10">
        <v>3233.0</v>
      </c>
      <c r="I80" s="10">
        <v>734.0</v>
      </c>
      <c r="J80" s="10">
        <v>140.0</v>
      </c>
      <c r="K80" s="10" t="s">
        <v>252</v>
      </c>
      <c r="L80" s="10" t="s">
        <v>253</v>
      </c>
      <c r="N80" s="23"/>
      <c r="O80" s="23"/>
      <c r="P80" s="23"/>
      <c r="Q80" s="23"/>
      <c r="R80" s="23"/>
      <c r="S80" s="23"/>
      <c r="T80" s="23"/>
      <c r="U80" s="23"/>
      <c r="V80" s="23"/>
      <c r="W80" s="23"/>
      <c r="X80" s="23"/>
      <c r="Y80" s="23"/>
      <c r="Z80" s="23"/>
      <c r="AA80" s="23"/>
    </row>
    <row r="81">
      <c r="A81" s="7">
        <v>2.1970723E7</v>
      </c>
      <c r="B81" s="8" t="s">
        <v>283</v>
      </c>
      <c r="C81" s="8" t="s">
        <v>78</v>
      </c>
      <c r="D81" s="7" t="str">
        <f t="shared" si="1"/>
        <v>Definitely alert-worthy</v>
      </c>
      <c r="E81" s="20" t="b">
        <f t="shared" si="2"/>
        <v>1</v>
      </c>
      <c r="F81" s="8" t="s">
        <v>1355</v>
      </c>
      <c r="G81" s="21" t="s">
        <v>1355</v>
      </c>
      <c r="H81" s="7">
        <v>3066.0</v>
      </c>
      <c r="I81" s="7">
        <v>725.0</v>
      </c>
      <c r="J81" s="7">
        <v>167.0</v>
      </c>
      <c r="K81" s="7" t="s">
        <v>252</v>
      </c>
      <c r="L81" s="7" t="s">
        <v>253</v>
      </c>
      <c r="N81" s="20"/>
      <c r="O81" s="20"/>
      <c r="P81" s="20"/>
      <c r="Q81" s="20"/>
      <c r="R81" s="20"/>
      <c r="S81" s="20"/>
      <c r="T81" s="20"/>
      <c r="U81" s="20"/>
      <c r="V81" s="20"/>
      <c r="W81" s="20"/>
      <c r="X81" s="20"/>
      <c r="Y81" s="20"/>
      <c r="Z81" s="20"/>
      <c r="AA81" s="20"/>
    </row>
    <row r="82">
      <c r="A82" s="10">
        <v>2.2572974E7</v>
      </c>
      <c r="B82" s="12" t="s">
        <v>127</v>
      </c>
      <c r="C82" s="12" t="s">
        <v>78</v>
      </c>
      <c r="D82" s="10" t="str">
        <f t="shared" si="1"/>
        <v>Probably alert-worthy</v>
      </c>
      <c r="E82" s="20" t="b">
        <f t="shared" si="2"/>
        <v>0</v>
      </c>
      <c r="F82" s="12" t="s">
        <v>1370</v>
      </c>
      <c r="G82" s="10" t="s">
        <v>1370</v>
      </c>
      <c r="H82" s="10">
        <v>5026.0</v>
      </c>
      <c r="I82" s="10">
        <v>899.0</v>
      </c>
      <c r="J82" s="10">
        <v>192.0</v>
      </c>
      <c r="K82" s="10" t="s">
        <v>252</v>
      </c>
      <c r="L82" s="10" t="s">
        <v>253</v>
      </c>
      <c r="N82" s="23"/>
      <c r="O82" s="23"/>
      <c r="P82" s="23"/>
      <c r="Q82" s="23"/>
      <c r="R82" s="23"/>
      <c r="S82" s="23"/>
      <c r="T82" s="23"/>
      <c r="U82" s="23"/>
      <c r="V82" s="23"/>
      <c r="W82" s="23"/>
      <c r="X82" s="23"/>
      <c r="Y82" s="23"/>
      <c r="Z82" s="23"/>
      <c r="AA82" s="23"/>
    </row>
    <row r="83">
      <c r="A83" s="7">
        <v>2.2876757E7</v>
      </c>
      <c r="B83" s="8" t="s">
        <v>289</v>
      </c>
      <c r="C83" s="8" t="s">
        <v>101</v>
      </c>
      <c r="D83" s="7" t="str">
        <f t="shared" si="1"/>
        <v>Probably alert-worthy</v>
      </c>
      <c r="E83" s="20" t="b">
        <f t="shared" si="2"/>
        <v>0</v>
      </c>
      <c r="F83" s="8" t="s">
        <v>1383</v>
      </c>
      <c r="G83" s="21" t="s">
        <v>1383</v>
      </c>
      <c r="H83" s="7">
        <v>8596.0</v>
      </c>
      <c r="I83" s="7">
        <v>618.0</v>
      </c>
      <c r="J83" s="7">
        <v>591.0</v>
      </c>
      <c r="K83" s="7" t="s">
        <v>252</v>
      </c>
      <c r="L83" s="7" t="s">
        <v>253</v>
      </c>
      <c r="N83" s="20"/>
      <c r="O83" s="20"/>
      <c r="P83" s="20"/>
      <c r="Q83" s="20"/>
      <c r="R83" s="20"/>
      <c r="S83" s="20"/>
      <c r="T83" s="20"/>
      <c r="U83" s="20"/>
      <c r="V83" s="20"/>
      <c r="W83" s="20"/>
      <c r="X83" s="20"/>
      <c r="Y83" s="20"/>
      <c r="Z83" s="20"/>
      <c r="AA83" s="20"/>
    </row>
    <row r="84">
      <c r="A84" s="7">
        <v>2.3389026E7</v>
      </c>
      <c r="B84" s="8" t="s">
        <v>223</v>
      </c>
      <c r="C84" s="8" t="s">
        <v>101</v>
      </c>
      <c r="D84" s="7" t="str">
        <f t="shared" si="1"/>
        <v>Not alert-worthy</v>
      </c>
      <c r="E84" s="20" t="b">
        <f t="shared" si="2"/>
        <v>1</v>
      </c>
      <c r="F84" s="8" t="s">
        <v>1395</v>
      </c>
      <c r="G84" s="7" t="s">
        <v>1395</v>
      </c>
      <c r="H84" s="7">
        <v>2575.0</v>
      </c>
      <c r="I84" s="7">
        <v>714.0</v>
      </c>
      <c r="J84" s="7">
        <v>41.0</v>
      </c>
      <c r="K84" s="7" t="s">
        <v>252</v>
      </c>
      <c r="L84" s="7" t="s">
        <v>253</v>
      </c>
      <c r="N84" s="20"/>
      <c r="O84" s="20"/>
      <c r="P84" s="20"/>
      <c r="Q84" s="20"/>
      <c r="R84" s="20"/>
      <c r="S84" s="20"/>
      <c r="T84" s="20"/>
      <c r="U84" s="20"/>
      <c r="V84" s="20"/>
      <c r="W84" s="20"/>
      <c r="X84" s="20"/>
      <c r="Y84" s="20"/>
      <c r="Z84" s="20"/>
      <c r="AA84" s="20"/>
    </row>
    <row r="85">
      <c r="A85" s="10">
        <v>2.4125647E7</v>
      </c>
      <c r="B85" s="12" t="s">
        <v>295</v>
      </c>
      <c r="C85" s="12" t="s">
        <v>78</v>
      </c>
      <c r="D85" s="10" t="str">
        <f t="shared" si="1"/>
        <v>Probably alert-worthy</v>
      </c>
      <c r="E85" s="20" t="b">
        <f t="shared" si="2"/>
        <v>0</v>
      </c>
      <c r="F85" s="12" t="s">
        <v>1405</v>
      </c>
      <c r="G85" s="22" t="s">
        <v>1405</v>
      </c>
      <c r="H85" s="10">
        <v>6659.0</v>
      </c>
      <c r="I85" s="10">
        <v>575.0</v>
      </c>
      <c r="J85" s="10">
        <v>464.0</v>
      </c>
      <c r="K85" s="10" t="s">
        <v>252</v>
      </c>
      <c r="L85" s="10" t="s">
        <v>253</v>
      </c>
      <c r="N85" s="23"/>
      <c r="O85" s="23"/>
      <c r="P85" s="23"/>
      <c r="Q85" s="23"/>
      <c r="R85" s="23"/>
      <c r="S85" s="23"/>
      <c r="T85" s="23"/>
      <c r="U85" s="23"/>
      <c r="V85" s="23"/>
      <c r="W85" s="23"/>
      <c r="X85" s="23"/>
      <c r="Y85" s="23"/>
      <c r="Z85" s="23"/>
      <c r="AA85" s="23"/>
    </row>
    <row r="86">
      <c r="A86" s="7">
        <v>2.6912791E7</v>
      </c>
      <c r="B86" s="8" t="s">
        <v>177</v>
      </c>
      <c r="C86" s="8" t="s">
        <v>78</v>
      </c>
      <c r="D86" s="7" t="str">
        <f t="shared" si="1"/>
        <v>Definitely alert-worthy</v>
      </c>
      <c r="E86" s="20" t="b">
        <f t="shared" si="2"/>
        <v>1</v>
      </c>
      <c r="F86" s="8" t="s">
        <v>1418</v>
      </c>
      <c r="G86" s="7" t="s">
        <v>1418</v>
      </c>
      <c r="H86" s="7">
        <v>4334.0</v>
      </c>
      <c r="I86" s="7">
        <v>773.0</v>
      </c>
      <c r="J86" s="7">
        <v>142.0</v>
      </c>
      <c r="K86" s="7" t="s">
        <v>252</v>
      </c>
      <c r="L86" s="7" t="s">
        <v>253</v>
      </c>
      <c r="N86" s="20"/>
      <c r="O86" s="20"/>
      <c r="P86" s="20"/>
      <c r="Q86" s="20"/>
      <c r="R86" s="20"/>
      <c r="S86" s="20"/>
      <c r="T86" s="20"/>
      <c r="U86" s="20"/>
      <c r="V86" s="20"/>
      <c r="W86" s="20"/>
      <c r="X86" s="20"/>
      <c r="Y86" s="20"/>
      <c r="Z86" s="20"/>
      <c r="AA86" s="20"/>
    </row>
    <row r="87">
      <c r="A87" s="7">
        <v>2.701303E7</v>
      </c>
      <c r="B87" s="8" t="s">
        <v>300</v>
      </c>
      <c r="C87" s="8" t="s">
        <v>101</v>
      </c>
      <c r="D87" s="7" t="str">
        <f t="shared" si="1"/>
        <v>Not alert-worthy</v>
      </c>
      <c r="E87" s="20" t="b">
        <f t="shared" si="2"/>
        <v>1</v>
      </c>
      <c r="F87" s="8" t="s">
        <v>1431</v>
      </c>
      <c r="G87" s="21" t="s">
        <v>1431</v>
      </c>
      <c r="H87" s="7">
        <v>3850.0</v>
      </c>
      <c r="I87" s="7">
        <v>579.0</v>
      </c>
      <c r="J87" s="7">
        <v>197.0</v>
      </c>
      <c r="K87" s="7" t="s">
        <v>252</v>
      </c>
      <c r="L87" s="7" t="s">
        <v>253</v>
      </c>
      <c r="N87" s="20"/>
      <c r="O87" s="20"/>
      <c r="P87" s="20"/>
      <c r="Q87" s="20"/>
      <c r="R87" s="20"/>
      <c r="S87" s="20"/>
      <c r="T87" s="20"/>
      <c r="U87" s="20"/>
      <c r="V87" s="20"/>
      <c r="W87" s="20"/>
      <c r="X87" s="20"/>
      <c r="Y87" s="20"/>
      <c r="Z87" s="20"/>
      <c r="AA87" s="20"/>
    </row>
    <row r="88">
      <c r="A88" s="7">
        <v>2.7924577E7</v>
      </c>
      <c r="B88" s="8" t="s">
        <v>201</v>
      </c>
      <c r="C88" s="8" t="s">
        <v>101</v>
      </c>
      <c r="D88" s="7" t="str">
        <f t="shared" si="1"/>
        <v>Not alert-worthy</v>
      </c>
      <c r="E88" s="20" t="b">
        <f t="shared" si="2"/>
        <v>1</v>
      </c>
      <c r="F88" s="8" t="s">
        <v>1443</v>
      </c>
      <c r="G88" s="21" t="s">
        <v>1443</v>
      </c>
      <c r="H88" s="7">
        <v>3504.0</v>
      </c>
      <c r="I88" s="7">
        <v>650.0</v>
      </c>
      <c r="J88" s="7">
        <v>107.0</v>
      </c>
      <c r="K88" s="7" t="s">
        <v>252</v>
      </c>
      <c r="L88" s="7" t="s">
        <v>253</v>
      </c>
      <c r="N88" s="20"/>
      <c r="O88" s="20"/>
      <c r="P88" s="20"/>
      <c r="Q88" s="20"/>
      <c r="R88" s="20"/>
      <c r="S88" s="20"/>
      <c r="T88" s="20"/>
      <c r="U88" s="20"/>
      <c r="V88" s="20"/>
      <c r="W88" s="20"/>
      <c r="X88" s="20"/>
      <c r="Y88" s="20"/>
      <c r="Z88" s="20"/>
      <c r="AA88" s="20"/>
    </row>
    <row r="89">
      <c r="A89" s="7">
        <v>2.797386E7</v>
      </c>
      <c r="B89" s="8" t="s">
        <v>292</v>
      </c>
      <c r="C89" s="8" t="s">
        <v>101</v>
      </c>
      <c r="D89" s="7" t="str">
        <f t="shared" si="1"/>
        <v>Not alert-worthy</v>
      </c>
      <c r="E89" s="20" t="b">
        <f t="shared" si="2"/>
        <v>1</v>
      </c>
      <c r="F89" s="8" t="s">
        <v>1454</v>
      </c>
      <c r="G89" s="7" t="s">
        <v>1454</v>
      </c>
      <c r="H89" s="7">
        <v>3333.0</v>
      </c>
      <c r="I89" s="7">
        <v>667.0</v>
      </c>
      <c r="J89" s="7">
        <v>173.0</v>
      </c>
      <c r="K89" s="7" t="s">
        <v>252</v>
      </c>
      <c r="L89" s="7" t="s">
        <v>253</v>
      </c>
      <c r="N89" s="20"/>
      <c r="O89" s="20"/>
      <c r="P89" s="20"/>
      <c r="Q89" s="20"/>
      <c r="R89" s="20"/>
      <c r="S89" s="20"/>
      <c r="T89" s="20"/>
      <c r="U89" s="20"/>
      <c r="V89" s="20"/>
      <c r="W89" s="20"/>
      <c r="X89" s="20"/>
      <c r="Y89" s="20"/>
      <c r="Z89" s="20"/>
      <c r="AA89" s="20"/>
    </row>
    <row r="90">
      <c r="A90" s="7">
        <v>2.7985896E7</v>
      </c>
      <c r="B90" s="8" t="s">
        <v>306</v>
      </c>
      <c r="C90" s="8" t="s">
        <v>78</v>
      </c>
      <c r="D90" s="7" t="str">
        <f t="shared" si="1"/>
        <v>Definitely alert-worthy</v>
      </c>
      <c r="E90" s="20" t="b">
        <f t="shared" si="2"/>
        <v>1</v>
      </c>
      <c r="F90" s="8" t="s">
        <v>1468</v>
      </c>
      <c r="G90" s="21" t="s">
        <v>1468</v>
      </c>
      <c r="H90" s="7">
        <v>4957.0</v>
      </c>
      <c r="I90" s="7">
        <v>615.0</v>
      </c>
      <c r="J90" s="7">
        <v>346.0</v>
      </c>
      <c r="K90" s="7" t="s">
        <v>252</v>
      </c>
      <c r="L90" s="7" t="s">
        <v>253</v>
      </c>
      <c r="N90" s="20"/>
      <c r="O90" s="20"/>
      <c r="P90" s="20"/>
      <c r="Q90" s="20"/>
      <c r="R90" s="20"/>
      <c r="S90" s="20"/>
      <c r="T90" s="20"/>
      <c r="U90" s="20"/>
      <c r="V90" s="20"/>
      <c r="W90" s="20"/>
      <c r="X90" s="20"/>
      <c r="Y90" s="20"/>
      <c r="Z90" s="20"/>
      <c r="AA90" s="20"/>
    </row>
    <row r="91">
      <c r="A91" s="7">
        <v>2.9342272E7</v>
      </c>
      <c r="B91" s="8" t="s">
        <v>308</v>
      </c>
      <c r="C91" s="8" t="s">
        <v>78</v>
      </c>
      <c r="D91" s="7" t="str">
        <f t="shared" si="1"/>
        <v>Definitely alert-worthy</v>
      </c>
      <c r="E91" s="20" t="b">
        <f t="shared" si="2"/>
        <v>1</v>
      </c>
      <c r="F91" s="8" t="s">
        <v>1481</v>
      </c>
      <c r="G91" s="21" t="s">
        <v>1481</v>
      </c>
      <c r="H91" s="7">
        <v>5233.0</v>
      </c>
      <c r="I91" s="7">
        <v>619.0</v>
      </c>
      <c r="J91" s="7">
        <v>364.0</v>
      </c>
      <c r="K91" s="7" t="s">
        <v>252</v>
      </c>
      <c r="L91" s="7" t="s">
        <v>253</v>
      </c>
      <c r="N91" s="20"/>
      <c r="O91" s="20"/>
      <c r="P91" s="20"/>
      <c r="Q91" s="20"/>
      <c r="R91" s="20"/>
      <c r="S91" s="20"/>
      <c r="T91" s="20"/>
      <c r="U91" s="20"/>
      <c r="V91" s="20"/>
      <c r="W91" s="20"/>
      <c r="X91" s="20"/>
      <c r="Y91" s="20"/>
      <c r="Z91" s="20"/>
      <c r="AA91" s="20"/>
    </row>
    <row r="92">
      <c r="A92" s="7">
        <v>3.15089E7</v>
      </c>
      <c r="B92" s="8" t="s">
        <v>311</v>
      </c>
      <c r="C92" s="8" t="s">
        <v>78</v>
      </c>
      <c r="D92" s="7" t="str">
        <f t="shared" si="1"/>
        <v>Definitely alert-worthy</v>
      </c>
      <c r="E92" s="20" t="b">
        <f t="shared" si="2"/>
        <v>1</v>
      </c>
      <c r="F92" s="8" t="s">
        <v>1492</v>
      </c>
      <c r="G92" s="21" t="s">
        <v>1492</v>
      </c>
      <c r="H92" s="7">
        <v>5308.0</v>
      </c>
      <c r="I92" s="7">
        <v>604.0</v>
      </c>
      <c r="J92" s="7">
        <v>276.0</v>
      </c>
      <c r="K92" s="7" t="s">
        <v>252</v>
      </c>
      <c r="L92" s="7" t="s">
        <v>253</v>
      </c>
      <c r="N92" s="20"/>
      <c r="O92" s="20"/>
      <c r="P92" s="20"/>
      <c r="Q92" s="20"/>
      <c r="R92" s="20"/>
      <c r="S92" s="20"/>
      <c r="T92" s="20"/>
      <c r="U92" s="20"/>
      <c r="V92" s="20"/>
      <c r="W92" s="20"/>
      <c r="X92" s="20"/>
      <c r="Y92" s="20"/>
      <c r="Z92" s="20"/>
      <c r="AA92" s="20"/>
    </row>
    <row r="93">
      <c r="A93" s="7">
        <v>3.2052237E7</v>
      </c>
      <c r="B93" s="8" t="s">
        <v>313</v>
      </c>
      <c r="C93" s="8" t="s">
        <v>161</v>
      </c>
      <c r="D93" s="7" t="str">
        <f t="shared" si="1"/>
        <v>Probably alert-worthy</v>
      </c>
      <c r="E93" s="20" t="b">
        <f t="shared" si="2"/>
        <v>1</v>
      </c>
      <c r="F93" s="8" t="s">
        <v>1503</v>
      </c>
      <c r="G93" s="7" t="s">
        <v>1503</v>
      </c>
      <c r="H93" s="7">
        <v>5773.0</v>
      </c>
      <c r="I93" s="7">
        <v>593.0</v>
      </c>
      <c r="J93" s="7">
        <v>389.0</v>
      </c>
      <c r="K93" s="7" t="s">
        <v>252</v>
      </c>
      <c r="L93" s="7" t="s">
        <v>253</v>
      </c>
      <c r="N93" s="20"/>
      <c r="O93" s="20"/>
      <c r="P93" s="20"/>
      <c r="Q93" s="20"/>
      <c r="R93" s="20"/>
      <c r="S93" s="20"/>
      <c r="T93" s="20"/>
      <c r="U93" s="20"/>
      <c r="V93" s="20"/>
      <c r="W93" s="20"/>
      <c r="X93" s="20"/>
      <c r="Y93" s="20"/>
      <c r="Z93" s="20"/>
      <c r="AA93" s="20"/>
    </row>
    <row r="94">
      <c r="A94" s="7">
        <v>3.284898E7</v>
      </c>
      <c r="B94" s="8" t="s">
        <v>269</v>
      </c>
      <c r="C94" s="8" t="s">
        <v>78</v>
      </c>
      <c r="D94" s="7" t="str">
        <f t="shared" si="1"/>
        <v>Definitely alert-worthy</v>
      </c>
      <c r="E94" s="20" t="b">
        <f t="shared" si="2"/>
        <v>1</v>
      </c>
      <c r="F94" s="8" t="s">
        <v>1514</v>
      </c>
      <c r="G94" s="7" t="s">
        <v>1514</v>
      </c>
      <c r="H94" s="7">
        <v>3370.0</v>
      </c>
      <c r="I94" s="7">
        <v>757.0</v>
      </c>
      <c r="J94" s="7">
        <v>160.0</v>
      </c>
      <c r="K94" s="7" t="s">
        <v>252</v>
      </c>
      <c r="L94" s="7" t="s">
        <v>253</v>
      </c>
      <c r="N94" s="20"/>
      <c r="O94" s="20"/>
      <c r="P94" s="20"/>
      <c r="Q94" s="20"/>
      <c r="R94" s="20"/>
      <c r="S94" s="20"/>
      <c r="T94" s="20"/>
      <c r="U94" s="20"/>
      <c r="V94" s="20"/>
      <c r="W94" s="20"/>
      <c r="X94" s="20"/>
      <c r="Y94" s="20"/>
      <c r="Z94" s="20"/>
      <c r="AA94" s="20"/>
    </row>
    <row r="95">
      <c r="A95" s="7">
        <v>3.3223591E7</v>
      </c>
      <c r="B95" s="8" t="s">
        <v>319</v>
      </c>
      <c r="C95" s="8" t="s">
        <v>101</v>
      </c>
      <c r="D95" s="7" t="str">
        <f t="shared" si="1"/>
        <v>Not alert-worthy</v>
      </c>
      <c r="E95" s="20" t="b">
        <f t="shared" si="2"/>
        <v>1</v>
      </c>
      <c r="F95" s="8" t="s">
        <v>1527</v>
      </c>
      <c r="G95" s="7" t="s">
        <v>1527</v>
      </c>
      <c r="H95" s="7">
        <v>2908.0</v>
      </c>
      <c r="I95" s="7">
        <v>621.0</v>
      </c>
      <c r="J95" s="7">
        <v>135.0</v>
      </c>
      <c r="K95" s="7" t="s">
        <v>252</v>
      </c>
      <c r="L95" s="7" t="s">
        <v>253</v>
      </c>
      <c r="N95" s="20"/>
      <c r="O95" s="20"/>
      <c r="P95" s="20"/>
      <c r="Q95" s="20"/>
      <c r="R95" s="20"/>
      <c r="S95" s="20"/>
      <c r="T95" s="20"/>
      <c r="U95" s="20"/>
      <c r="V95" s="20"/>
      <c r="W95" s="20"/>
      <c r="X95" s="20"/>
      <c r="Y95" s="20"/>
      <c r="Z95" s="20"/>
      <c r="AA95" s="20"/>
    </row>
    <row r="96">
      <c r="A96" s="7">
        <v>3.3985284E7</v>
      </c>
      <c r="B96" s="8" t="s">
        <v>322</v>
      </c>
      <c r="C96" s="8" t="s">
        <v>161</v>
      </c>
      <c r="D96" s="7" t="str">
        <f t="shared" si="1"/>
        <v>Probably alert-worthy</v>
      </c>
      <c r="E96" s="20" t="b">
        <f t="shared" si="2"/>
        <v>1</v>
      </c>
      <c r="F96" s="8" t="s">
        <v>1542</v>
      </c>
      <c r="G96" s="7" t="s">
        <v>1542</v>
      </c>
      <c r="H96" s="7">
        <v>4784.0</v>
      </c>
      <c r="I96" s="7">
        <v>819.0</v>
      </c>
      <c r="J96" s="7">
        <v>171.0</v>
      </c>
      <c r="K96" s="7" t="s">
        <v>252</v>
      </c>
      <c r="L96" s="7" t="s">
        <v>253</v>
      </c>
      <c r="N96" s="20"/>
      <c r="O96" s="20"/>
      <c r="P96" s="20"/>
      <c r="Q96" s="20"/>
      <c r="R96" s="20"/>
      <c r="S96" s="20"/>
      <c r="T96" s="20"/>
      <c r="U96" s="20"/>
      <c r="V96" s="20"/>
      <c r="W96" s="20"/>
      <c r="X96" s="20"/>
      <c r="Y96" s="20"/>
      <c r="Z96" s="20"/>
      <c r="AA96" s="20"/>
    </row>
    <row r="97">
      <c r="A97" s="7">
        <v>3.4843916E7</v>
      </c>
      <c r="B97" s="8" t="s">
        <v>244</v>
      </c>
      <c r="C97" s="8" t="s">
        <v>101</v>
      </c>
      <c r="D97" s="7" t="str">
        <f t="shared" si="1"/>
        <v>Not alert-worthy</v>
      </c>
      <c r="E97" s="20" t="b">
        <f t="shared" si="2"/>
        <v>1</v>
      </c>
      <c r="F97" s="8" t="s">
        <v>1574</v>
      </c>
      <c r="G97" s="21" t="s">
        <v>1574</v>
      </c>
      <c r="H97" s="7">
        <v>5613.0</v>
      </c>
      <c r="I97" s="7">
        <v>743.0</v>
      </c>
      <c r="J97" s="7">
        <v>348.0</v>
      </c>
      <c r="K97" s="7" t="s">
        <v>252</v>
      </c>
      <c r="L97" s="7" t="s">
        <v>253</v>
      </c>
      <c r="N97" s="20"/>
      <c r="O97" s="20"/>
      <c r="P97" s="20"/>
      <c r="Q97" s="20"/>
      <c r="R97" s="20"/>
      <c r="S97" s="20"/>
      <c r="T97" s="20"/>
      <c r="U97" s="20"/>
      <c r="V97" s="20"/>
      <c r="W97" s="20"/>
      <c r="X97" s="20"/>
      <c r="Y97" s="20"/>
      <c r="Z97" s="20"/>
      <c r="AA97" s="20"/>
    </row>
    <row r="98">
      <c r="A98" s="7">
        <v>3.6019519E7</v>
      </c>
      <c r="B98" s="8" t="s">
        <v>327</v>
      </c>
      <c r="C98" s="8" t="s">
        <v>78</v>
      </c>
      <c r="D98" s="7" t="str">
        <f t="shared" si="1"/>
        <v>Definitely alert-worthy</v>
      </c>
      <c r="E98" s="20" t="b">
        <f t="shared" si="2"/>
        <v>1</v>
      </c>
      <c r="F98" s="8" t="s">
        <v>1584</v>
      </c>
      <c r="G98" s="21" t="s">
        <v>1584</v>
      </c>
      <c r="H98" s="7">
        <v>3802.0</v>
      </c>
      <c r="I98" s="7">
        <v>602.0</v>
      </c>
      <c r="J98" s="7">
        <v>238.0</v>
      </c>
      <c r="K98" s="7" t="s">
        <v>252</v>
      </c>
      <c r="L98" s="7" t="s">
        <v>253</v>
      </c>
      <c r="N98" s="20"/>
      <c r="O98" s="20"/>
      <c r="P98" s="20"/>
      <c r="Q98" s="20"/>
      <c r="R98" s="20"/>
      <c r="S98" s="20"/>
      <c r="T98" s="20"/>
      <c r="U98" s="20"/>
      <c r="V98" s="20"/>
      <c r="W98" s="20"/>
      <c r="X98" s="20"/>
      <c r="Y98" s="20"/>
      <c r="Z98" s="20"/>
      <c r="AA98" s="20"/>
    </row>
    <row r="99">
      <c r="A99" s="7">
        <v>3.7285431E7</v>
      </c>
      <c r="B99" s="8" t="s">
        <v>330</v>
      </c>
      <c r="C99" s="8" t="s">
        <v>101</v>
      </c>
      <c r="D99" s="7" t="str">
        <f t="shared" si="1"/>
        <v>Not alert-worthy</v>
      </c>
      <c r="E99" s="20" t="b">
        <f t="shared" si="2"/>
        <v>1</v>
      </c>
      <c r="F99" s="8" t="s">
        <v>1595</v>
      </c>
      <c r="G99" s="7" t="s">
        <v>1595</v>
      </c>
      <c r="H99" s="7">
        <v>5047.0</v>
      </c>
      <c r="I99" s="7">
        <v>696.0</v>
      </c>
      <c r="J99" s="7">
        <v>139.0</v>
      </c>
      <c r="K99" s="7" t="s">
        <v>252</v>
      </c>
      <c r="L99" s="7" t="s">
        <v>253</v>
      </c>
      <c r="N99" s="20"/>
      <c r="O99" s="20"/>
      <c r="P99" s="20"/>
      <c r="Q99" s="20"/>
      <c r="R99" s="20"/>
      <c r="S99" s="20"/>
      <c r="T99" s="20"/>
      <c r="U99" s="20"/>
      <c r="V99" s="20"/>
      <c r="W99" s="20"/>
      <c r="X99" s="20"/>
      <c r="Y99" s="20"/>
      <c r="Z99" s="20"/>
      <c r="AA99" s="20"/>
    </row>
    <row r="100">
      <c r="A100" s="7">
        <v>3.7730059E7</v>
      </c>
      <c r="B100" s="8" t="s">
        <v>333</v>
      </c>
      <c r="C100" s="8" t="s">
        <v>78</v>
      </c>
      <c r="D100" s="7" t="str">
        <f t="shared" si="1"/>
        <v>Definitely alert-worthy</v>
      </c>
      <c r="E100" s="20" t="b">
        <f t="shared" si="2"/>
        <v>1</v>
      </c>
      <c r="F100" s="8" t="s">
        <v>1601</v>
      </c>
      <c r="G100" s="21" t="s">
        <v>1601</v>
      </c>
      <c r="H100" s="7">
        <v>5306.0</v>
      </c>
      <c r="I100" s="7">
        <v>642.0</v>
      </c>
      <c r="J100" s="7">
        <v>282.0</v>
      </c>
      <c r="K100" s="7" t="s">
        <v>252</v>
      </c>
      <c r="L100" s="7" t="s">
        <v>253</v>
      </c>
      <c r="N100" s="20"/>
      <c r="O100" s="20"/>
      <c r="P100" s="20"/>
      <c r="Q100" s="20"/>
      <c r="R100" s="20"/>
      <c r="S100" s="20"/>
      <c r="T100" s="20"/>
      <c r="U100" s="20"/>
      <c r="V100" s="20"/>
      <c r="W100" s="20"/>
      <c r="X100" s="20"/>
      <c r="Y100" s="20"/>
      <c r="Z100" s="20"/>
      <c r="AA100" s="20"/>
    </row>
    <row r="101">
      <c r="A101" s="7">
        <v>3.8268203E7</v>
      </c>
      <c r="B101" s="8" t="s">
        <v>172</v>
      </c>
      <c r="C101" s="8" t="s">
        <v>78</v>
      </c>
      <c r="D101" s="7" t="str">
        <f t="shared" si="1"/>
        <v>Not alert-worthy</v>
      </c>
      <c r="E101" s="20" t="b">
        <f t="shared" si="2"/>
        <v>0</v>
      </c>
      <c r="F101" s="8" t="s">
        <v>1614</v>
      </c>
      <c r="G101" s="7" t="s">
        <v>1614</v>
      </c>
      <c r="H101" s="7">
        <v>2634.0</v>
      </c>
      <c r="I101" s="7">
        <v>671.0</v>
      </c>
      <c r="J101" s="7">
        <v>89.0</v>
      </c>
      <c r="K101" s="7" t="s">
        <v>252</v>
      </c>
      <c r="L101" s="7" t="s">
        <v>253</v>
      </c>
      <c r="N101" s="20"/>
      <c r="O101" s="20"/>
      <c r="P101" s="20"/>
      <c r="Q101" s="20"/>
      <c r="R101" s="20"/>
      <c r="S101" s="20"/>
      <c r="T101" s="20"/>
      <c r="U101" s="20"/>
      <c r="V101" s="20"/>
      <c r="W101" s="20"/>
      <c r="X101" s="20"/>
      <c r="Y101" s="20"/>
      <c r="Z101" s="20"/>
      <c r="AA101" s="20"/>
    </row>
    <row r="102">
      <c r="A102" s="7">
        <v>4.1212314E7</v>
      </c>
      <c r="B102" s="8" t="s">
        <v>340</v>
      </c>
      <c r="C102" s="8" t="s">
        <v>78</v>
      </c>
      <c r="D102" s="7" t="str">
        <f t="shared" si="1"/>
        <v>Definitely alert-worthy</v>
      </c>
      <c r="E102" s="20" t="b">
        <f t="shared" si="2"/>
        <v>1</v>
      </c>
      <c r="F102" s="8" t="s">
        <v>1629</v>
      </c>
      <c r="G102" s="21" t="s">
        <v>1629</v>
      </c>
      <c r="H102" s="7">
        <v>6461.0</v>
      </c>
      <c r="I102" s="7">
        <v>725.0</v>
      </c>
      <c r="J102" s="7">
        <v>383.0</v>
      </c>
      <c r="K102" s="7" t="s">
        <v>252</v>
      </c>
      <c r="L102" s="7" t="s">
        <v>253</v>
      </c>
      <c r="N102" s="20"/>
      <c r="O102" s="20"/>
      <c r="P102" s="20"/>
      <c r="Q102" s="20"/>
      <c r="R102" s="20"/>
      <c r="S102" s="20"/>
      <c r="T102" s="20"/>
      <c r="U102" s="20"/>
      <c r="V102" s="20"/>
      <c r="W102" s="20"/>
      <c r="X102" s="20"/>
      <c r="Y102" s="20"/>
      <c r="Z102" s="20"/>
      <c r="AA102" s="20"/>
    </row>
    <row r="103">
      <c r="A103" s="7">
        <v>4.1354861E7</v>
      </c>
      <c r="B103" s="8" t="s">
        <v>220</v>
      </c>
      <c r="C103" s="8" t="s">
        <v>101</v>
      </c>
      <c r="D103" s="7" t="str">
        <f t="shared" si="1"/>
        <v>Not alert-worthy</v>
      </c>
      <c r="E103" s="20" t="b">
        <f t="shared" si="2"/>
        <v>1</v>
      </c>
      <c r="F103" s="8" t="s">
        <v>1643</v>
      </c>
      <c r="G103" s="7" t="s">
        <v>1643</v>
      </c>
      <c r="H103" s="7">
        <v>3842.0</v>
      </c>
      <c r="I103" s="7">
        <v>680.0</v>
      </c>
      <c r="J103" s="7">
        <v>152.0</v>
      </c>
      <c r="K103" s="7" t="s">
        <v>252</v>
      </c>
      <c r="L103" s="7" t="s">
        <v>253</v>
      </c>
      <c r="N103" s="20"/>
      <c r="O103" s="20"/>
      <c r="P103" s="20"/>
      <c r="Q103" s="20"/>
      <c r="R103" s="20"/>
      <c r="S103" s="20"/>
      <c r="T103" s="20"/>
      <c r="U103" s="20"/>
      <c r="V103" s="20"/>
      <c r="W103" s="20"/>
      <c r="X103" s="20"/>
      <c r="Y103" s="20"/>
      <c r="Z103" s="20"/>
      <c r="AA103" s="20"/>
    </row>
    <row r="104">
      <c r="A104" s="7">
        <v>4.1642509E7</v>
      </c>
      <c r="B104" s="8" t="s">
        <v>241</v>
      </c>
      <c r="C104" s="8" t="s">
        <v>101</v>
      </c>
      <c r="D104" s="7" t="str">
        <f t="shared" si="1"/>
        <v>Not alert-worthy</v>
      </c>
      <c r="E104" s="20" t="b">
        <f t="shared" si="2"/>
        <v>1</v>
      </c>
      <c r="F104" s="8" t="s">
        <v>1657</v>
      </c>
      <c r="G104" s="7" t="s">
        <v>1657</v>
      </c>
      <c r="H104" s="7">
        <v>2882.0</v>
      </c>
      <c r="I104" s="7">
        <v>723.0</v>
      </c>
      <c r="J104" s="7">
        <v>123.0</v>
      </c>
      <c r="K104" s="7" t="s">
        <v>252</v>
      </c>
      <c r="L104" s="7" t="s">
        <v>253</v>
      </c>
      <c r="N104" s="20"/>
      <c r="O104" s="20"/>
      <c r="P104" s="20"/>
      <c r="Q104" s="20"/>
      <c r="R104" s="20"/>
      <c r="S104" s="20"/>
      <c r="T104" s="20"/>
      <c r="U104" s="20"/>
      <c r="V104" s="20"/>
      <c r="W104" s="20"/>
      <c r="X104" s="20"/>
      <c r="Y104" s="20"/>
      <c r="Z104" s="20"/>
      <c r="AA104" s="20"/>
    </row>
    <row r="105">
      <c r="A105" s="7">
        <v>4.3866055E7</v>
      </c>
      <c r="B105" s="8" t="s">
        <v>347</v>
      </c>
      <c r="C105" s="8" t="s">
        <v>78</v>
      </c>
      <c r="D105" s="7" t="str">
        <f t="shared" si="1"/>
        <v>Definitely alert-worthy</v>
      </c>
      <c r="E105" s="20" t="b">
        <f t="shared" si="2"/>
        <v>1</v>
      </c>
      <c r="F105" s="8" t="s">
        <v>1671</v>
      </c>
      <c r="G105" s="21" t="s">
        <v>1671</v>
      </c>
      <c r="H105" s="7">
        <v>4491.0</v>
      </c>
      <c r="I105" s="7">
        <v>578.0</v>
      </c>
      <c r="J105" s="7">
        <v>321.0</v>
      </c>
      <c r="K105" s="7" t="s">
        <v>252</v>
      </c>
      <c r="L105" s="7" t="s">
        <v>253</v>
      </c>
      <c r="N105" s="20"/>
      <c r="O105" s="20"/>
      <c r="P105" s="20"/>
      <c r="Q105" s="20"/>
      <c r="R105" s="20"/>
      <c r="S105" s="20"/>
      <c r="T105" s="20"/>
      <c r="U105" s="20"/>
      <c r="V105" s="20"/>
      <c r="W105" s="20"/>
      <c r="X105" s="20"/>
      <c r="Y105" s="20"/>
      <c r="Z105" s="20"/>
      <c r="AA105" s="20"/>
    </row>
    <row r="106">
      <c r="A106" s="7">
        <v>4.4898883E7</v>
      </c>
      <c r="B106" s="8" t="s">
        <v>284</v>
      </c>
      <c r="C106" s="8" t="s">
        <v>101</v>
      </c>
      <c r="D106" s="7" t="str">
        <f t="shared" si="1"/>
        <v>Not alert-worthy</v>
      </c>
      <c r="E106" s="20" t="b">
        <f t="shared" si="2"/>
        <v>1</v>
      </c>
      <c r="F106" s="8" t="s">
        <v>1680</v>
      </c>
      <c r="G106" s="21" t="s">
        <v>1680</v>
      </c>
      <c r="H106" s="7">
        <v>4779.0</v>
      </c>
      <c r="I106" s="7">
        <v>632.0</v>
      </c>
      <c r="J106" s="7">
        <v>159.0</v>
      </c>
      <c r="K106" s="7" t="s">
        <v>252</v>
      </c>
      <c r="L106" s="7" t="s">
        <v>253</v>
      </c>
      <c r="N106" s="20"/>
      <c r="O106" s="20"/>
      <c r="P106" s="20"/>
      <c r="Q106" s="20"/>
      <c r="R106" s="20"/>
      <c r="S106" s="20"/>
      <c r="T106" s="20"/>
      <c r="U106" s="20"/>
      <c r="V106" s="20"/>
      <c r="W106" s="20"/>
      <c r="X106" s="20"/>
      <c r="Y106" s="20"/>
      <c r="Z106" s="20"/>
      <c r="AA106" s="20"/>
    </row>
    <row r="107">
      <c r="A107" s="10">
        <v>4.8027994E7</v>
      </c>
      <c r="B107" s="12" t="s">
        <v>217</v>
      </c>
      <c r="C107" s="12" t="s">
        <v>78</v>
      </c>
      <c r="D107" s="10" t="str">
        <f t="shared" si="1"/>
        <v>Not alert-worthy</v>
      </c>
      <c r="E107" s="20" t="b">
        <f t="shared" si="2"/>
        <v>0</v>
      </c>
      <c r="F107" s="12" t="s">
        <v>1689</v>
      </c>
      <c r="G107" s="10" t="s">
        <v>1689</v>
      </c>
      <c r="H107" s="10">
        <v>3422.0</v>
      </c>
      <c r="I107" s="10">
        <v>641.0</v>
      </c>
      <c r="J107" s="10">
        <v>101.0</v>
      </c>
      <c r="K107" s="10" t="s">
        <v>252</v>
      </c>
      <c r="L107" s="10" t="s">
        <v>253</v>
      </c>
      <c r="N107" s="23"/>
      <c r="O107" s="23"/>
      <c r="P107" s="23"/>
      <c r="Q107" s="23"/>
      <c r="R107" s="23"/>
      <c r="S107" s="23"/>
      <c r="T107" s="23"/>
      <c r="U107" s="23"/>
      <c r="V107" s="23"/>
      <c r="W107" s="23"/>
      <c r="X107" s="23"/>
      <c r="Y107" s="23"/>
      <c r="Z107" s="23"/>
      <c r="AA107" s="23"/>
    </row>
    <row r="108">
      <c r="A108" s="10">
        <v>5.1081349E7</v>
      </c>
      <c r="B108" s="12" t="s">
        <v>353</v>
      </c>
      <c r="C108" s="12" t="s">
        <v>78</v>
      </c>
      <c r="D108" s="10" t="str">
        <f t="shared" si="1"/>
        <v>Not alert-worthy</v>
      </c>
      <c r="E108" s="20" t="b">
        <f t="shared" si="2"/>
        <v>0</v>
      </c>
      <c r="F108" s="12" t="s">
        <v>1699</v>
      </c>
      <c r="G108" s="10" t="s">
        <v>1699</v>
      </c>
      <c r="H108" s="10">
        <v>5935.0</v>
      </c>
      <c r="I108" s="10">
        <v>605.0</v>
      </c>
      <c r="J108" s="10">
        <v>340.0</v>
      </c>
      <c r="K108" s="10" t="s">
        <v>252</v>
      </c>
      <c r="L108" s="10" t="s">
        <v>253</v>
      </c>
      <c r="N108" s="23"/>
      <c r="O108" s="23"/>
      <c r="P108" s="23"/>
      <c r="Q108" s="23"/>
      <c r="R108" s="23"/>
      <c r="S108" s="23"/>
      <c r="T108" s="23"/>
      <c r="U108" s="23"/>
      <c r="V108" s="23"/>
      <c r="W108" s="23"/>
      <c r="X108" s="23"/>
      <c r="Y108" s="23"/>
      <c r="Z108" s="23"/>
      <c r="AA108" s="23"/>
    </row>
    <row r="109">
      <c r="A109" s="7">
        <v>5.122483E7</v>
      </c>
      <c r="B109" s="8" t="s">
        <v>358</v>
      </c>
      <c r="C109" s="8" t="s">
        <v>78</v>
      </c>
      <c r="D109" s="7" t="str">
        <f t="shared" si="1"/>
        <v>Definitely alert-worthy</v>
      </c>
      <c r="E109" s="20" t="b">
        <f t="shared" si="2"/>
        <v>1</v>
      </c>
      <c r="F109" s="8" t="s">
        <v>1711</v>
      </c>
      <c r="G109" s="21" t="s">
        <v>1711</v>
      </c>
      <c r="H109" s="7">
        <v>10304.0</v>
      </c>
      <c r="I109" s="7">
        <v>804.0</v>
      </c>
      <c r="J109" s="7">
        <v>753.0</v>
      </c>
      <c r="K109" s="7" t="s">
        <v>252</v>
      </c>
      <c r="L109" s="7" t="s">
        <v>253</v>
      </c>
      <c r="N109" s="20"/>
      <c r="O109" s="20"/>
      <c r="P109" s="20"/>
      <c r="Q109" s="20"/>
      <c r="R109" s="20"/>
      <c r="S109" s="20"/>
      <c r="T109" s="20"/>
      <c r="U109" s="20"/>
      <c r="V109" s="20"/>
      <c r="W109" s="20"/>
      <c r="X109" s="20"/>
      <c r="Y109" s="20"/>
      <c r="Z109" s="20"/>
      <c r="AA109" s="20"/>
    </row>
    <row r="110">
      <c r="A110" s="7">
        <v>5.1668346E7</v>
      </c>
      <c r="B110" s="8" t="s">
        <v>360</v>
      </c>
      <c r="C110" s="8" t="s">
        <v>101</v>
      </c>
      <c r="D110" s="7" t="str">
        <f t="shared" si="1"/>
        <v>Definitely alert-worthy</v>
      </c>
      <c r="E110" s="20" t="b">
        <f t="shared" si="2"/>
        <v>0</v>
      </c>
      <c r="F110" s="8" t="s">
        <v>1724</v>
      </c>
      <c r="G110" s="21" t="s">
        <v>1724</v>
      </c>
      <c r="H110" s="7">
        <v>10178.0</v>
      </c>
      <c r="I110" s="7">
        <v>611.0</v>
      </c>
      <c r="J110" s="7">
        <v>712.0</v>
      </c>
      <c r="K110" s="7" t="s">
        <v>252</v>
      </c>
      <c r="L110" s="7" t="s">
        <v>253</v>
      </c>
      <c r="N110" s="20"/>
      <c r="O110" s="20"/>
      <c r="P110" s="20"/>
      <c r="Q110" s="20"/>
      <c r="R110" s="20"/>
      <c r="S110" s="20"/>
      <c r="T110" s="20"/>
      <c r="U110" s="20"/>
      <c r="V110" s="20"/>
      <c r="W110" s="20"/>
      <c r="X110" s="20"/>
      <c r="Y110" s="20"/>
      <c r="Z110" s="20"/>
      <c r="AA110" s="20"/>
    </row>
    <row r="111">
      <c r="A111" s="7">
        <v>5.2961095E7</v>
      </c>
      <c r="B111" s="8" t="s">
        <v>230</v>
      </c>
      <c r="C111" s="8" t="s">
        <v>101</v>
      </c>
      <c r="D111" s="7" t="str">
        <f t="shared" si="1"/>
        <v>Not alert-worthy</v>
      </c>
      <c r="E111" s="20" t="b">
        <f t="shared" si="2"/>
        <v>1</v>
      </c>
      <c r="F111" s="8" t="s">
        <v>1732</v>
      </c>
      <c r="G111" s="7" t="s">
        <v>1732</v>
      </c>
      <c r="H111" s="7">
        <v>3051.0</v>
      </c>
      <c r="I111" s="7">
        <v>676.0</v>
      </c>
      <c r="J111" s="7">
        <v>69.0</v>
      </c>
      <c r="K111" s="7" t="s">
        <v>252</v>
      </c>
      <c r="L111" s="7" t="s">
        <v>253</v>
      </c>
      <c r="N111" s="20"/>
      <c r="O111" s="20"/>
      <c r="P111" s="20"/>
      <c r="Q111" s="20"/>
      <c r="R111" s="20"/>
      <c r="S111" s="20"/>
      <c r="T111" s="20"/>
      <c r="U111" s="20"/>
      <c r="V111" s="20"/>
      <c r="W111" s="20"/>
      <c r="X111" s="20"/>
      <c r="Y111" s="20"/>
      <c r="Z111" s="20"/>
      <c r="AA111" s="20"/>
    </row>
    <row r="112">
      <c r="A112" s="7">
        <v>5.5473823E7</v>
      </c>
      <c r="B112" s="8" t="s">
        <v>365</v>
      </c>
      <c r="C112" s="8" t="s">
        <v>161</v>
      </c>
      <c r="D112" s="7" t="str">
        <f t="shared" si="1"/>
        <v>Probably alert-worthy</v>
      </c>
      <c r="E112" s="20" t="b">
        <f t="shared" si="2"/>
        <v>1</v>
      </c>
      <c r="F112" s="8" t="s">
        <v>1741</v>
      </c>
      <c r="G112" s="7" t="s">
        <v>1741</v>
      </c>
      <c r="H112" s="7">
        <v>6256.0</v>
      </c>
      <c r="I112" s="7">
        <v>623.0</v>
      </c>
      <c r="J112" s="7">
        <v>400.0</v>
      </c>
      <c r="K112" s="7" t="s">
        <v>252</v>
      </c>
      <c r="L112" s="7" t="s">
        <v>253</v>
      </c>
      <c r="N112" s="20"/>
      <c r="O112" s="20"/>
      <c r="P112" s="20"/>
      <c r="Q112" s="20"/>
      <c r="R112" s="20"/>
      <c r="S112" s="20"/>
      <c r="T112" s="20"/>
      <c r="U112" s="20"/>
      <c r="V112" s="20"/>
      <c r="W112" s="20"/>
      <c r="X112" s="20"/>
      <c r="Y112" s="20"/>
      <c r="Z112" s="20"/>
      <c r="AA112" s="20"/>
    </row>
    <row r="113">
      <c r="A113" s="7">
        <v>5.7713975E7</v>
      </c>
      <c r="B113" s="8" t="s">
        <v>368</v>
      </c>
      <c r="C113" s="8" t="s">
        <v>78</v>
      </c>
      <c r="D113" s="7" t="str">
        <f t="shared" si="1"/>
        <v>Probably alert-worthy</v>
      </c>
      <c r="E113" s="20" t="b">
        <f t="shared" si="2"/>
        <v>0</v>
      </c>
      <c r="F113" s="8" t="s">
        <v>1747</v>
      </c>
      <c r="G113" s="21" t="s">
        <v>1747</v>
      </c>
      <c r="H113" s="7">
        <v>6297.0</v>
      </c>
      <c r="I113" s="7">
        <v>589.0</v>
      </c>
      <c r="J113" s="7">
        <v>463.0</v>
      </c>
      <c r="K113" s="7" t="s">
        <v>252</v>
      </c>
      <c r="L113" s="7" t="s">
        <v>253</v>
      </c>
      <c r="N113" s="20"/>
      <c r="O113" s="20"/>
      <c r="P113" s="20"/>
      <c r="Q113" s="20"/>
      <c r="R113" s="20"/>
      <c r="S113" s="20"/>
      <c r="T113" s="20"/>
      <c r="U113" s="20"/>
      <c r="V113" s="20"/>
      <c r="W113" s="20"/>
      <c r="X113" s="20"/>
      <c r="Y113" s="20"/>
      <c r="Z113" s="20"/>
      <c r="AA113" s="20"/>
    </row>
    <row r="114">
      <c r="A114" s="7">
        <v>5.8497939E7</v>
      </c>
      <c r="B114" s="8" t="s">
        <v>237</v>
      </c>
      <c r="C114" s="8" t="s">
        <v>101</v>
      </c>
      <c r="D114" s="7" t="str">
        <f t="shared" si="1"/>
        <v>Not alert-worthy</v>
      </c>
      <c r="E114" s="20" t="b">
        <f t="shared" si="2"/>
        <v>1</v>
      </c>
      <c r="F114" s="8" t="s">
        <v>1757</v>
      </c>
      <c r="G114" s="7" t="s">
        <v>1757</v>
      </c>
      <c r="H114" s="7">
        <v>5954.0</v>
      </c>
      <c r="I114" s="7">
        <v>706.0</v>
      </c>
      <c r="J114" s="7">
        <v>183.0</v>
      </c>
      <c r="K114" s="7" t="s">
        <v>252</v>
      </c>
      <c r="L114" s="7" t="s">
        <v>253</v>
      </c>
      <c r="N114" s="20"/>
      <c r="O114" s="20"/>
      <c r="P114" s="20"/>
      <c r="Q114" s="20"/>
      <c r="R114" s="20"/>
      <c r="S114" s="20"/>
      <c r="T114" s="20"/>
      <c r="U114" s="20"/>
      <c r="V114" s="20"/>
      <c r="W114" s="20"/>
      <c r="X114" s="20"/>
      <c r="Y114" s="20"/>
      <c r="Z114" s="20"/>
      <c r="AA114" s="20"/>
    </row>
    <row r="115">
      <c r="A115" s="10">
        <v>5.8860212E7</v>
      </c>
      <c r="B115" s="12" t="s">
        <v>374</v>
      </c>
      <c r="C115" s="12" t="s">
        <v>161</v>
      </c>
      <c r="D115" s="10" t="str">
        <f t="shared" si="1"/>
        <v>Definitely alert-worthy</v>
      </c>
      <c r="E115" s="20" t="b">
        <f t="shared" si="2"/>
        <v>0</v>
      </c>
      <c r="F115" s="12" t="s">
        <v>1770</v>
      </c>
      <c r="G115" s="22" t="s">
        <v>1770</v>
      </c>
      <c r="H115" s="10">
        <v>5201.0</v>
      </c>
      <c r="I115" s="10">
        <v>617.0</v>
      </c>
      <c r="J115" s="10">
        <v>299.0</v>
      </c>
      <c r="K115" s="10" t="s">
        <v>252</v>
      </c>
      <c r="L115" s="10" t="s">
        <v>253</v>
      </c>
      <c r="N115" s="23"/>
      <c r="O115" s="23"/>
      <c r="P115" s="23"/>
      <c r="Q115" s="23"/>
      <c r="R115" s="23"/>
      <c r="S115" s="23"/>
      <c r="T115" s="23"/>
      <c r="U115" s="23"/>
      <c r="V115" s="23"/>
      <c r="W115" s="23"/>
      <c r="X115" s="23"/>
      <c r="Y115" s="23"/>
      <c r="Z115" s="23"/>
      <c r="AA115" s="23"/>
    </row>
    <row r="116">
      <c r="A116" s="7">
        <v>6.4370063E7</v>
      </c>
      <c r="B116" s="8" t="s">
        <v>378</v>
      </c>
      <c r="C116" s="8" t="s">
        <v>78</v>
      </c>
      <c r="D116" s="7" t="str">
        <f t="shared" si="1"/>
        <v>Definitely alert-worthy</v>
      </c>
      <c r="E116" s="20" t="b">
        <f t="shared" si="2"/>
        <v>1</v>
      </c>
      <c r="F116" s="8" t="s">
        <v>1782</v>
      </c>
      <c r="G116" s="21" t="s">
        <v>1782</v>
      </c>
      <c r="H116" s="7">
        <v>5948.0</v>
      </c>
      <c r="I116" s="7">
        <v>686.0</v>
      </c>
      <c r="J116" s="7">
        <v>404.0</v>
      </c>
      <c r="K116" s="7" t="s">
        <v>252</v>
      </c>
      <c r="L116" s="7" t="s">
        <v>253</v>
      </c>
      <c r="N116" s="20"/>
      <c r="O116" s="20"/>
      <c r="P116" s="20"/>
      <c r="Q116" s="20"/>
      <c r="R116" s="20"/>
      <c r="S116" s="20"/>
      <c r="T116" s="20"/>
      <c r="U116" s="20"/>
      <c r="V116" s="20"/>
      <c r="W116" s="20"/>
      <c r="X116" s="20"/>
      <c r="Y116" s="20"/>
      <c r="Z116" s="20"/>
      <c r="AA116" s="20"/>
    </row>
    <row r="117">
      <c r="A117" s="7">
        <v>7.241262E7</v>
      </c>
      <c r="B117" s="8" t="s">
        <v>380</v>
      </c>
      <c r="C117" s="8" t="s">
        <v>78</v>
      </c>
      <c r="D117" s="7" t="str">
        <f t="shared" si="1"/>
        <v>Definitely alert-worthy</v>
      </c>
      <c r="E117" s="20" t="b">
        <f t="shared" si="2"/>
        <v>1</v>
      </c>
      <c r="F117" s="8" t="s">
        <v>1791</v>
      </c>
      <c r="G117" s="21" t="s">
        <v>1791</v>
      </c>
      <c r="H117" s="7">
        <v>4470.0</v>
      </c>
      <c r="I117" s="7">
        <v>595.0</v>
      </c>
      <c r="J117" s="7">
        <v>282.0</v>
      </c>
      <c r="K117" s="7" t="s">
        <v>252</v>
      </c>
      <c r="L117" s="7" t="s">
        <v>253</v>
      </c>
      <c r="N117" s="20"/>
      <c r="O117" s="20"/>
      <c r="P117" s="20"/>
      <c r="Q117" s="20"/>
      <c r="R117" s="20"/>
      <c r="S117" s="20"/>
      <c r="T117" s="20"/>
      <c r="U117" s="20"/>
      <c r="V117" s="20"/>
      <c r="W117" s="20"/>
      <c r="X117" s="20"/>
      <c r="Y117" s="20"/>
      <c r="Z117" s="20"/>
      <c r="AA117" s="20"/>
    </row>
    <row r="118">
      <c r="A118" s="7">
        <v>7.442675E7</v>
      </c>
      <c r="B118" s="8" t="s">
        <v>298</v>
      </c>
      <c r="C118" s="8" t="s">
        <v>101</v>
      </c>
      <c r="D118" s="7" t="str">
        <f t="shared" si="1"/>
        <v>Not alert-worthy</v>
      </c>
      <c r="E118" s="20" t="b">
        <f t="shared" si="2"/>
        <v>1</v>
      </c>
      <c r="F118" s="8" t="s">
        <v>1799</v>
      </c>
      <c r="G118" s="21" t="s">
        <v>1799</v>
      </c>
      <c r="H118" s="7">
        <v>4811.0</v>
      </c>
      <c r="I118" s="7">
        <v>625.0</v>
      </c>
      <c r="J118" s="7">
        <v>173.0</v>
      </c>
      <c r="K118" s="7" t="s">
        <v>252</v>
      </c>
      <c r="L118" s="7" t="s">
        <v>253</v>
      </c>
      <c r="N118" s="20"/>
      <c r="O118" s="20"/>
      <c r="P118" s="20"/>
      <c r="Q118" s="20"/>
      <c r="R118" s="20"/>
      <c r="S118" s="20"/>
      <c r="T118" s="20"/>
      <c r="U118" s="20"/>
      <c r="V118" s="20"/>
      <c r="W118" s="20"/>
      <c r="X118" s="20"/>
      <c r="Y118" s="20"/>
      <c r="Z118" s="20"/>
      <c r="AA118" s="20"/>
    </row>
    <row r="119">
      <c r="A119" s="7">
        <v>7.6981547E7</v>
      </c>
      <c r="B119" s="8" t="s">
        <v>384</v>
      </c>
      <c r="C119" s="8" t="s">
        <v>78</v>
      </c>
      <c r="D119" s="7" t="str">
        <f t="shared" si="1"/>
        <v>Definitely alert-worthy</v>
      </c>
      <c r="E119" s="20" t="b">
        <f t="shared" si="2"/>
        <v>1</v>
      </c>
      <c r="F119" s="8" t="s">
        <v>1808</v>
      </c>
      <c r="G119" s="21" t="s">
        <v>1808</v>
      </c>
      <c r="H119" s="7">
        <v>5455.0</v>
      </c>
      <c r="I119" s="7">
        <v>625.0</v>
      </c>
      <c r="J119" s="7">
        <v>366.0</v>
      </c>
      <c r="K119" s="7" t="s">
        <v>252</v>
      </c>
      <c r="L119" s="7" t="s">
        <v>253</v>
      </c>
      <c r="N119" s="20"/>
      <c r="O119" s="20"/>
      <c r="P119" s="20"/>
      <c r="Q119" s="20"/>
      <c r="R119" s="20"/>
      <c r="S119" s="20"/>
      <c r="T119" s="20"/>
      <c r="U119" s="20"/>
      <c r="V119" s="20"/>
      <c r="W119" s="20"/>
      <c r="X119" s="20"/>
      <c r="Y119" s="20"/>
      <c r="Z119" s="20"/>
      <c r="AA119" s="20"/>
    </row>
    <row r="120">
      <c r="A120" s="7">
        <v>7.7914363E7</v>
      </c>
      <c r="B120" s="8" t="s">
        <v>387</v>
      </c>
      <c r="C120" s="8" t="s">
        <v>78</v>
      </c>
      <c r="D120" s="7" t="str">
        <f t="shared" si="1"/>
        <v>Definitely alert-worthy</v>
      </c>
      <c r="E120" s="20" t="b">
        <f t="shared" si="2"/>
        <v>1</v>
      </c>
      <c r="F120" s="8" t="s">
        <v>1817</v>
      </c>
      <c r="G120" s="21" t="s">
        <v>1817</v>
      </c>
      <c r="H120" s="7">
        <v>3828.0</v>
      </c>
      <c r="I120" s="7">
        <v>688.0</v>
      </c>
      <c r="J120" s="7">
        <v>191.0</v>
      </c>
      <c r="K120" s="7" t="s">
        <v>252</v>
      </c>
      <c r="L120" s="7" t="s">
        <v>253</v>
      </c>
      <c r="N120" s="20"/>
      <c r="O120" s="20"/>
      <c r="P120" s="20"/>
      <c r="Q120" s="20"/>
      <c r="R120" s="20"/>
      <c r="S120" s="20"/>
      <c r="T120" s="20"/>
      <c r="U120" s="20"/>
      <c r="V120" s="20"/>
      <c r="W120" s="20"/>
      <c r="X120" s="20"/>
      <c r="Y120" s="20"/>
      <c r="Z120" s="20"/>
      <c r="AA120" s="20"/>
    </row>
    <row r="121">
      <c r="A121" s="10">
        <v>8.0311945E7</v>
      </c>
      <c r="B121" s="12" t="s">
        <v>389</v>
      </c>
      <c r="C121" s="12" t="s">
        <v>161</v>
      </c>
      <c r="D121" s="10" t="str">
        <f t="shared" si="1"/>
        <v>Definitely alert-worthy</v>
      </c>
      <c r="E121" s="20" t="b">
        <f t="shared" si="2"/>
        <v>0</v>
      </c>
      <c r="F121" s="12" t="s">
        <v>1828</v>
      </c>
      <c r="G121" s="22" t="s">
        <v>1828</v>
      </c>
      <c r="H121" s="10">
        <v>4331.0</v>
      </c>
      <c r="I121" s="10">
        <v>650.0</v>
      </c>
      <c r="J121" s="10">
        <v>223.0</v>
      </c>
      <c r="K121" s="10" t="s">
        <v>252</v>
      </c>
      <c r="L121" s="10" t="s">
        <v>253</v>
      </c>
      <c r="N121" s="23"/>
      <c r="O121" s="23"/>
      <c r="P121" s="23"/>
      <c r="Q121" s="23"/>
      <c r="R121" s="23"/>
      <c r="S121" s="23"/>
      <c r="T121" s="23"/>
      <c r="U121" s="23"/>
      <c r="V121" s="23"/>
      <c r="W121" s="23"/>
      <c r="X121" s="23"/>
      <c r="Y121" s="23"/>
      <c r="Z121" s="23"/>
      <c r="AA121" s="23"/>
    </row>
    <row r="122">
      <c r="A122" s="7">
        <v>8.1028103E7</v>
      </c>
      <c r="B122" s="8" t="s">
        <v>391</v>
      </c>
      <c r="C122" s="8" t="s">
        <v>101</v>
      </c>
      <c r="D122" s="7" t="str">
        <f t="shared" si="1"/>
        <v>Not alert-worthy</v>
      </c>
      <c r="E122" s="20" t="b">
        <f t="shared" si="2"/>
        <v>1</v>
      </c>
      <c r="F122" s="8" t="s">
        <v>1840</v>
      </c>
      <c r="G122" s="7" t="s">
        <v>1840</v>
      </c>
      <c r="H122" s="7">
        <v>2381.0</v>
      </c>
      <c r="I122" s="7">
        <v>639.0</v>
      </c>
      <c r="J122" s="7">
        <v>84.0</v>
      </c>
      <c r="K122" s="7" t="s">
        <v>252</v>
      </c>
      <c r="L122" s="7" t="s">
        <v>253</v>
      </c>
      <c r="N122" s="20"/>
      <c r="O122" s="20"/>
      <c r="P122" s="20"/>
      <c r="Q122" s="20"/>
      <c r="R122" s="20"/>
      <c r="S122" s="20"/>
      <c r="T122" s="20"/>
      <c r="U122" s="20"/>
      <c r="V122" s="20"/>
      <c r="W122" s="20"/>
      <c r="X122" s="20"/>
      <c r="Y122" s="20"/>
      <c r="Z122" s="20"/>
      <c r="AA122" s="20"/>
    </row>
    <row r="123">
      <c r="A123" s="7">
        <v>8.2336224E7</v>
      </c>
      <c r="B123" s="8" t="s">
        <v>393</v>
      </c>
      <c r="C123" s="8" t="s">
        <v>78</v>
      </c>
      <c r="D123" s="7" t="str">
        <f t="shared" si="1"/>
        <v>Definitely alert-worthy</v>
      </c>
      <c r="E123" s="20" t="b">
        <f t="shared" si="2"/>
        <v>1</v>
      </c>
      <c r="F123" s="8" t="s">
        <v>1851</v>
      </c>
      <c r="G123" s="21" t="s">
        <v>1851</v>
      </c>
      <c r="H123" s="7">
        <v>4949.0</v>
      </c>
      <c r="I123" s="7">
        <v>660.0</v>
      </c>
      <c r="J123" s="7">
        <v>356.0</v>
      </c>
      <c r="K123" s="7" t="s">
        <v>252</v>
      </c>
      <c r="L123" s="7" t="s">
        <v>253</v>
      </c>
      <c r="N123" s="20"/>
      <c r="O123" s="20"/>
      <c r="P123" s="20"/>
      <c r="Q123" s="20"/>
      <c r="R123" s="20"/>
      <c r="S123" s="20"/>
      <c r="T123" s="20"/>
      <c r="U123" s="20"/>
      <c r="V123" s="20"/>
      <c r="W123" s="20"/>
      <c r="X123" s="20"/>
      <c r="Y123" s="20"/>
      <c r="Z123" s="20"/>
      <c r="AA123" s="20"/>
    </row>
    <row r="124">
      <c r="A124" s="7">
        <v>8.4880782E7</v>
      </c>
      <c r="B124" s="8" t="s">
        <v>395</v>
      </c>
      <c r="C124" s="8" t="s">
        <v>78</v>
      </c>
      <c r="D124" s="7" t="str">
        <f t="shared" si="1"/>
        <v>Definitely alert-worthy</v>
      </c>
      <c r="E124" s="20" t="b">
        <f t="shared" si="2"/>
        <v>1</v>
      </c>
      <c r="F124" s="8" t="s">
        <v>1863</v>
      </c>
      <c r="G124" s="21" t="s">
        <v>1863</v>
      </c>
      <c r="H124" s="7">
        <v>5939.0</v>
      </c>
      <c r="I124" s="7">
        <v>669.0</v>
      </c>
      <c r="J124" s="7">
        <v>296.0</v>
      </c>
      <c r="K124" s="7" t="s">
        <v>252</v>
      </c>
      <c r="L124" s="7" t="s">
        <v>253</v>
      </c>
      <c r="N124" s="20"/>
      <c r="O124" s="20"/>
      <c r="P124" s="20"/>
      <c r="Q124" s="20"/>
      <c r="R124" s="20"/>
      <c r="S124" s="20"/>
      <c r="T124" s="20"/>
      <c r="U124" s="20"/>
      <c r="V124" s="20"/>
      <c r="W124" s="20"/>
      <c r="X124" s="20"/>
      <c r="Y124" s="20"/>
      <c r="Z124" s="20"/>
      <c r="AA124" s="20"/>
    </row>
    <row r="125">
      <c r="A125" s="7">
        <v>8.5209457E7</v>
      </c>
      <c r="B125" s="8" t="s">
        <v>191</v>
      </c>
      <c r="C125" s="8" t="s">
        <v>78</v>
      </c>
      <c r="D125" s="7" t="str">
        <f t="shared" si="1"/>
        <v>Not alert-worthy</v>
      </c>
      <c r="E125" s="20" t="b">
        <f t="shared" si="2"/>
        <v>0</v>
      </c>
      <c r="F125" s="8" t="s">
        <v>1870</v>
      </c>
      <c r="G125" s="7" t="s">
        <v>1870</v>
      </c>
      <c r="H125" s="7">
        <v>6822.0</v>
      </c>
      <c r="I125" s="7">
        <v>741.0</v>
      </c>
      <c r="J125" s="7">
        <v>305.0</v>
      </c>
      <c r="K125" s="7" t="s">
        <v>252</v>
      </c>
      <c r="L125" s="7" t="s">
        <v>253</v>
      </c>
      <c r="N125" s="20"/>
      <c r="O125" s="20"/>
      <c r="P125" s="20"/>
      <c r="Q125" s="20"/>
      <c r="R125" s="20"/>
      <c r="S125" s="20"/>
      <c r="T125" s="20"/>
      <c r="U125" s="20"/>
      <c r="V125" s="20"/>
      <c r="W125" s="20"/>
      <c r="X125" s="20"/>
      <c r="Y125" s="20"/>
      <c r="Z125" s="20"/>
      <c r="AA125" s="20"/>
    </row>
    <row r="126">
      <c r="A126" s="7">
        <v>8.7103939E7</v>
      </c>
      <c r="B126" s="8" t="s">
        <v>399</v>
      </c>
      <c r="C126" s="8" t="s">
        <v>78</v>
      </c>
      <c r="D126" s="7" t="str">
        <f t="shared" si="1"/>
        <v>Definitely alert-worthy</v>
      </c>
      <c r="E126" s="20" t="b">
        <f t="shared" si="2"/>
        <v>1</v>
      </c>
      <c r="F126" s="8" t="s">
        <v>1880</v>
      </c>
      <c r="G126" s="21" t="s">
        <v>1880</v>
      </c>
      <c r="H126" s="7">
        <v>3247.0</v>
      </c>
      <c r="I126" s="7">
        <v>672.0</v>
      </c>
      <c r="J126" s="7">
        <v>164.0</v>
      </c>
      <c r="K126" s="7" t="s">
        <v>252</v>
      </c>
      <c r="L126" s="7" t="s">
        <v>253</v>
      </c>
      <c r="N126" s="20"/>
      <c r="O126" s="20"/>
      <c r="P126" s="20"/>
      <c r="Q126" s="20"/>
      <c r="R126" s="20"/>
      <c r="S126" s="20"/>
      <c r="T126" s="20"/>
      <c r="U126" s="20"/>
      <c r="V126" s="20"/>
      <c r="W126" s="20"/>
      <c r="X126" s="20"/>
      <c r="Y126" s="20"/>
      <c r="Z126" s="20"/>
      <c r="AA126" s="20"/>
    </row>
    <row r="127">
      <c r="A127" s="7">
        <v>9.0921141E7</v>
      </c>
      <c r="B127" s="8" t="s">
        <v>402</v>
      </c>
      <c r="C127" s="8" t="s">
        <v>78</v>
      </c>
      <c r="D127" s="7" t="str">
        <f t="shared" si="1"/>
        <v>Definitely alert-worthy</v>
      </c>
      <c r="E127" s="20" t="b">
        <f t="shared" si="2"/>
        <v>1</v>
      </c>
      <c r="F127" s="8" t="s">
        <v>1890</v>
      </c>
      <c r="G127" s="7" t="s">
        <v>1890</v>
      </c>
      <c r="H127" s="7">
        <v>3407.0</v>
      </c>
      <c r="I127" s="7">
        <v>689.0</v>
      </c>
      <c r="J127" s="7">
        <v>196.0</v>
      </c>
      <c r="K127" s="7" t="s">
        <v>252</v>
      </c>
      <c r="L127" s="7" t="s">
        <v>253</v>
      </c>
      <c r="N127" s="20"/>
      <c r="O127" s="20"/>
      <c r="P127" s="20"/>
      <c r="Q127" s="20"/>
      <c r="R127" s="20"/>
      <c r="S127" s="20"/>
      <c r="T127" s="20"/>
      <c r="U127" s="20"/>
      <c r="V127" s="20"/>
      <c r="W127" s="20"/>
      <c r="X127" s="20"/>
      <c r="Y127" s="20"/>
      <c r="Z127" s="20"/>
      <c r="AA127" s="20"/>
    </row>
    <row r="128">
      <c r="A128" s="7">
        <v>9.2709485E7</v>
      </c>
      <c r="B128" s="8" t="s">
        <v>404</v>
      </c>
      <c r="C128" s="8" t="s">
        <v>78</v>
      </c>
      <c r="D128" s="7" t="str">
        <f t="shared" si="1"/>
        <v>Definitely alert-worthy</v>
      </c>
      <c r="E128" s="20" t="b">
        <f t="shared" si="2"/>
        <v>1</v>
      </c>
      <c r="F128" s="8" t="s">
        <v>1899</v>
      </c>
      <c r="G128" s="7" t="s">
        <v>1899</v>
      </c>
      <c r="H128" s="7">
        <v>4337.0</v>
      </c>
      <c r="I128" s="7">
        <v>646.0</v>
      </c>
      <c r="J128" s="7">
        <v>129.0</v>
      </c>
      <c r="K128" s="7" t="s">
        <v>252</v>
      </c>
      <c r="L128" s="7" t="s">
        <v>253</v>
      </c>
      <c r="N128" s="20"/>
      <c r="O128" s="20"/>
      <c r="P128" s="20"/>
      <c r="Q128" s="20"/>
      <c r="R128" s="20"/>
      <c r="S128" s="20"/>
      <c r="T128" s="20"/>
      <c r="U128" s="20"/>
      <c r="V128" s="20"/>
      <c r="W128" s="20"/>
      <c r="X128" s="20"/>
      <c r="Y128" s="20"/>
      <c r="Z128" s="20"/>
      <c r="AA128" s="20"/>
    </row>
    <row r="129">
      <c r="A129" s="7">
        <v>9.5198267E7</v>
      </c>
      <c r="B129" s="8" t="s">
        <v>406</v>
      </c>
      <c r="C129" s="8" t="s">
        <v>161</v>
      </c>
      <c r="D129" s="7" t="str">
        <f t="shared" si="1"/>
        <v>Probably alert-worthy</v>
      </c>
      <c r="E129" s="20" t="b">
        <f t="shared" si="2"/>
        <v>1</v>
      </c>
      <c r="F129" s="8" t="s">
        <v>1907</v>
      </c>
      <c r="G129" s="21" t="s">
        <v>1907</v>
      </c>
      <c r="H129" s="7">
        <v>4585.0</v>
      </c>
      <c r="I129" s="7">
        <v>618.0</v>
      </c>
      <c r="J129" s="7">
        <v>264.0</v>
      </c>
      <c r="K129" s="7" t="s">
        <v>252</v>
      </c>
      <c r="L129" s="7" t="s">
        <v>253</v>
      </c>
      <c r="N129" s="20"/>
      <c r="O129" s="20"/>
      <c r="P129" s="20"/>
      <c r="Q129" s="20"/>
      <c r="R129" s="20"/>
      <c r="S129" s="20"/>
      <c r="T129" s="20"/>
      <c r="U129" s="20"/>
      <c r="V129" s="20"/>
      <c r="W129" s="20"/>
      <c r="X129" s="20"/>
      <c r="Y129" s="20"/>
      <c r="Z129" s="20"/>
      <c r="AA129" s="20"/>
    </row>
    <row r="130">
      <c r="A130" s="7">
        <v>1.01136927E8</v>
      </c>
      <c r="B130" s="8" t="s">
        <v>409</v>
      </c>
      <c r="C130" s="8" t="s">
        <v>78</v>
      </c>
      <c r="D130" s="7" t="str">
        <f t="shared" si="1"/>
        <v>Definitely alert-worthy</v>
      </c>
      <c r="E130" s="20" t="b">
        <f t="shared" si="2"/>
        <v>1</v>
      </c>
      <c r="F130" s="8" t="s">
        <v>1918</v>
      </c>
      <c r="G130" s="7" t="s">
        <v>1918</v>
      </c>
      <c r="H130" s="7">
        <v>2705.0</v>
      </c>
      <c r="I130" s="7">
        <v>747.0</v>
      </c>
      <c r="J130" s="7">
        <v>138.0</v>
      </c>
      <c r="K130" s="7" t="s">
        <v>252</v>
      </c>
      <c r="L130" s="7" t="s">
        <v>253</v>
      </c>
      <c r="N130" s="20"/>
      <c r="O130" s="20"/>
      <c r="P130" s="20"/>
      <c r="Q130" s="20"/>
      <c r="R130" s="20"/>
      <c r="S130" s="20"/>
      <c r="T130" s="20"/>
      <c r="U130" s="20"/>
      <c r="V130" s="20"/>
      <c r="W130" s="20"/>
      <c r="X130" s="20"/>
      <c r="Y130" s="20"/>
      <c r="Z130" s="20"/>
      <c r="AA130" s="20"/>
    </row>
    <row r="131">
      <c r="A131" s="7">
        <v>1.01544801E8</v>
      </c>
      <c r="B131" s="8" t="s">
        <v>302</v>
      </c>
      <c r="C131" s="8" t="s">
        <v>101</v>
      </c>
      <c r="D131" s="7" t="str">
        <f t="shared" si="1"/>
        <v>Not alert-worthy</v>
      </c>
      <c r="E131" s="20" t="b">
        <f t="shared" si="2"/>
        <v>1</v>
      </c>
      <c r="F131" s="8" t="s">
        <v>1926</v>
      </c>
      <c r="G131" s="7" t="s">
        <v>1926</v>
      </c>
      <c r="H131" s="7">
        <v>4650.0</v>
      </c>
      <c r="I131" s="7">
        <v>675.0</v>
      </c>
      <c r="J131" s="7">
        <v>201.0</v>
      </c>
      <c r="K131" s="7" t="s">
        <v>252</v>
      </c>
      <c r="L131" s="7" t="s">
        <v>253</v>
      </c>
      <c r="N131" s="20"/>
      <c r="O131" s="20"/>
      <c r="P131" s="20"/>
      <c r="Q131" s="20"/>
      <c r="R131" s="20"/>
      <c r="S131" s="20"/>
      <c r="T131" s="20"/>
      <c r="U131" s="20"/>
      <c r="V131" s="20"/>
      <c r="W131" s="20"/>
      <c r="X131" s="20"/>
      <c r="Y131" s="20"/>
      <c r="Z131" s="20"/>
      <c r="AA131" s="20"/>
    </row>
    <row r="132">
      <c r="A132" s="7">
        <v>1.03412754E8</v>
      </c>
      <c r="B132" s="8" t="s">
        <v>412</v>
      </c>
      <c r="C132" s="8" t="s">
        <v>78</v>
      </c>
      <c r="D132" s="7" t="str">
        <f t="shared" si="1"/>
        <v>Definitely alert-worthy</v>
      </c>
      <c r="E132" s="20" t="b">
        <f t="shared" si="2"/>
        <v>1</v>
      </c>
      <c r="F132" s="8" t="s">
        <v>1935</v>
      </c>
      <c r="G132" s="21" t="s">
        <v>1935</v>
      </c>
      <c r="H132" s="7">
        <v>4315.0</v>
      </c>
      <c r="I132" s="7">
        <v>741.0</v>
      </c>
      <c r="J132" s="7">
        <v>252.0</v>
      </c>
      <c r="K132" s="7" t="s">
        <v>252</v>
      </c>
      <c r="L132" s="7" t="s">
        <v>253</v>
      </c>
      <c r="N132" s="20"/>
      <c r="O132" s="20"/>
      <c r="P132" s="20"/>
      <c r="Q132" s="20"/>
      <c r="R132" s="20"/>
      <c r="S132" s="20"/>
      <c r="T132" s="20"/>
      <c r="U132" s="20"/>
      <c r="V132" s="20"/>
      <c r="W132" s="20"/>
      <c r="X132" s="20"/>
      <c r="Y132" s="20"/>
      <c r="Z132" s="20"/>
      <c r="AA132" s="20"/>
    </row>
    <row r="133">
      <c r="A133" s="7">
        <v>1.06397018E8</v>
      </c>
      <c r="B133" s="8" t="s">
        <v>414</v>
      </c>
      <c r="C133" s="8" t="s">
        <v>101</v>
      </c>
      <c r="D133" s="7" t="str">
        <f t="shared" si="1"/>
        <v>Not alert-worthy</v>
      </c>
      <c r="E133" s="20" t="b">
        <f t="shared" si="2"/>
        <v>1</v>
      </c>
      <c r="F133" s="8" t="s">
        <v>1946</v>
      </c>
      <c r="G133" s="21" t="s">
        <v>1946</v>
      </c>
      <c r="H133" s="7">
        <v>4200.0</v>
      </c>
      <c r="I133" s="7">
        <v>604.0</v>
      </c>
      <c r="J133" s="7">
        <v>220.0</v>
      </c>
      <c r="K133" s="7" t="s">
        <v>252</v>
      </c>
      <c r="L133" s="7" t="s">
        <v>253</v>
      </c>
      <c r="N133" s="20"/>
      <c r="O133" s="20"/>
      <c r="P133" s="20"/>
      <c r="Q133" s="20"/>
      <c r="R133" s="20"/>
      <c r="S133" s="20"/>
      <c r="T133" s="20"/>
      <c r="U133" s="20"/>
      <c r="V133" s="20"/>
      <c r="W133" s="20"/>
      <c r="X133" s="20"/>
      <c r="Y133" s="20"/>
      <c r="Z133" s="20"/>
      <c r="AA133" s="20"/>
    </row>
    <row r="134">
      <c r="A134" s="7">
        <v>1.13337306E8</v>
      </c>
      <c r="B134" s="8" t="s">
        <v>416</v>
      </c>
      <c r="C134" s="8" t="s">
        <v>101</v>
      </c>
      <c r="D134" s="7" t="str">
        <f t="shared" si="1"/>
        <v>Not alert-worthy</v>
      </c>
      <c r="E134" s="20" t="b">
        <f t="shared" si="2"/>
        <v>1</v>
      </c>
      <c r="F134" s="8" t="s">
        <v>1954</v>
      </c>
      <c r="G134" s="7" t="s">
        <v>1954</v>
      </c>
      <c r="H134" s="7">
        <v>4303.0</v>
      </c>
      <c r="I134" s="7">
        <v>576.0</v>
      </c>
      <c r="J134" s="7">
        <v>256.0</v>
      </c>
      <c r="K134" s="7" t="s">
        <v>252</v>
      </c>
      <c r="L134" s="7" t="s">
        <v>253</v>
      </c>
      <c r="N134" s="20"/>
      <c r="O134" s="20"/>
      <c r="P134" s="20"/>
      <c r="Q134" s="20"/>
      <c r="R134" s="20"/>
      <c r="S134" s="20"/>
      <c r="T134" s="20"/>
      <c r="U134" s="20"/>
      <c r="V134" s="20"/>
      <c r="W134" s="20"/>
      <c r="X134" s="20"/>
      <c r="Y134" s="20"/>
      <c r="Z134" s="20"/>
      <c r="AA134" s="20"/>
    </row>
    <row r="135">
      <c r="A135" s="7">
        <v>1.21877693E8</v>
      </c>
      <c r="B135" s="8" t="s">
        <v>420</v>
      </c>
      <c r="C135" s="8" t="s">
        <v>78</v>
      </c>
      <c r="D135" s="7" t="str">
        <f t="shared" si="1"/>
        <v>Definitely alert-worthy</v>
      </c>
      <c r="E135" s="20" t="b">
        <f t="shared" si="2"/>
        <v>1</v>
      </c>
      <c r="F135" s="8" t="s">
        <v>1961</v>
      </c>
      <c r="G135" s="7" t="s">
        <v>1961</v>
      </c>
      <c r="H135" s="7">
        <v>3507.0</v>
      </c>
      <c r="I135" s="7">
        <v>959.0</v>
      </c>
      <c r="J135" s="7">
        <v>141.0</v>
      </c>
      <c r="K135" s="7" t="s">
        <v>252</v>
      </c>
      <c r="L135" s="7" t="s">
        <v>253</v>
      </c>
      <c r="N135" s="20"/>
      <c r="O135" s="20"/>
      <c r="P135" s="20"/>
      <c r="Q135" s="20"/>
      <c r="R135" s="20"/>
      <c r="S135" s="20"/>
      <c r="T135" s="20"/>
      <c r="U135" s="20"/>
      <c r="V135" s="20"/>
      <c r="W135" s="20"/>
      <c r="X135" s="20"/>
      <c r="Y135" s="20"/>
      <c r="Z135" s="20"/>
      <c r="AA135" s="20"/>
    </row>
    <row r="136">
      <c r="A136" s="7">
        <v>1.26327487E8</v>
      </c>
      <c r="B136" s="8" t="s">
        <v>422</v>
      </c>
      <c r="C136" s="8" t="s">
        <v>78</v>
      </c>
      <c r="D136" s="7" t="str">
        <f t="shared" si="1"/>
        <v>Definitely alert-worthy</v>
      </c>
      <c r="E136" s="20" t="b">
        <f t="shared" si="2"/>
        <v>1</v>
      </c>
      <c r="F136" s="8" t="s">
        <v>1970</v>
      </c>
      <c r="G136" s="21" t="s">
        <v>1970</v>
      </c>
      <c r="H136" s="7">
        <v>5162.0</v>
      </c>
      <c r="I136" s="7">
        <v>625.0</v>
      </c>
      <c r="J136" s="7">
        <v>297.0</v>
      </c>
      <c r="K136" s="7" t="s">
        <v>252</v>
      </c>
      <c r="L136" s="7" t="s">
        <v>253</v>
      </c>
      <c r="N136" s="20"/>
      <c r="O136" s="20"/>
      <c r="P136" s="20"/>
      <c r="Q136" s="20"/>
      <c r="R136" s="20"/>
      <c r="S136" s="20"/>
      <c r="T136" s="20"/>
      <c r="U136" s="20"/>
      <c r="V136" s="20"/>
      <c r="W136" s="20"/>
      <c r="X136" s="20"/>
      <c r="Y136" s="20"/>
      <c r="Z136" s="20"/>
      <c r="AA136" s="20"/>
    </row>
    <row r="137">
      <c r="A137" s="7">
        <v>1.30160841E8</v>
      </c>
      <c r="B137" s="8" t="s">
        <v>425</v>
      </c>
      <c r="C137" s="8" t="s">
        <v>78</v>
      </c>
      <c r="D137" s="7" t="str">
        <f t="shared" si="1"/>
        <v>Definitely alert-worthy</v>
      </c>
      <c r="E137" s="20" t="b">
        <f t="shared" si="2"/>
        <v>1</v>
      </c>
      <c r="F137" s="8" t="s">
        <v>1979</v>
      </c>
      <c r="G137" s="21" t="s">
        <v>1979</v>
      </c>
      <c r="H137" s="7">
        <v>5954.0</v>
      </c>
      <c r="I137" s="7">
        <v>674.0</v>
      </c>
      <c r="J137" s="7">
        <v>379.0</v>
      </c>
      <c r="K137" s="7" t="s">
        <v>252</v>
      </c>
      <c r="L137" s="7" t="s">
        <v>253</v>
      </c>
      <c r="N137" s="20"/>
      <c r="O137" s="20"/>
      <c r="P137" s="20"/>
      <c r="Q137" s="20"/>
      <c r="R137" s="20"/>
      <c r="S137" s="20"/>
      <c r="T137" s="20"/>
      <c r="U137" s="20"/>
      <c r="V137" s="20"/>
      <c r="W137" s="20"/>
      <c r="X137" s="20"/>
      <c r="Y137" s="20"/>
      <c r="Z137" s="20"/>
      <c r="AA137" s="20"/>
    </row>
    <row r="138">
      <c r="A138" s="7">
        <v>1.35787442E8</v>
      </c>
      <c r="B138" s="8" t="s">
        <v>427</v>
      </c>
      <c r="C138" s="8" t="s">
        <v>78</v>
      </c>
      <c r="D138" s="7" t="str">
        <f t="shared" si="1"/>
        <v>Definitely alert-worthy</v>
      </c>
      <c r="E138" s="20" t="b">
        <f t="shared" si="2"/>
        <v>1</v>
      </c>
      <c r="F138" s="8" t="s">
        <v>1988</v>
      </c>
      <c r="G138" s="7" t="s">
        <v>1988</v>
      </c>
      <c r="H138" s="7">
        <v>3893.0</v>
      </c>
      <c r="I138" s="7">
        <v>668.0</v>
      </c>
      <c r="J138" s="7">
        <v>117.0</v>
      </c>
      <c r="K138" s="7" t="s">
        <v>252</v>
      </c>
      <c r="L138" s="7" t="s">
        <v>253</v>
      </c>
      <c r="N138" s="20"/>
      <c r="O138" s="20"/>
      <c r="P138" s="20"/>
      <c r="Q138" s="20"/>
      <c r="R138" s="20"/>
      <c r="S138" s="20"/>
      <c r="T138" s="20"/>
      <c r="U138" s="20"/>
      <c r="V138" s="20"/>
      <c r="W138" s="20"/>
      <c r="X138" s="20"/>
      <c r="Y138" s="20"/>
      <c r="Z138" s="20"/>
      <c r="AA138" s="20"/>
    </row>
    <row r="139">
      <c r="A139" s="7">
        <v>1.41855211E8</v>
      </c>
      <c r="B139" s="8" t="s">
        <v>429</v>
      </c>
      <c r="C139" s="8" t="s">
        <v>78</v>
      </c>
      <c r="D139" s="7" t="str">
        <f t="shared" si="1"/>
        <v>Definitely alert-worthy</v>
      </c>
      <c r="E139" s="20" t="b">
        <f t="shared" si="2"/>
        <v>1</v>
      </c>
      <c r="F139" s="8" t="s">
        <v>1997</v>
      </c>
      <c r="G139" s="7" t="s">
        <v>1997</v>
      </c>
      <c r="H139" s="7">
        <v>4634.0</v>
      </c>
      <c r="I139" s="7">
        <v>739.0</v>
      </c>
      <c r="J139" s="7">
        <v>241.0</v>
      </c>
      <c r="K139" s="7" t="s">
        <v>252</v>
      </c>
      <c r="L139" s="7" t="s">
        <v>253</v>
      </c>
      <c r="N139" s="20"/>
      <c r="O139" s="20"/>
      <c r="P139" s="20"/>
      <c r="Q139" s="20"/>
      <c r="R139" s="20"/>
      <c r="S139" s="20"/>
      <c r="T139" s="20"/>
      <c r="U139" s="20"/>
      <c r="V139" s="20"/>
      <c r="W139" s="20"/>
      <c r="X139" s="20"/>
      <c r="Y139" s="20"/>
      <c r="Z139" s="20"/>
      <c r="AA139" s="20"/>
    </row>
    <row r="140">
      <c r="A140" s="7">
        <v>1.470747E8</v>
      </c>
      <c r="B140" s="8" t="s">
        <v>431</v>
      </c>
      <c r="C140" s="8" t="s">
        <v>78</v>
      </c>
      <c r="D140" s="7" t="str">
        <f t="shared" si="1"/>
        <v>Definitely alert-worthy</v>
      </c>
      <c r="E140" s="20" t="b">
        <f t="shared" si="2"/>
        <v>1</v>
      </c>
      <c r="F140" s="8" t="s">
        <v>2005</v>
      </c>
      <c r="G140" s="21" t="s">
        <v>2005</v>
      </c>
      <c r="H140" s="7">
        <v>3598.0</v>
      </c>
      <c r="I140" s="7">
        <v>586.0</v>
      </c>
      <c r="J140" s="7">
        <v>207.0</v>
      </c>
      <c r="K140" s="7" t="s">
        <v>252</v>
      </c>
      <c r="L140" s="7" t="s">
        <v>253</v>
      </c>
      <c r="N140" s="20"/>
      <c r="O140" s="20"/>
      <c r="P140" s="20"/>
      <c r="Q140" s="20"/>
      <c r="R140" s="20"/>
      <c r="S140" s="20"/>
      <c r="T140" s="20"/>
      <c r="U140" s="20"/>
      <c r="V140" s="20"/>
      <c r="W140" s="20"/>
      <c r="X140" s="20"/>
      <c r="Y140" s="20"/>
      <c r="Z140" s="20"/>
      <c r="AA140" s="20"/>
    </row>
    <row r="141">
      <c r="A141" s="7">
        <v>1.68113775E8</v>
      </c>
      <c r="B141" s="8" t="s">
        <v>262</v>
      </c>
      <c r="C141" s="8" t="s">
        <v>161</v>
      </c>
      <c r="D141" s="7" t="str">
        <f t="shared" si="1"/>
        <v>Probably alert-worthy</v>
      </c>
      <c r="E141" s="20" t="b">
        <f t="shared" si="2"/>
        <v>1</v>
      </c>
      <c r="F141" s="8" t="s">
        <v>2013</v>
      </c>
      <c r="G141" s="21" t="s">
        <v>2013</v>
      </c>
      <c r="H141" s="7">
        <v>4357.0</v>
      </c>
      <c r="I141" s="7">
        <v>790.0</v>
      </c>
      <c r="J141" s="7">
        <v>205.0</v>
      </c>
      <c r="K141" s="7" t="s">
        <v>252</v>
      </c>
      <c r="L141" s="7" t="s">
        <v>253</v>
      </c>
      <c r="N141" s="20"/>
      <c r="O141" s="20"/>
      <c r="P141" s="20"/>
      <c r="Q141" s="20"/>
      <c r="R141" s="20"/>
      <c r="S141" s="20"/>
      <c r="T141" s="20"/>
      <c r="U141" s="20"/>
      <c r="V141" s="20"/>
      <c r="W141" s="20"/>
      <c r="X141" s="20"/>
      <c r="Y141" s="20"/>
      <c r="Z141" s="20"/>
      <c r="AA141" s="20"/>
    </row>
    <row r="142">
      <c r="A142" s="7">
        <v>1.77698539E8</v>
      </c>
      <c r="B142" s="8" t="s">
        <v>434</v>
      </c>
      <c r="C142" s="8" t="s">
        <v>78</v>
      </c>
      <c r="D142" s="7" t="str">
        <f t="shared" si="1"/>
        <v>Definitely alert-worthy</v>
      </c>
      <c r="E142" s="20" t="b">
        <f t="shared" si="2"/>
        <v>1</v>
      </c>
      <c r="F142" s="8" t="s">
        <v>2022</v>
      </c>
      <c r="G142" s="21" t="s">
        <v>2022</v>
      </c>
      <c r="H142" s="7">
        <v>3458.0</v>
      </c>
      <c r="I142" s="7">
        <v>621.0</v>
      </c>
      <c r="J142" s="7">
        <v>177.0</v>
      </c>
      <c r="K142" s="7" t="s">
        <v>252</v>
      </c>
      <c r="L142" s="7" t="s">
        <v>253</v>
      </c>
      <c r="N142" s="20"/>
      <c r="O142" s="20"/>
      <c r="P142" s="20"/>
      <c r="Q142" s="20"/>
      <c r="R142" s="20"/>
      <c r="S142" s="20"/>
      <c r="T142" s="20"/>
      <c r="U142" s="20"/>
      <c r="V142" s="20"/>
      <c r="W142" s="20"/>
      <c r="X142" s="20"/>
      <c r="Y142" s="20"/>
      <c r="Z142" s="20"/>
      <c r="AA142" s="20"/>
    </row>
    <row r="143">
      <c r="A143" s="7">
        <v>1.878145E8</v>
      </c>
      <c r="B143" s="8" t="s">
        <v>437</v>
      </c>
      <c r="C143" s="8" t="s">
        <v>101</v>
      </c>
      <c r="D143" s="7" t="str">
        <f t="shared" si="1"/>
        <v>Not alert-worthy</v>
      </c>
      <c r="E143" s="20" t="b">
        <f t="shared" si="2"/>
        <v>1</v>
      </c>
      <c r="F143" s="8" t="s">
        <v>2029</v>
      </c>
      <c r="G143" s="21" t="s">
        <v>2029</v>
      </c>
      <c r="H143" s="7">
        <v>4870.0</v>
      </c>
      <c r="I143" s="7">
        <v>680.0</v>
      </c>
      <c r="J143" s="7">
        <v>310.0</v>
      </c>
      <c r="K143" s="7" t="s">
        <v>252</v>
      </c>
      <c r="L143" s="7" t="s">
        <v>253</v>
      </c>
      <c r="N143" s="20"/>
      <c r="O143" s="20"/>
      <c r="P143" s="20"/>
      <c r="Q143" s="20"/>
      <c r="R143" s="20"/>
      <c r="S143" s="20"/>
      <c r="T143" s="20"/>
      <c r="U143" s="20"/>
      <c r="V143" s="20"/>
      <c r="W143" s="20"/>
      <c r="X143" s="20"/>
      <c r="Y143" s="20"/>
      <c r="Z143" s="20"/>
      <c r="AA143" s="20"/>
    </row>
    <row r="144">
      <c r="A144" s="7">
        <v>1.88767942E8</v>
      </c>
      <c r="B144" s="8" t="s">
        <v>226</v>
      </c>
      <c r="C144" s="8" t="s">
        <v>101</v>
      </c>
      <c r="D144" s="7" t="str">
        <f t="shared" si="1"/>
        <v>Not alert-worthy</v>
      </c>
      <c r="E144" s="20" t="b">
        <f t="shared" si="2"/>
        <v>1</v>
      </c>
      <c r="F144" s="8" t="s">
        <v>2038</v>
      </c>
      <c r="G144" s="7" t="s">
        <v>2038</v>
      </c>
      <c r="H144" s="7">
        <v>4160.0</v>
      </c>
      <c r="I144" s="7">
        <v>668.0</v>
      </c>
      <c r="J144" s="7">
        <v>140.0</v>
      </c>
      <c r="K144" s="7" t="s">
        <v>252</v>
      </c>
      <c r="L144" s="7" t="s">
        <v>253</v>
      </c>
      <c r="N144" s="20"/>
      <c r="O144" s="20"/>
      <c r="P144" s="20"/>
      <c r="Q144" s="20"/>
      <c r="R144" s="20"/>
      <c r="S144" s="20"/>
      <c r="T144" s="20"/>
      <c r="U144" s="20"/>
      <c r="V144" s="20"/>
      <c r="W144" s="20"/>
      <c r="X144" s="20"/>
      <c r="Y144" s="20"/>
      <c r="Z144" s="20"/>
      <c r="AA144" s="20"/>
    </row>
    <row r="145">
      <c r="A145" s="7">
        <v>1.88995231E8</v>
      </c>
      <c r="B145" s="8" t="s">
        <v>440</v>
      </c>
      <c r="C145" s="8" t="s">
        <v>78</v>
      </c>
      <c r="D145" s="7" t="str">
        <f t="shared" si="1"/>
        <v>Definitely alert-worthy</v>
      </c>
      <c r="E145" s="20" t="b">
        <f t="shared" si="2"/>
        <v>1</v>
      </c>
      <c r="F145" s="8" t="s">
        <v>2047</v>
      </c>
      <c r="G145" s="21" t="s">
        <v>2047</v>
      </c>
      <c r="H145" s="7">
        <v>3757.0</v>
      </c>
      <c r="I145" s="7">
        <v>722.0</v>
      </c>
      <c r="J145" s="7">
        <v>208.0</v>
      </c>
      <c r="K145" s="7" t="s">
        <v>252</v>
      </c>
      <c r="L145" s="7" t="s">
        <v>253</v>
      </c>
      <c r="N145" s="20"/>
      <c r="O145" s="20"/>
      <c r="P145" s="20"/>
      <c r="Q145" s="20"/>
      <c r="R145" s="20"/>
      <c r="S145" s="20"/>
      <c r="T145" s="20"/>
      <c r="U145" s="20"/>
      <c r="V145" s="20"/>
      <c r="W145" s="20"/>
      <c r="X145" s="20"/>
      <c r="Y145" s="20"/>
      <c r="Z145" s="20"/>
      <c r="AA145" s="20"/>
    </row>
    <row r="146">
      <c r="A146" s="7">
        <v>1.91841056E8</v>
      </c>
      <c r="B146" s="8" t="s">
        <v>442</v>
      </c>
      <c r="C146" s="8" t="s">
        <v>101</v>
      </c>
      <c r="D146" s="7" t="str">
        <f t="shared" si="1"/>
        <v>Not alert-worthy</v>
      </c>
      <c r="E146" s="20" t="b">
        <f t="shared" si="2"/>
        <v>1</v>
      </c>
      <c r="F146" s="8" t="s">
        <v>2057</v>
      </c>
      <c r="G146" s="21" t="s">
        <v>2057</v>
      </c>
      <c r="H146" s="7">
        <v>4905.0</v>
      </c>
      <c r="I146" s="7">
        <v>586.0</v>
      </c>
      <c r="J146" s="7">
        <v>329.0</v>
      </c>
      <c r="K146" s="7" t="s">
        <v>252</v>
      </c>
      <c r="L146" s="7" t="s">
        <v>253</v>
      </c>
      <c r="N146" s="20"/>
      <c r="O146" s="20"/>
      <c r="P146" s="20"/>
      <c r="Q146" s="20"/>
      <c r="R146" s="20"/>
      <c r="S146" s="20"/>
      <c r="T146" s="20"/>
      <c r="U146" s="20"/>
      <c r="V146" s="20"/>
      <c r="W146" s="20"/>
      <c r="X146" s="20"/>
      <c r="Y146" s="20"/>
      <c r="Z146" s="20"/>
      <c r="AA146" s="20"/>
    </row>
    <row r="147">
      <c r="A147" s="7">
        <v>1.96689059E8</v>
      </c>
      <c r="B147" s="8" t="s">
        <v>206</v>
      </c>
      <c r="C147" s="8" t="s">
        <v>101</v>
      </c>
      <c r="D147" s="7" t="str">
        <f t="shared" si="1"/>
        <v>Not alert-worthy</v>
      </c>
      <c r="E147" s="20" t="b">
        <f t="shared" si="2"/>
        <v>1</v>
      </c>
      <c r="F147" s="8" t="s">
        <v>2068</v>
      </c>
      <c r="G147" s="21" t="s">
        <v>2068</v>
      </c>
      <c r="H147" s="7">
        <v>4516.0</v>
      </c>
      <c r="I147" s="7">
        <v>638.0</v>
      </c>
      <c r="J147" s="7">
        <v>180.0</v>
      </c>
      <c r="K147" s="7" t="s">
        <v>252</v>
      </c>
      <c r="L147" s="7" t="s">
        <v>253</v>
      </c>
      <c r="N147" s="20"/>
      <c r="O147" s="20"/>
      <c r="P147" s="20"/>
      <c r="Q147" s="20"/>
      <c r="R147" s="20"/>
      <c r="S147" s="20"/>
      <c r="T147" s="20"/>
      <c r="U147" s="20"/>
      <c r="V147" s="20"/>
      <c r="W147" s="20"/>
      <c r="X147" s="20"/>
      <c r="Y147" s="20"/>
      <c r="Z147" s="20"/>
      <c r="AA147" s="20"/>
    </row>
    <row r="148">
      <c r="A148" s="7">
        <v>2.085513E8</v>
      </c>
      <c r="B148" s="8" t="s">
        <v>447</v>
      </c>
      <c r="C148" s="8" t="s">
        <v>78</v>
      </c>
      <c r="D148" s="7" t="str">
        <f t="shared" si="1"/>
        <v>Definitely alert-worthy</v>
      </c>
      <c r="E148" s="20" t="b">
        <f t="shared" si="2"/>
        <v>1</v>
      </c>
      <c r="F148" s="8" t="s">
        <v>2079</v>
      </c>
      <c r="G148" s="21" t="s">
        <v>2079</v>
      </c>
      <c r="H148" s="7">
        <v>5337.0</v>
      </c>
      <c r="I148" s="7">
        <v>694.0</v>
      </c>
      <c r="J148" s="7">
        <v>359.0</v>
      </c>
      <c r="K148" s="7" t="s">
        <v>252</v>
      </c>
      <c r="L148" s="7" t="s">
        <v>253</v>
      </c>
      <c r="N148" s="20"/>
      <c r="O148" s="20"/>
      <c r="P148" s="20"/>
      <c r="Q148" s="20"/>
      <c r="R148" s="20"/>
      <c r="S148" s="20"/>
      <c r="T148" s="20"/>
      <c r="U148" s="20"/>
      <c r="V148" s="20"/>
      <c r="W148" s="20"/>
      <c r="X148" s="20"/>
      <c r="Y148" s="20"/>
      <c r="Z148" s="20"/>
      <c r="AA148" s="20"/>
    </row>
    <row r="149">
      <c r="A149" s="7">
        <v>2.1220671E8</v>
      </c>
      <c r="B149" s="8" t="s">
        <v>449</v>
      </c>
      <c r="C149" s="8" t="s">
        <v>78</v>
      </c>
      <c r="D149" s="7" t="str">
        <f t="shared" si="1"/>
        <v>Definitely alert-worthy</v>
      </c>
      <c r="E149" s="20" t="b">
        <f t="shared" si="2"/>
        <v>1</v>
      </c>
      <c r="F149" s="8" t="s">
        <v>2086</v>
      </c>
      <c r="G149" s="21" t="s">
        <v>2086</v>
      </c>
      <c r="H149" s="7">
        <v>4681.0</v>
      </c>
      <c r="I149" s="7">
        <v>650.0</v>
      </c>
      <c r="J149" s="7">
        <v>230.0</v>
      </c>
      <c r="K149" s="7" t="s">
        <v>252</v>
      </c>
      <c r="L149" s="7" t="s">
        <v>253</v>
      </c>
      <c r="N149" s="20"/>
      <c r="O149" s="20"/>
      <c r="P149" s="20"/>
      <c r="Q149" s="20"/>
      <c r="R149" s="20"/>
      <c r="S149" s="20"/>
      <c r="T149" s="20"/>
      <c r="U149" s="20"/>
      <c r="V149" s="20"/>
      <c r="W149" s="20"/>
      <c r="X149" s="20"/>
      <c r="Y149" s="20"/>
      <c r="Z149" s="20"/>
      <c r="AA149" s="20"/>
    </row>
    <row r="150">
      <c r="A150" s="10">
        <v>2.17040742E8</v>
      </c>
      <c r="B150" s="12" t="s">
        <v>451</v>
      </c>
      <c r="C150" s="12" t="s">
        <v>161</v>
      </c>
      <c r="D150" s="10" t="str">
        <f t="shared" si="1"/>
        <v>Definitely alert-worthy</v>
      </c>
      <c r="E150" s="20" t="b">
        <f t="shared" si="2"/>
        <v>0</v>
      </c>
      <c r="F150" s="12" t="s">
        <v>2094</v>
      </c>
      <c r="G150" s="22" t="s">
        <v>2094</v>
      </c>
      <c r="H150" s="10">
        <v>3988.0</v>
      </c>
      <c r="I150" s="10">
        <v>668.0</v>
      </c>
      <c r="J150" s="10">
        <v>196.0</v>
      </c>
      <c r="K150" s="10" t="s">
        <v>252</v>
      </c>
      <c r="L150" s="10" t="s">
        <v>253</v>
      </c>
      <c r="N150" s="23"/>
      <c r="O150" s="23"/>
      <c r="P150" s="23"/>
      <c r="Q150" s="23"/>
      <c r="R150" s="23"/>
      <c r="S150" s="23"/>
      <c r="T150" s="23"/>
      <c r="U150" s="23"/>
      <c r="V150" s="23"/>
      <c r="W150" s="23"/>
      <c r="X150" s="23"/>
      <c r="Y150" s="23"/>
      <c r="Z150" s="23"/>
      <c r="AA150" s="23"/>
    </row>
    <row r="151">
      <c r="A151" s="10">
        <v>2.28571927E8</v>
      </c>
      <c r="B151" s="12" t="s">
        <v>166</v>
      </c>
      <c r="C151" s="12" t="s">
        <v>161</v>
      </c>
      <c r="D151" s="10" t="str">
        <f t="shared" si="1"/>
        <v>Definitely alert-worthy</v>
      </c>
      <c r="E151" s="20" t="b">
        <f t="shared" si="2"/>
        <v>0</v>
      </c>
      <c r="F151" s="12" t="s">
        <v>2107</v>
      </c>
      <c r="G151" s="22" t="s">
        <v>2107</v>
      </c>
      <c r="H151" s="10">
        <v>13278.0</v>
      </c>
      <c r="I151" s="10">
        <v>761.0</v>
      </c>
      <c r="J151" s="10">
        <v>808.0</v>
      </c>
      <c r="K151" s="10" t="s">
        <v>252</v>
      </c>
      <c r="L151" s="10" t="s">
        <v>253</v>
      </c>
      <c r="N151" s="23"/>
      <c r="O151" s="23"/>
      <c r="P151" s="23"/>
      <c r="Q151" s="23"/>
      <c r="R151" s="23"/>
      <c r="S151" s="23"/>
      <c r="T151" s="23"/>
      <c r="U151" s="23"/>
      <c r="V151" s="23"/>
      <c r="W151" s="23"/>
      <c r="X151" s="23"/>
      <c r="Y151" s="23"/>
      <c r="Z151" s="23"/>
      <c r="AA151" s="23"/>
    </row>
    <row r="152">
      <c r="A152" s="7">
        <v>2.44852232E8</v>
      </c>
      <c r="B152" s="8" t="s">
        <v>455</v>
      </c>
      <c r="C152" s="8" t="s">
        <v>78</v>
      </c>
      <c r="D152" s="7" t="str">
        <f t="shared" si="1"/>
        <v>Definitely alert-worthy</v>
      </c>
      <c r="E152" s="20" t="b">
        <f t="shared" si="2"/>
        <v>1</v>
      </c>
      <c r="F152" s="8" t="s">
        <v>2121</v>
      </c>
      <c r="G152" s="7" t="s">
        <v>2121</v>
      </c>
      <c r="H152" s="7">
        <v>2938.0</v>
      </c>
      <c r="I152" s="7">
        <v>690.0</v>
      </c>
      <c r="J152" s="7">
        <v>159.0</v>
      </c>
      <c r="K152" s="7" t="s">
        <v>252</v>
      </c>
      <c r="L152" s="7" t="s">
        <v>253</v>
      </c>
      <c r="N152" s="20"/>
      <c r="O152" s="20"/>
      <c r="P152" s="20"/>
      <c r="Q152" s="20"/>
      <c r="R152" s="20"/>
      <c r="S152" s="20"/>
      <c r="T152" s="20"/>
      <c r="U152" s="20"/>
      <c r="V152" s="20"/>
      <c r="W152" s="20"/>
      <c r="X152" s="20"/>
      <c r="Y152" s="20"/>
      <c r="Z152" s="20"/>
      <c r="AA152" s="20"/>
    </row>
    <row r="153">
      <c r="A153" s="7">
        <v>2.4643893E8</v>
      </c>
      <c r="B153" s="8" t="s">
        <v>287</v>
      </c>
      <c r="C153" s="8" t="s">
        <v>101</v>
      </c>
      <c r="D153" s="7" t="str">
        <f t="shared" si="1"/>
        <v>Not alert-worthy</v>
      </c>
      <c r="E153" s="20" t="b">
        <f t="shared" si="2"/>
        <v>1</v>
      </c>
      <c r="F153" s="8" t="s">
        <v>2129</v>
      </c>
      <c r="G153" s="7" t="s">
        <v>2129</v>
      </c>
      <c r="H153" s="7">
        <v>2858.0</v>
      </c>
      <c r="I153" s="7">
        <v>631.0</v>
      </c>
      <c r="J153" s="7">
        <v>110.0</v>
      </c>
      <c r="K153" s="7" t="s">
        <v>252</v>
      </c>
      <c r="L153" s="7" t="s">
        <v>253</v>
      </c>
      <c r="N153" s="20"/>
      <c r="O153" s="20"/>
      <c r="P153" s="20"/>
      <c r="Q153" s="20"/>
      <c r="R153" s="20"/>
      <c r="S153" s="20"/>
      <c r="T153" s="20"/>
      <c r="U153" s="20"/>
      <c r="V153" s="20"/>
      <c r="W153" s="20"/>
      <c r="X153" s="20"/>
      <c r="Y153" s="20"/>
      <c r="Z153" s="20"/>
      <c r="AA153" s="20"/>
    </row>
    <row r="154">
      <c r="A154" s="7">
        <v>2.51150448E8</v>
      </c>
      <c r="B154" s="8" t="s">
        <v>459</v>
      </c>
      <c r="C154" s="8" t="s">
        <v>78</v>
      </c>
      <c r="D154" s="7" t="str">
        <f t="shared" si="1"/>
        <v>Definitely alert-worthy</v>
      </c>
      <c r="E154" s="20" t="b">
        <f t="shared" si="2"/>
        <v>1</v>
      </c>
      <c r="F154" s="8" t="s">
        <v>2137</v>
      </c>
      <c r="G154" s="21" t="s">
        <v>2137</v>
      </c>
      <c r="H154" s="7">
        <v>4689.0</v>
      </c>
      <c r="I154" s="7">
        <v>718.0</v>
      </c>
      <c r="J154" s="7">
        <v>226.0</v>
      </c>
      <c r="K154" s="7" t="s">
        <v>252</v>
      </c>
      <c r="L154" s="7" t="s">
        <v>253</v>
      </c>
      <c r="N154" s="20"/>
      <c r="O154" s="20"/>
      <c r="P154" s="20"/>
      <c r="Q154" s="20"/>
      <c r="R154" s="20"/>
      <c r="S154" s="20"/>
      <c r="T154" s="20"/>
      <c r="U154" s="20"/>
      <c r="V154" s="20"/>
      <c r="W154" s="20"/>
      <c r="X154" s="20"/>
      <c r="Y154" s="20"/>
      <c r="Z154" s="20"/>
      <c r="AA154" s="20"/>
    </row>
    <row r="155">
      <c r="A155" s="7">
        <v>2.55723931E8</v>
      </c>
      <c r="B155" s="8" t="s">
        <v>463</v>
      </c>
      <c r="C155" s="8" t="s">
        <v>78</v>
      </c>
      <c r="D155" s="7" t="str">
        <f t="shared" si="1"/>
        <v>Definitely alert-worthy</v>
      </c>
      <c r="E155" s="20" t="b">
        <f t="shared" si="2"/>
        <v>1</v>
      </c>
      <c r="F155" s="8" t="s">
        <v>2148</v>
      </c>
      <c r="G155" s="7" t="s">
        <v>2148</v>
      </c>
      <c r="H155" s="7">
        <v>3749.0</v>
      </c>
      <c r="I155" s="7">
        <v>807.0</v>
      </c>
      <c r="J155" s="7">
        <v>178.0</v>
      </c>
      <c r="K155" s="7" t="s">
        <v>252</v>
      </c>
      <c r="L155" s="7" t="s">
        <v>253</v>
      </c>
      <c r="N155" s="20"/>
      <c r="O155" s="20"/>
      <c r="P155" s="20"/>
      <c r="Q155" s="20"/>
      <c r="R155" s="20"/>
      <c r="S155" s="20"/>
      <c r="T155" s="20"/>
      <c r="U155" s="20"/>
      <c r="V155" s="20"/>
      <c r="W155" s="20"/>
      <c r="X155" s="20"/>
      <c r="Y155" s="20"/>
      <c r="Z155" s="20"/>
      <c r="AA155" s="20"/>
    </row>
    <row r="156">
      <c r="A156" s="7">
        <v>2.55774182E8</v>
      </c>
      <c r="B156" s="8" t="s">
        <v>113</v>
      </c>
      <c r="C156" s="8" t="s">
        <v>101</v>
      </c>
      <c r="D156" s="7" t="str">
        <f t="shared" si="1"/>
        <v>Not alert-worthy</v>
      </c>
      <c r="E156" s="20" t="b">
        <f t="shared" si="2"/>
        <v>1</v>
      </c>
      <c r="F156" s="8" t="s">
        <v>2156</v>
      </c>
      <c r="G156" s="21" t="s">
        <v>2156</v>
      </c>
      <c r="H156" s="7">
        <v>4942.0</v>
      </c>
      <c r="I156" s="7">
        <v>724.0</v>
      </c>
      <c r="J156" s="7">
        <v>124.0</v>
      </c>
      <c r="K156" s="7" t="s">
        <v>252</v>
      </c>
      <c r="L156" s="7" t="s">
        <v>253</v>
      </c>
      <c r="N156" s="20"/>
      <c r="O156" s="20"/>
      <c r="P156" s="20"/>
      <c r="Q156" s="20"/>
      <c r="R156" s="20"/>
      <c r="S156" s="20"/>
      <c r="T156" s="20"/>
      <c r="U156" s="20"/>
      <c r="V156" s="20"/>
      <c r="W156" s="20"/>
      <c r="X156" s="20"/>
      <c r="Y156" s="20"/>
      <c r="Z156" s="20"/>
      <c r="AA156" s="20"/>
    </row>
    <row r="157">
      <c r="A157" s="10">
        <v>2.66926831E8</v>
      </c>
      <c r="B157" s="12" t="s">
        <v>149</v>
      </c>
      <c r="C157" s="12" t="s">
        <v>101</v>
      </c>
      <c r="D157" s="10" t="str">
        <f t="shared" si="1"/>
        <v>Not alert-worthy</v>
      </c>
      <c r="E157" s="20" t="b">
        <f t="shared" si="2"/>
        <v>1</v>
      </c>
      <c r="F157" s="12" t="s">
        <v>2168</v>
      </c>
      <c r="G157" s="10" t="s">
        <v>2168</v>
      </c>
      <c r="H157" s="10">
        <v>2976.0</v>
      </c>
      <c r="I157" s="10">
        <v>694.0</v>
      </c>
      <c r="J157" s="10">
        <v>102.0</v>
      </c>
      <c r="K157" s="10" t="s">
        <v>252</v>
      </c>
      <c r="L157" s="10" t="s">
        <v>253</v>
      </c>
      <c r="N157" s="23"/>
      <c r="O157" s="23"/>
      <c r="P157" s="23"/>
      <c r="Q157" s="23"/>
      <c r="R157" s="23"/>
      <c r="S157" s="23"/>
      <c r="T157" s="23"/>
      <c r="U157" s="23"/>
      <c r="V157" s="23"/>
      <c r="W157" s="23"/>
      <c r="X157" s="23"/>
      <c r="Y157" s="23"/>
      <c r="Z157" s="23"/>
      <c r="AA157" s="23"/>
    </row>
    <row r="158">
      <c r="A158" s="7">
        <v>2.72241067E8</v>
      </c>
      <c r="B158" s="8" t="s">
        <v>467</v>
      </c>
      <c r="C158" s="8" t="s">
        <v>78</v>
      </c>
      <c r="D158" s="7" t="str">
        <f t="shared" si="1"/>
        <v>Definitely alert-worthy</v>
      </c>
      <c r="E158" s="20" t="b">
        <f t="shared" si="2"/>
        <v>1</v>
      </c>
      <c r="F158" s="8" t="s">
        <v>2176</v>
      </c>
      <c r="G158" s="21" t="s">
        <v>2176</v>
      </c>
      <c r="H158" s="7">
        <v>7028.0</v>
      </c>
      <c r="I158" s="7">
        <v>638.0</v>
      </c>
      <c r="J158" s="7">
        <v>358.0</v>
      </c>
      <c r="K158" s="7" t="s">
        <v>252</v>
      </c>
      <c r="L158" s="7" t="s">
        <v>253</v>
      </c>
      <c r="N158" s="20"/>
      <c r="O158" s="20"/>
      <c r="P158" s="20"/>
      <c r="Q158" s="20"/>
      <c r="R158" s="20"/>
      <c r="S158" s="20"/>
      <c r="T158" s="20"/>
      <c r="U158" s="20"/>
      <c r="V158" s="20"/>
      <c r="W158" s="20"/>
      <c r="X158" s="20"/>
      <c r="Y158" s="20"/>
      <c r="Z158" s="20"/>
      <c r="AA158" s="20"/>
    </row>
    <row r="159">
      <c r="A159" s="7">
        <v>2.79141159E8</v>
      </c>
      <c r="B159" s="8" t="s">
        <v>188</v>
      </c>
      <c r="C159" s="8" t="s">
        <v>78</v>
      </c>
      <c r="D159" s="7" t="str">
        <f t="shared" si="1"/>
        <v>Definitely alert-worthy</v>
      </c>
      <c r="E159" s="20" t="b">
        <f t="shared" si="2"/>
        <v>1</v>
      </c>
      <c r="F159" s="8" t="s">
        <v>2186</v>
      </c>
      <c r="G159" s="7" t="s">
        <v>2186</v>
      </c>
      <c r="H159" s="7">
        <v>3495.0</v>
      </c>
      <c r="I159" s="7">
        <v>723.0</v>
      </c>
      <c r="J159" s="7">
        <v>155.0</v>
      </c>
      <c r="K159" s="7" t="s">
        <v>252</v>
      </c>
      <c r="L159" s="7" t="s">
        <v>253</v>
      </c>
      <c r="N159" s="20"/>
      <c r="O159" s="20"/>
      <c r="P159" s="20"/>
      <c r="Q159" s="20"/>
      <c r="R159" s="20"/>
      <c r="S159" s="20"/>
      <c r="T159" s="20"/>
      <c r="U159" s="20"/>
      <c r="V159" s="20"/>
      <c r="W159" s="20"/>
      <c r="X159" s="20"/>
      <c r="Y159" s="20"/>
      <c r="Z159" s="20"/>
      <c r="AA159" s="20"/>
    </row>
    <row r="160">
      <c r="A160" s="10">
        <v>2.83138233E8</v>
      </c>
      <c r="B160" s="12" t="s">
        <v>471</v>
      </c>
      <c r="C160" s="12" t="s">
        <v>101</v>
      </c>
      <c r="D160" s="10" t="str">
        <f t="shared" si="1"/>
        <v>Probably alert-worthy</v>
      </c>
      <c r="E160" s="20" t="b">
        <f t="shared" si="2"/>
        <v>0</v>
      </c>
      <c r="F160" s="12" t="s">
        <v>2197</v>
      </c>
      <c r="G160" s="22" t="s">
        <v>2197</v>
      </c>
      <c r="H160" s="10">
        <v>4161.0</v>
      </c>
      <c r="I160" s="10">
        <v>642.0</v>
      </c>
      <c r="J160" s="10">
        <v>227.0</v>
      </c>
      <c r="K160" s="10" t="s">
        <v>252</v>
      </c>
      <c r="L160" s="10" t="s">
        <v>253</v>
      </c>
      <c r="N160" s="23"/>
      <c r="O160" s="23"/>
      <c r="P160" s="23"/>
      <c r="Q160" s="23"/>
      <c r="R160" s="23"/>
      <c r="S160" s="23"/>
      <c r="T160" s="23"/>
      <c r="U160" s="23"/>
      <c r="V160" s="23"/>
      <c r="W160" s="23"/>
      <c r="X160" s="23"/>
      <c r="Y160" s="23"/>
      <c r="Z160" s="23"/>
      <c r="AA160" s="23"/>
    </row>
    <row r="161">
      <c r="A161" s="7">
        <v>2.95349984E8</v>
      </c>
      <c r="B161" s="8" t="s">
        <v>473</v>
      </c>
      <c r="C161" s="8" t="s">
        <v>78</v>
      </c>
      <c r="D161" s="7" t="str">
        <f t="shared" si="1"/>
        <v>Definitely alert-worthy</v>
      </c>
      <c r="E161" s="20" t="b">
        <f t="shared" si="2"/>
        <v>1</v>
      </c>
      <c r="F161" s="8" t="s">
        <v>2200</v>
      </c>
      <c r="G161" s="21" t="s">
        <v>2200</v>
      </c>
      <c r="H161" s="7">
        <v>3965.0</v>
      </c>
      <c r="I161" s="7">
        <v>743.0</v>
      </c>
      <c r="J161" s="7">
        <v>224.0</v>
      </c>
      <c r="K161" s="7" t="s">
        <v>252</v>
      </c>
      <c r="L161" s="7" t="s">
        <v>253</v>
      </c>
      <c r="N161" s="20"/>
      <c r="O161" s="20"/>
      <c r="P161" s="20"/>
      <c r="Q161" s="20"/>
      <c r="R161" s="20"/>
      <c r="S161" s="20"/>
      <c r="T161" s="20"/>
      <c r="U161" s="20"/>
      <c r="V161" s="20"/>
      <c r="W161" s="20"/>
      <c r="X161" s="20"/>
      <c r="Y161" s="20"/>
      <c r="Z161" s="20"/>
      <c r="AA161" s="20"/>
    </row>
    <row r="162">
      <c r="A162" s="7">
        <v>3.01729949E8</v>
      </c>
      <c r="B162" s="8" t="s">
        <v>296</v>
      </c>
      <c r="C162" s="8" t="s">
        <v>101</v>
      </c>
      <c r="D162" s="7" t="str">
        <f t="shared" si="1"/>
        <v>Not alert-worthy</v>
      </c>
      <c r="E162" s="20" t="b">
        <f t="shared" si="2"/>
        <v>1</v>
      </c>
      <c r="F162" s="8" t="s">
        <v>2205</v>
      </c>
      <c r="G162" s="7" t="s">
        <v>2205</v>
      </c>
      <c r="H162" s="7">
        <v>3718.0</v>
      </c>
      <c r="I162" s="7">
        <v>615.0</v>
      </c>
      <c r="J162" s="7">
        <v>138.0</v>
      </c>
      <c r="K162" s="7" t="s">
        <v>252</v>
      </c>
      <c r="L162" s="7" t="s">
        <v>253</v>
      </c>
      <c r="N162" s="20"/>
      <c r="O162" s="20"/>
      <c r="P162" s="20"/>
      <c r="Q162" s="20"/>
      <c r="R162" s="20"/>
      <c r="S162" s="20"/>
      <c r="T162" s="20"/>
      <c r="U162" s="20"/>
      <c r="V162" s="20"/>
      <c r="W162" s="20"/>
      <c r="X162" s="20"/>
      <c r="Y162" s="20"/>
      <c r="Z162" s="20"/>
      <c r="AA162" s="20"/>
    </row>
    <row r="163">
      <c r="A163" s="7">
        <v>3.03920964E8</v>
      </c>
      <c r="B163" s="8" t="s">
        <v>479</v>
      </c>
      <c r="C163" s="8" t="s">
        <v>78</v>
      </c>
      <c r="D163" s="7" t="str">
        <f t="shared" si="1"/>
        <v>Definitely alert-worthy</v>
      </c>
      <c r="E163" s="20" t="b">
        <f t="shared" si="2"/>
        <v>1</v>
      </c>
      <c r="F163" s="8" t="s">
        <v>2213</v>
      </c>
      <c r="G163" s="7" t="s">
        <v>2213</v>
      </c>
      <c r="H163" s="7">
        <v>4169.0</v>
      </c>
      <c r="I163" s="7">
        <v>908.0</v>
      </c>
      <c r="J163" s="7">
        <v>227.0</v>
      </c>
      <c r="K163" s="7" t="s">
        <v>252</v>
      </c>
      <c r="L163" s="7" t="s">
        <v>253</v>
      </c>
      <c r="N163" s="20"/>
      <c r="O163" s="20"/>
      <c r="P163" s="20"/>
      <c r="Q163" s="20"/>
      <c r="R163" s="20"/>
      <c r="S163" s="20"/>
      <c r="T163" s="20"/>
      <c r="U163" s="20"/>
      <c r="V163" s="20"/>
      <c r="W163" s="20"/>
      <c r="X163" s="20"/>
      <c r="Y163" s="20"/>
      <c r="Z163" s="20"/>
      <c r="AA163" s="20"/>
    </row>
    <row r="164">
      <c r="A164" s="7">
        <v>3.12423855E8</v>
      </c>
      <c r="B164" s="8" t="s">
        <v>482</v>
      </c>
      <c r="C164" s="8" t="s">
        <v>78</v>
      </c>
      <c r="D164" s="7" t="str">
        <f t="shared" si="1"/>
        <v>Definitely alert-worthy</v>
      </c>
      <c r="E164" s="20" t="b">
        <f t="shared" si="2"/>
        <v>1</v>
      </c>
      <c r="F164" s="8" t="s">
        <v>2226</v>
      </c>
      <c r="G164" s="7" t="s">
        <v>2226</v>
      </c>
      <c r="H164" s="7">
        <v>3283.0</v>
      </c>
      <c r="I164" s="7">
        <v>815.0</v>
      </c>
      <c r="J164" s="7">
        <v>140.0</v>
      </c>
      <c r="K164" s="7" t="s">
        <v>252</v>
      </c>
      <c r="L164" s="7" t="s">
        <v>253</v>
      </c>
      <c r="N164" s="20"/>
      <c r="O164" s="20"/>
      <c r="P164" s="20"/>
      <c r="Q164" s="20"/>
      <c r="R164" s="20"/>
      <c r="S164" s="20"/>
      <c r="T164" s="20"/>
      <c r="U164" s="20"/>
      <c r="V164" s="20"/>
      <c r="W164" s="20"/>
      <c r="X164" s="20"/>
      <c r="Y164" s="20"/>
      <c r="Z164" s="20"/>
      <c r="AA164" s="20"/>
    </row>
    <row r="165">
      <c r="A165" s="7">
        <v>3.18752916E8</v>
      </c>
      <c r="B165" s="8" t="s">
        <v>485</v>
      </c>
      <c r="C165" s="8" t="s">
        <v>78</v>
      </c>
      <c r="D165" s="7" t="str">
        <f t="shared" si="1"/>
        <v>Definitely alert-worthy</v>
      </c>
      <c r="E165" s="20" t="b">
        <f t="shared" si="2"/>
        <v>1</v>
      </c>
      <c r="F165" s="8" t="s">
        <v>2235</v>
      </c>
      <c r="G165" s="21" t="s">
        <v>2235</v>
      </c>
      <c r="H165" s="7">
        <v>3536.0</v>
      </c>
      <c r="I165" s="7">
        <v>691.0</v>
      </c>
      <c r="J165" s="7">
        <v>215.0</v>
      </c>
      <c r="K165" s="7" t="s">
        <v>252</v>
      </c>
      <c r="L165" s="7" t="s">
        <v>253</v>
      </c>
      <c r="N165" s="20"/>
      <c r="O165" s="20"/>
      <c r="P165" s="20"/>
      <c r="Q165" s="20"/>
      <c r="R165" s="20"/>
      <c r="S165" s="20"/>
      <c r="T165" s="20"/>
      <c r="U165" s="20"/>
      <c r="V165" s="20"/>
      <c r="W165" s="20"/>
      <c r="X165" s="20"/>
      <c r="Y165" s="20"/>
      <c r="Z165" s="20"/>
      <c r="AA165" s="20"/>
    </row>
    <row r="166">
      <c r="A166" s="7">
        <v>3.18994237E8</v>
      </c>
      <c r="B166" s="8" t="s">
        <v>487</v>
      </c>
      <c r="C166" s="8" t="s">
        <v>78</v>
      </c>
      <c r="D166" s="7" t="str">
        <f t="shared" si="1"/>
        <v>Definitely alert-worthy</v>
      </c>
      <c r="E166" s="20" t="b">
        <f t="shared" si="2"/>
        <v>1</v>
      </c>
      <c r="F166" s="8" t="s">
        <v>2244</v>
      </c>
      <c r="G166" s="21" t="s">
        <v>2244</v>
      </c>
      <c r="H166" s="7">
        <v>5375.0</v>
      </c>
      <c r="I166" s="7">
        <v>636.0</v>
      </c>
      <c r="J166" s="7">
        <v>325.0</v>
      </c>
      <c r="K166" s="7" t="s">
        <v>252</v>
      </c>
      <c r="L166" s="7" t="s">
        <v>253</v>
      </c>
      <c r="N166" s="20"/>
      <c r="O166" s="20"/>
      <c r="P166" s="20"/>
      <c r="Q166" s="20"/>
      <c r="R166" s="20"/>
      <c r="S166" s="20"/>
      <c r="T166" s="20"/>
      <c r="U166" s="20"/>
      <c r="V166" s="20"/>
      <c r="W166" s="20"/>
      <c r="X166" s="20"/>
      <c r="Y166" s="20"/>
      <c r="Z166" s="20"/>
      <c r="AA166" s="20"/>
    </row>
    <row r="167">
      <c r="A167" s="7">
        <v>3.24505112E8</v>
      </c>
      <c r="B167" s="8" t="s">
        <v>490</v>
      </c>
      <c r="C167" s="8" t="s">
        <v>78</v>
      </c>
      <c r="D167" s="7" t="str">
        <f t="shared" si="1"/>
        <v>Definitely alert-worthy</v>
      </c>
      <c r="E167" s="20" t="b">
        <f t="shared" si="2"/>
        <v>1</v>
      </c>
      <c r="F167" s="8" t="s">
        <v>2251</v>
      </c>
      <c r="G167" s="7" t="s">
        <v>2251</v>
      </c>
      <c r="H167" s="7">
        <v>3144.0</v>
      </c>
      <c r="I167" s="7">
        <v>705.0</v>
      </c>
      <c r="J167" s="7">
        <v>141.0</v>
      </c>
      <c r="K167" s="7" t="s">
        <v>252</v>
      </c>
      <c r="L167" s="7" t="s">
        <v>253</v>
      </c>
      <c r="N167" s="20"/>
      <c r="O167" s="20"/>
      <c r="P167" s="20"/>
      <c r="Q167" s="20"/>
      <c r="R167" s="20"/>
      <c r="S167" s="20"/>
      <c r="T167" s="20"/>
      <c r="U167" s="20"/>
      <c r="V167" s="20"/>
      <c r="W167" s="20"/>
      <c r="X167" s="20"/>
      <c r="Y167" s="20"/>
      <c r="Z167" s="20"/>
      <c r="AA167" s="20"/>
    </row>
    <row r="168">
      <c r="A168" s="7">
        <v>3.3386179E8</v>
      </c>
      <c r="B168" s="8" t="s">
        <v>494</v>
      </c>
      <c r="C168" s="8" t="s">
        <v>78</v>
      </c>
      <c r="D168" s="7" t="str">
        <f t="shared" si="1"/>
        <v>Definitely alert-worthy</v>
      </c>
      <c r="E168" s="20" t="b">
        <f t="shared" si="2"/>
        <v>1</v>
      </c>
      <c r="F168" s="8" t="s">
        <v>2259</v>
      </c>
      <c r="G168" s="7" t="s">
        <v>2259</v>
      </c>
      <c r="H168" s="7">
        <v>3107.0</v>
      </c>
      <c r="I168" s="7">
        <v>713.0</v>
      </c>
      <c r="J168" s="7">
        <v>143.0</v>
      </c>
      <c r="K168" s="7" t="s">
        <v>252</v>
      </c>
      <c r="L168" s="7" t="s">
        <v>253</v>
      </c>
      <c r="N168" s="20"/>
      <c r="O168" s="20"/>
      <c r="P168" s="20"/>
      <c r="Q168" s="20"/>
      <c r="R168" s="20"/>
      <c r="S168" s="20"/>
      <c r="T168" s="20"/>
      <c r="U168" s="20"/>
      <c r="V168" s="20"/>
      <c r="W168" s="20"/>
      <c r="X168" s="20"/>
      <c r="Y168" s="20"/>
      <c r="Z168" s="20"/>
      <c r="AA168" s="20"/>
    </row>
    <row r="169">
      <c r="A169" s="7">
        <v>3.35204856E8</v>
      </c>
      <c r="B169" s="8" t="s">
        <v>498</v>
      </c>
      <c r="C169" s="8" t="s">
        <v>78</v>
      </c>
      <c r="D169" s="7" t="str">
        <f t="shared" si="1"/>
        <v>Definitely alert-worthy</v>
      </c>
      <c r="E169" s="20" t="b">
        <f t="shared" si="2"/>
        <v>1</v>
      </c>
      <c r="F169" s="8" t="s">
        <v>2270</v>
      </c>
      <c r="G169" s="7" t="s">
        <v>2270</v>
      </c>
      <c r="H169" s="7">
        <v>2769.0</v>
      </c>
      <c r="I169" s="7">
        <v>736.0</v>
      </c>
      <c r="J169" s="7">
        <v>127.0</v>
      </c>
      <c r="K169" s="7" t="s">
        <v>252</v>
      </c>
      <c r="L169" s="7" t="s">
        <v>253</v>
      </c>
      <c r="N169" s="20"/>
      <c r="O169" s="20"/>
      <c r="P169" s="20"/>
      <c r="Q169" s="20"/>
      <c r="R169" s="20"/>
      <c r="S169" s="20"/>
      <c r="T169" s="20"/>
      <c r="U169" s="20"/>
      <c r="V169" s="20"/>
      <c r="W169" s="20"/>
      <c r="X169" s="20"/>
      <c r="Y169" s="20"/>
      <c r="Z169" s="20"/>
      <c r="AA169" s="20"/>
    </row>
    <row r="170">
      <c r="A170" s="7">
        <v>3.43672848E8</v>
      </c>
      <c r="B170" s="8" t="s">
        <v>247</v>
      </c>
      <c r="C170" s="8" t="s">
        <v>101</v>
      </c>
      <c r="D170" s="7" t="str">
        <f t="shared" si="1"/>
        <v>Not alert-worthy</v>
      </c>
      <c r="E170" s="20" t="b">
        <f t="shared" si="2"/>
        <v>1</v>
      </c>
      <c r="F170" s="8" t="s">
        <v>2280</v>
      </c>
      <c r="G170" s="21" t="s">
        <v>2280</v>
      </c>
      <c r="H170" s="7">
        <v>4380.0</v>
      </c>
      <c r="I170" s="7">
        <v>646.0</v>
      </c>
      <c r="J170" s="7">
        <v>247.0</v>
      </c>
      <c r="K170" s="7" t="s">
        <v>252</v>
      </c>
      <c r="L170" s="7" t="s">
        <v>253</v>
      </c>
      <c r="N170" s="20"/>
      <c r="O170" s="20"/>
      <c r="P170" s="20"/>
      <c r="Q170" s="20"/>
      <c r="R170" s="20"/>
      <c r="S170" s="20"/>
      <c r="T170" s="20"/>
      <c r="U170" s="20"/>
      <c r="V170" s="20"/>
      <c r="W170" s="20"/>
      <c r="X170" s="20"/>
      <c r="Y170" s="20"/>
      <c r="Z170" s="20"/>
      <c r="AA170" s="20"/>
    </row>
    <row r="171">
      <c r="A171" s="7">
        <v>3.48680849E8</v>
      </c>
      <c r="B171" s="8" t="s">
        <v>503</v>
      </c>
      <c r="C171" s="8" t="s">
        <v>78</v>
      </c>
      <c r="D171" s="7" t="str">
        <f t="shared" si="1"/>
        <v>Definitely alert-worthy</v>
      </c>
      <c r="E171" s="20" t="b">
        <f t="shared" si="2"/>
        <v>1</v>
      </c>
      <c r="F171" s="8" t="s">
        <v>2294</v>
      </c>
      <c r="G171" s="21" t="s">
        <v>2294</v>
      </c>
      <c r="H171" s="7">
        <v>5540.0</v>
      </c>
      <c r="I171" s="7">
        <v>644.0</v>
      </c>
      <c r="J171" s="7">
        <v>339.0</v>
      </c>
      <c r="K171" s="7" t="s">
        <v>252</v>
      </c>
      <c r="L171" s="7" t="s">
        <v>253</v>
      </c>
      <c r="N171" s="20"/>
      <c r="O171" s="20"/>
      <c r="P171" s="20"/>
      <c r="Q171" s="20"/>
      <c r="R171" s="20"/>
      <c r="S171" s="20"/>
      <c r="T171" s="20"/>
      <c r="U171" s="20"/>
      <c r="V171" s="20"/>
      <c r="W171" s="20"/>
      <c r="X171" s="20"/>
      <c r="Y171" s="20"/>
      <c r="Z171" s="20"/>
      <c r="AA171" s="20"/>
    </row>
    <row r="172">
      <c r="A172" s="7">
        <v>3.5043307E8</v>
      </c>
      <c r="B172" s="8" t="s">
        <v>505</v>
      </c>
      <c r="C172" s="8" t="s">
        <v>78</v>
      </c>
      <c r="D172" s="7" t="str">
        <f t="shared" si="1"/>
        <v>Definitely alert-worthy</v>
      </c>
      <c r="E172" s="20" t="b">
        <f t="shared" si="2"/>
        <v>1</v>
      </c>
      <c r="F172" s="8" t="s">
        <v>2306</v>
      </c>
      <c r="G172" s="21" t="s">
        <v>2306</v>
      </c>
      <c r="H172" s="7">
        <v>7660.0</v>
      </c>
      <c r="I172" s="7">
        <v>584.0</v>
      </c>
      <c r="J172" s="7">
        <v>592.0</v>
      </c>
      <c r="K172" s="7" t="s">
        <v>252</v>
      </c>
      <c r="L172" s="7" t="s">
        <v>253</v>
      </c>
      <c r="N172" s="20"/>
      <c r="O172" s="20"/>
      <c r="P172" s="20"/>
      <c r="Q172" s="20"/>
      <c r="R172" s="20"/>
      <c r="S172" s="20"/>
      <c r="T172" s="20"/>
      <c r="U172" s="20"/>
      <c r="V172" s="20"/>
      <c r="W172" s="20"/>
      <c r="X172" s="20"/>
      <c r="Y172" s="20"/>
      <c r="Z172" s="20"/>
      <c r="AA172" s="20"/>
    </row>
    <row r="173">
      <c r="A173" s="7">
        <v>3.60434936E8</v>
      </c>
      <c r="B173" s="8" t="s">
        <v>508</v>
      </c>
      <c r="C173" s="8" t="s">
        <v>78</v>
      </c>
      <c r="D173" s="7" t="str">
        <f t="shared" si="1"/>
        <v>Definitely alert-worthy</v>
      </c>
      <c r="E173" s="20" t="b">
        <f t="shared" si="2"/>
        <v>1</v>
      </c>
      <c r="F173" s="8" t="s">
        <v>2317</v>
      </c>
      <c r="G173" s="7" t="s">
        <v>2317</v>
      </c>
      <c r="H173" s="7">
        <v>3709.0</v>
      </c>
      <c r="I173" s="7">
        <v>642.0</v>
      </c>
      <c r="J173" s="7">
        <v>175.0</v>
      </c>
      <c r="K173" s="7" t="s">
        <v>252</v>
      </c>
      <c r="L173" s="7" t="s">
        <v>253</v>
      </c>
      <c r="N173" s="20"/>
      <c r="O173" s="20"/>
      <c r="P173" s="20"/>
      <c r="Q173" s="20"/>
      <c r="R173" s="20"/>
      <c r="S173" s="20"/>
      <c r="T173" s="20"/>
      <c r="U173" s="20"/>
      <c r="V173" s="20"/>
      <c r="W173" s="20"/>
      <c r="X173" s="20"/>
      <c r="Y173" s="20"/>
      <c r="Z173" s="20"/>
      <c r="AA173" s="20"/>
    </row>
    <row r="174">
      <c r="A174" s="7">
        <v>3.70148448E8</v>
      </c>
      <c r="B174" s="8" t="s">
        <v>157</v>
      </c>
      <c r="C174" s="8" t="s">
        <v>78</v>
      </c>
      <c r="D174" s="7" t="str">
        <f t="shared" si="1"/>
        <v>Not alert-worthy</v>
      </c>
      <c r="E174" s="20" t="b">
        <f t="shared" si="2"/>
        <v>0</v>
      </c>
      <c r="F174" s="8" t="s">
        <v>2326</v>
      </c>
      <c r="G174" s="21" t="s">
        <v>2326</v>
      </c>
      <c r="H174" s="7">
        <v>7042.0</v>
      </c>
      <c r="I174" s="7">
        <v>693.0</v>
      </c>
      <c r="J174" s="7">
        <v>261.0</v>
      </c>
      <c r="K174" s="7" t="s">
        <v>252</v>
      </c>
      <c r="L174" s="7" t="s">
        <v>253</v>
      </c>
      <c r="N174" s="20"/>
      <c r="O174" s="20"/>
      <c r="P174" s="20"/>
      <c r="Q174" s="20"/>
      <c r="R174" s="20"/>
      <c r="S174" s="20"/>
      <c r="T174" s="20"/>
      <c r="U174" s="20"/>
      <c r="V174" s="20"/>
      <c r="W174" s="20"/>
      <c r="X174" s="20"/>
      <c r="Y174" s="20"/>
      <c r="Z174" s="20"/>
      <c r="AA174" s="20"/>
    </row>
    <row r="175">
      <c r="A175" s="7">
        <v>3.70148448E8</v>
      </c>
      <c r="B175" s="8" t="s">
        <v>157</v>
      </c>
      <c r="C175" s="8" t="s">
        <v>78</v>
      </c>
      <c r="D175" s="7" t="str">
        <f t="shared" si="1"/>
        <v>Definitely alert-worthy</v>
      </c>
      <c r="E175" s="20" t="b">
        <f t="shared" si="2"/>
        <v>1</v>
      </c>
      <c r="F175" s="8" t="s">
        <v>2335</v>
      </c>
      <c r="G175" s="7" t="s">
        <v>2335</v>
      </c>
      <c r="H175" s="7">
        <v>2621.0</v>
      </c>
      <c r="I175" s="7">
        <v>693.0</v>
      </c>
      <c r="J175" s="7">
        <v>103.0</v>
      </c>
      <c r="K175" s="7" t="s">
        <v>252</v>
      </c>
      <c r="L175" s="7" t="s">
        <v>253</v>
      </c>
      <c r="N175" s="20"/>
      <c r="O175" s="20"/>
      <c r="P175" s="20"/>
      <c r="Q175" s="20"/>
      <c r="R175" s="20"/>
      <c r="S175" s="20"/>
      <c r="T175" s="20"/>
      <c r="U175" s="20"/>
      <c r="V175" s="20"/>
      <c r="W175" s="20"/>
      <c r="X175" s="20"/>
      <c r="Y175" s="20"/>
      <c r="Z175" s="20"/>
      <c r="AA175" s="20"/>
    </row>
    <row r="176">
      <c r="A176" s="10">
        <v>3.71007716E8</v>
      </c>
      <c r="B176" s="12" t="s">
        <v>514</v>
      </c>
      <c r="C176" s="12" t="s">
        <v>101</v>
      </c>
      <c r="D176" s="10" t="str">
        <f t="shared" si="1"/>
        <v>Probably alert-worthy</v>
      </c>
      <c r="E176" s="20" t="b">
        <f t="shared" si="2"/>
        <v>0</v>
      </c>
      <c r="F176" s="12" t="s">
        <v>2343</v>
      </c>
      <c r="G176" s="22" t="s">
        <v>2343</v>
      </c>
      <c r="H176" s="10">
        <v>7840.0</v>
      </c>
      <c r="I176" s="10">
        <v>590.0</v>
      </c>
      <c r="J176" s="10">
        <v>595.0</v>
      </c>
      <c r="K176" s="10" t="s">
        <v>252</v>
      </c>
      <c r="L176" s="10" t="s">
        <v>253</v>
      </c>
      <c r="N176" s="23"/>
      <c r="O176" s="23"/>
      <c r="P176" s="23"/>
      <c r="Q176" s="23"/>
      <c r="R176" s="23"/>
      <c r="S176" s="23"/>
      <c r="T176" s="23"/>
      <c r="U176" s="23"/>
      <c r="V176" s="23"/>
      <c r="W176" s="23"/>
      <c r="X176" s="23"/>
      <c r="Y176" s="23"/>
      <c r="Z176" s="23"/>
      <c r="AA176" s="23"/>
    </row>
    <row r="177">
      <c r="A177" s="7">
        <v>3.91599279E8</v>
      </c>
      <c r="B177" s="8" t="s">
        <v>119</v>
      </c>
      <c r="C177" s="8" t="s">
        <v>78</v>
      </c>
      <c r="D177" s="7" t="str">
        <f t="shared" si="1"/>
        <v>Not alert-worthy</v>
      </c>
      <c r="E177" s="20" t="b">
        <f t="shared" si="2"/>
        <v>0</v>
      </c>
      <c r="F177" s="8" t="s">
        <v>2355</v>
      </c>
      <c r="G177" s="7" t="s">
        <v>2355</v>
      </c>
      <c r="H177" s="7">
        <v>2989.0</v>
      </c>
      <c r="I177" s="7">
        <v>818.0</v>
      </c>
      <c r="J177" s="7">
        <v>115.0</v>
      </c>
      <c r="K177" s="7" t="s">
        <v>252</v>
      </c>
      <c r="L177" s="7" t="s">
        <v>253</v>
      </c>
      <c r="N177" s="20"/>
      <c r="O177" s="20"/>
      <c r="P177" s="20"/>
      <c r="Q177" s="20"/>
      <c r="R177" s="20"/>
      <c r="S177" s="20"/>
      <c r="T177" s="20"/>
      <c r="U177" s="20"/>
      <c r="V177" s="20"/>
      <c r="W177" s="20"/>
      <c r="X177" s="20"/>
      <c r="Y177" s="20"/>
      <c r="Z177" s="20"/>
      <c r="AA177" s="20"/>
    </row>
    <row r="178">
      <c r="A178" s="10">
        <v>3.91759252E8</v>
      </c>
      <c r="B178" s="12" t="s">
        <v>520</v>
      </c>
      <c r="C178" s="12" t="s">
        <v>101</v>
      </c>
      <c r="D178" s="10" t="str">
        <f t="shared" si="1"/>
        <v>Definitely alert-worthy</v>
      </c>
      <c r="E178" s="20" t="b">
        <f t="shared" si="2"/>
        <v>0</v>
      </c>
      <c r="F178" s="12" t="s">
        <v>2389</v>
      </c>
      <c r="G178" s="22" t="s">
        <v>2389</v>
      </c>
      <c r="H178" s="10">
        <v>6107.0</v>
      </c>
      <c r="I178" s="10">
        <v>702.0</v>
      </c>
      <c r="J178" s="10">
        <v>401.0</v>
      </c>
      <c r="K178" s="10" t="s">
        <v>252</v>
      </c>
      <c r="L178" s="10" t="s">
        <v>253</v>
      </c>
      <c r="N178" s="23"/>
      <c r="O178" s="23"/>
      <c r="P178" s="23"/>
      <c r="Q178" s="23"/>
      <c r="R178" s="23"/>
      <c r="S178" s="23"/>
      <c r="T178" s="23"/>
      <c r="U178" s="23"/>
      <c r="V178" s="23"/>
      <c r="W178" s="23"/>
      <c r="X178" s="23"/>
      <c r="Y178" s="23"/>
      <c r="Z178" s="23"/>
      <c r="AA178" s="23"/>
    </row>
    <row r="179">
      <c r="A179" s="7">
        <v>3.98364727E8</v>
      </c>
      <c r="B179" s="8" t="s">
        <v>523</v>
      </c>
      <c r="C179" s="8" t="s">
        <v>78</v>
      </c>
      <c r="D179" s="7" t="str">
        <f t="shared" si="1"/>
        <v>Definitely alert-worthy</v>
      </c>
      <c r="E179" s="20" t="b">
        <f t="shared" si="2"/>
        <v>1</v>
      </c>
      <c r="F179" s="8" t="s">
        <v>2409</v>
      </c>
      <c r="G179" s="21" t="s">
        <v>2409</v>
      </c>
      <c r="H179" s="7">
        <v>5170.0</v>
      </c>
      <c r="I179" s="7">
        <v>649.0</v>
      </c>
      <c r="J179" s="7">
        <v>361.0</v>
      </c>
      <c r="K179" s="7" t="s">
        <v>252</v>
      </c>
      <c r="L179" s="7" t="s">
        <v>253</v>
      </c>
      <c r="N179" s="20"/>
      <c r="O179" s="20"/>
      <c r="P179" s="20"/>
      <c r="Q179" s="20"/>
      <c r="R179" s="20"/>
      <c r="S179" s="20"/>
      <c r="T179" s="20"/>
      <c r="U179" s="20"/>
      <c r="V179" s="20"/>
      <c r="W179" s="20"/>
      <c r="X179" s="20"/>
      <c r="Y179" s="20"/>
      <c r="Z179" s="20"/>
      <c r="AA179" s="20"/>
    </row>
    <row r="180">
      <c r="A180" s="7">
        <v>4.22922528E8</v>
      </c>
      <c r="B180" s="8" t="s">
        <v>526</v>
      </c>
      <c r="C180" s="8" t="s">
        <v>101</v>
      </c>
      <c r="D180" s="7" t="str">
        <f t="shared" si="1"/>
        <v>Not alert-worthy</v>
      </c>
      <c r="E180" s="20" t="b">
        <f t="shared" si="2"/>
        <v>1</v>
      </c>
      <c r="F180" s="8" t="s">
        <v>2416</v>
      </c>
      <c r="G180" s="7" t="s">
        <v>2416</v>
      </c>
      <c r="H180" s="7">
        <v>3121.0</v>
      </c>
      <c r="I180" s="7">
        <v>642.0</v>
      </c>
      <c r="J180" s="7">
        <v>89.0</v>
      </c>
      <c r="K180" s="7" t="s">
        <v>252</v>
      </c>
      <c r="L180" s="7" t="s">
        <v>253</v>
      </c>
      <c r="N180" s="20"/>
      <c r="O180" s="20"/>
      <c r="P180" s="20"/>
      <c r="Q180" s="20"/>
      <c r="R180" s="20"/>
      <c r="S180" s="20"/>
      <c r="T180" s="20"/>
      <c r="U180" s="20"/>
      <c r="V180" s="20"/>
      <c r="W180" s="20"/>
      <c r="X180" s="20"/>
      <c r="Y180" s="20"/>
      <c r="Z180" s="20"/>
      <c r="AA180" s="20"/>
    </row>
    <row r="181">
      <c r="A181" s="10">
        <v>4.25421363E8</v>
      </c>
      <c r="B181" s="12" t="s">
        <v>528</v>
      </c>
      <c r="C181" s="12" t="s">
        <v>161</v>
      </c>
      <c r="D181" s="10" t="str">
        <f t="shared" si="1"/>
        <v>Definitely alert-worthy</v>
      </c>
      <c r="E181" s="20" t="b">
        <f t="shared" si="2"/>
        <v>0</v>
      </c>
      <c r="F181" s="12" t="s">
        <v>2424</v>
      </c>
      <c r="G181" s="22" t="s">
        <v>2424</v>
      </c>
      <c r="H181" s="10">
        <v>4821.0</v>
      </c>
      <c r="I181" s="10">
        <v>590.0</v>
      </c>
      <c r="J181" s="10">
        <v>302.0</v>
      </c>
      <c r="K181" s="10" t="s">
        <v>252</v>
      </c>
      <c r="L181" s="10" t="s">
        <v>253</v>
      </c>
      <c r="N181" s="23"/>
      <c r="O181" s="23"/>
      <c r="P181" s="23"/>
      <c r="Q181" s="23"/>
      <c r="R181" s="23"/>
      <c r="S181" s="23"/>
      <c r="T181" s="23"/>
      <c r="U181" s="23"/>
      <c r="V181" s="23"/>
      <c r="W181" s="23"/>
      <c r="X181" s="23"/>
      <c r="Y181" s="23"/>
      <c r="Z181" s="23"/>
      <c r="AA181" s="23"/>
    </row>
    <row r="182">
      <c r="A182" s="10">
        <v>4.34795606E8</v>
      </c>
      <c r="B182" s="12" t="s">
        <v>211</v>
      </c>
      <c r="C182" s="12" t="s">
        <v>78</v>
      </c>
      <c r="D182" s="10" t="str">
        <f t="shared" si="1"/>
        <v>Not alert-worthy</v>
      </c>
      <c r="E182" s="20" t="b">
        <f t="shared" si="2"/>
        <v>0</v>
      </c>
      <c r="F182" s="12" t="s">
        <v>2438</v>
      </c>
      <c r="G182" s="10" t="s">
        <v>2438</v>
      </c>
      <c r="H182" s="10">
        <v>3328.0</v>
      </c>
      <c r="I182" s="10">
        <v>748.0</v>
      </c>
      <c r="J182" s="10">
        <v>113.0</v>
      </c>
      <c r="K182" s="10" t="s">
        <v>252</v>
      </c>
      <c r="L182" s="10" t="s">
        <v>253</v>
      </c>
      <c r="N182" s="23"/>
      <c r="O182" s="23"/>
      <c r="P182" s="23"/>
      <c r="Q182" s="23"/>
      <c r="R182" s="23"/>
      <c r="S182" s="23"/>
      <c r="T182" s="23"/>
      <c r="U182" s="23"/>
      <c r="V182" s="23"/>
      <c r="W182" s="23"/>
      <c r="X182" s="23"/>
      <c r="Y182" s="23"/>
      <c r="Z182" s="23"/>
      <c r="AA182" s="23"/>
    </row>
    <row r="183">
      <c r="A183" s="7">
        <v>4.36926807E8</v>
      </c>
      <c r="B183" s="8" t="s">
        <v>489</v>
      </c>
      <c r="C183" s="8" t="s">
        <v>78</v>
      </c>
      <c r="D183" s="7" t="str">
        <f t="shared" si="1"/>
        <v>Definitely alert-worthy</v>
      </c>
      <c r="E183" s="20" t="b">
        <f t="shared" si="2"/>
        <v>1</v>
      </c>
      <c r="F183" s="8" t="s">
        <v>2449</v>
      </c>
      <c r="G183" s="21" t="s">
        <v>2449</v>
      </c>
      <c r="H183" s="7">
        <v>4698.0</v>
      </c>
      <c r="I183" s="7">
        <v>594.0</v>
      </c>
      <c r="J183" s="7">
        <v>272.0</v>
      </c>
      <c r="K183" s="7" t="s">
        <v>252</v>
      </c>
      <c r="L183" s="7" t="s">
        <v>253</v>
      </c>
      <c r="N183" s="20"/>
      <c r="O183" s="20"/>
      <c r="P183" s="20"/>
      <c r="Q183" s="20"/>
      <c r="R183" s="20"/>
      <c r="S183" s="20"/>
      <c r="T183" s="20"/>
      <c r="U183" s="20"/>
      <c r="V183" s="20"/>
      <c r="W183" s="20"/>
      <c r="X183" s="20"/>
      <c r="Y183" s="20"/>
      <c r="Z183" s="20"/>
      <c r="AA183" s="20"/>
    </row>
    <row r="184">
      <c r="A184" s="7">
        <v>4.44069068E8</v>
      </c>
      <c r="B184" s="8" t="s">
        <v>539</v>
      </c>
      <c r="C184" s="8" t="s">
        <v>78</v>
      </c>
      <c r="D184" s="7" t="str">
        <f t="shared" si="1"/>
        <v>Definitely alert-worthy</v>
      </c>
      <c r="E184" s="20" t="b">
        <f t="shared" si="2"/>
        <v>1</v>
      </c>
      <c r="F184" s="8" t="s">
        <v>2465</v>
      </c>
      <c r="G184" s="7" t="s">
        <v>2465</v>
      </c>
      <c r="H184" s="7">
        <v>5795.0</v>
      </c>
      <c r="I184" s="7">
        <v>1193.0</v>
      </c>
      <c r="J184" s="7">
        <v>221.0</v>
      </c>
      <c r="K184" s="7" t="s">
        <v>252</v>
      </c>
      <c r="L184" s="7" t="s">
        <v>253</v>
      </c>
      <c r="N184" s="20"/>
      <c r="O184" s="20"/>
      <c r="P184" s="20"/>
      <c r="Q184" s="20"/>
      <c r="R184" s="20"/>
      <c r="S184" s="20"/>
      <c r="T184" s="20"/>
      <c r="U184" s="20"/>
      <c r="V184" s="20"/>
      <c r="W184" s="20"/>
      <c r="X184" s="20"/>
      <c r="Y184" s="20"/>
      <c r="Z184" s="20"/>
      <c r="AA184" s="20"/>
    </row>
    <row r="185">
      <c r="A185" s="7">
        <v>4.55398434E8</v>
      </c>
      <c r="B185" s="8" t="s">
        <v>542</v>
      </c>
      <c r="C185" s="8" t="s">
        <v>78</v>
      </c>
      <c r="D185" s="7" t="str">
        <f t="shared" si="1"/>
        <v>Probably alert-worthy</v>
      </c>
      <c r="E185" s="20" t="b">
        <f t="shared" si="2"/>
        <v>0</v>
      </c>
      <c r="F185" s="8" t="s">
        <v>2473</v>
      </c>
      <c r="G185" s="7" t="s">
        <v>2473</v>
      </c>
      <c r="H185" s="7">
        <v>6135.0</v>
      </c>
      <c r="I185" s="7">
        <v>575.0</v>
      </c>
      <c r="J185" s="7">
        <v>315.0</v>
      </c>
      <c r="K185" s="7" t="s">
        <v>252</v>
      </c>
      <c r="L185" s="7" t="s">
        <v>253</v>
      </c>
      <c r="N185" s="20"/>
      <c r="O185" s="20"/>
      <c r="P185" s="20"/>
      <c r="Q185" s="20"/>
      <c r="R185" s="20"/>
      <c r="S185" s="20"/>
      <c r="T185" s="20"/>
      <c r="U185" s="20"/>
      <c r="V185" s="20"/>
      <c r="W185" s="20"/>
      <c r="X185" s="20"/>
      <c r="Y185" s="20"/>
      <c r="Z185" s="20"/>
      <c r="AA185" s="20"/>
    </row>
    <row r="186">
      <c r="A186" s="10">
        <v>4.89775138E8</v>
      </c>
      <c r="B186" s="12" t="s">
        <v>545</v>
      </c>
      <c r="C186" s="12" t="s">
        <v>161</v>
      </c>
      <c r="D186" s="10" t="str">
        <f t="shared" si="1"/>
        <v>Definitely alert-worthy</v>
      </c>
      <c r="E186" s="20" t="b">
        <f t="shared" si="2"/>
        <v>0</v>
      </c>
      <c r="F186" s="12" t="s">
        <v>2485</v>
      </c>
      <c r="G186" s="22" t="s">
        <v>2485</v>
      </c>
      <c r="H186" s="10">
        <v>5187.0</v>
      </c>
      <c r="I186" s="10">
        <v>627.0</v>
      </c>
      <c r="J186" s="10">
        <v>304.0</v>
      </c>
      <c r="K186" s="10" t="s">
        <v>252</v>
      </c>
      <c r="L186" s="10" t="s">
        <v>253</v>
      </c>
      <c r="N186" s="23"/>
      <c r="O186" s="23"/>
      <c r="P186" s="23"/>
      <c r="Q186" s="23"/>
      <c r="R186" s="23"/>
      <c r="S186" s="23"/>
      <c r="T186" s="23"/>
      <c r="U186" s="23"/>
      <c r="V186" s="23"/>
      <c r="W186" s="23"/>
      <c r="X186" s="23"/>
      <c r="Y186" s="23"/>
      <c r="Z186" s="23"/>
      <c r="AA186" s="23"/>
    </row>
    <row r="187">
      <c r="A187" s="7">
        <v>4.90563386E8</v>
      </c>
      <c r="B187" s="8" t="s">
        <v>14</v>
      </c>
      <c r="C187" s="8" t="s">
        <v>78</v>
      </c>
      <c r="D187" s="7" t="str">
        <f t="shared" si="1"/>
        <v>Definitely alert-worthy</v>
      </c>
      <c r="E187" s="20" t="b">
        <f t="shared" si="2"/>
        <v>1</v>
      </c>
      <c r="F187" s="8" t="s">
        <v>2494</v>
      </c>
      <c r="G187" s="21" t="s">
        <v>2494</v>
      </c>
      <c r="H187" s="7">
        <v>4209.0</v>
      </c>
      <c r="I187" s="7">
        <v>723.0</v>
      </c>
      <c r="J187" s="7">
        <v>241.0</v>
      </c>
      <c r="K187" s="7" t="s">
        <v>252</v>
      </c>
      <c r="L187" s="7" t="s">
        <v>253</v>
      </c>
      <c r="N187" s="20"/>
      <c r="O187" s="20"/>
      <c r="P187" s="20"/>
      <c r="Q187" s="20"/>
      <c r="R187" s="20"/>
      <c r="S187" s="20"/>
      <c r="T187" s="20"/>
      <c r="U187" s="20"/>
      <c r="V187" s="20"/>
      <c r="W187" s="20"/>
      <c r="X187" s="20"/>
      <c r="Y187" s="20"/>
      <c r="Z187" s="20"/>
      <c r="AA187" s="20"/>
    </row>
    <row r="188">
      <c r="A188" s="20"/>
      <c r="B188" s="24"/>
      <c r="C188" s="24"/>
      <c r="D188" s="20"/>
      <c r="E188" s="20"/>
      <c r="F188" s="24"/>
      <c r="G188" s="20"/>
      <c r="H188" s="20"/>
      <c r="I188" s="20"/>
      <c r="J188" s="20"/>
      <c r="K188" s="20"/>
      <c r="L188" s="20"/>
      <c r="M188" s="20"/>
      <c r="N188" s="20"/>
      <c r="O188" s="20"/>
      <c r="P188" s="20"/>
      <c r="Q188" s="20"/>
      <c r="R188" s="20"/>
      <c r="S188" s="20"/>
      <c r="T188" s="20"/>
      <c r="U188" s="20"/>
      <c r="V188" s="20"/>
      <c r="W188" s="20"/>
      <c r="X188" s="20"/>
      <c r="Y188" s="20"/>
      <c r="Z188" s="20"/>
      <c r="AA188" s="20"/>
    </row>
    <row r="189">
      <c r="A189" s="20"/>
      <c r="B189" s="24"/>
      <c r="C189" s="24"/>
      <c r="D189" s="20"/>
      <c r="E189" s="20"/>
      <c r="F189" s="24"/>
      <c r="G189" s="20"/>
      <c r="H189" s="20"/>
      <c r="I189" s="20"/>
      <c r="J189" s="20"/>
      <c r="K189" s="20"/>
      <c r="L189" s="20"/>
      <c r="M189" s="20"/>
      <c r="N189" s="20"/>
      <c r="O189" s="20"/>
      <c r="P189" s="20"/>
      <c r="Q189" s="20"/>
      <c r="R189" s="20"/>
      <c r="S189" s="20"/>
      <c r="T189" s="20"/>
      <c r="U189" s="20"/>
      <c r="V189" s="20"/>
      <c r="W189" s="20"/>
      <c r="X189" s="20"/>
      <c r="Y189" s="20"/>
      <c r="Z189" s="20"/>
      <c r="AA189" s="20"/>
    </row>
    <row r="190">
      <c r="A190" s="20"/>
      <c r="B190" s="24"/>
      <c r="C190" s="24"/>
      <c r="D190" s="20"/>
      <c r="E190" s="20"/>
      <c r="F190" s="24"/>
      <c r="G190" s="20"/>
      <c r="H190" s="20"/>
      <c r="I190" s="20"/>
      <c r="J190" s="20"/>
      <c r="K190" s="20"/>
      <c r="L190" s="20"/>
      <c r="M190" s="20"/>
      <c r="N190" s="20"/>
      <c r="O190" s="20"/>
      <c r="P190" s="20"/>
      <c r="Q190" s="20"/>
      <c r="R190" s="20"/>
      <c r="S190" s="20"/>
      <c r="T190" s="20"/>
      <c r="U190" s="20"/>
      <c r="V190" s="20"/>
      <c r="W190" s="20"/>
      <c r="X190" s="20"/>
      <c r="Y190" s="20"/>
      <c r="Z190" s="20"/>
      <c r="AA190" s="20"/>
    </row>
    <row r="191">
      <c r="A191" s="20"/>
      <c r="B191" s="24"/>
      <c r="C191" s="24"/>
      <c r="D191" s="20"/>
      <c r="E191" s="20"/>
      <c r="F191" s="24"/>
      <c r="G191" s="20"/>
      <c r="H191" s="20"/>
      <c r="I191" s="20"/>
      <c r="J191" s="20"/>
      <c r="K191" s="20"/>
      <c r="L191" s="20"/>
      <c r="M191" s="20"/>
      <c r="N191" s="20"/>
      <c r="O191" s="20"/>
      <c r="P191" s="20"/>
      <c r="Q191" s="20"/>
      <c r="R191" s="20"/>
      <c r="S191" s="20"/>
      <c r="T191" s="20"/>
      <c r="U191" s="20"/>
      <c r="V191" s="20"/>
      <c r="W191" s="20"/>
      <c r="X191" s="20"/>
      <c r="Y191" s="20"/>
      <c r="Z191" s="20"/>
      <c r="AA191" s="20"/>
    </row>
    <row r="192">
      <c r="A192" s="20"/>
      <c r="B192" s="24"/>
      <c r="C192" s="24"/>
      <c r="D192" s="20"/>
      <c r="E192" s="20"/>
      <c r="F192" s="24"/>
      <c r="G192" s="20"/>
      <c r="H192" s="20"/>
      <c r="I192" s="20"/>
      <c r="J192" s="20"/>
      <c r="K192" s="20"/>
      <c r="L192" s="20"/>
      <c r="M192" s="20"/>
      <c r="N192" s="20"/>
      <c r="O192" s="20"/>
      <c r="P192" s="20"/>
      <c r="Q192" s="20"/>
      <c r="R192" s="20"/>
      <c r="S192" s="20"/>
      <c r="T192" s="20"/>
      <c r="U192" s="20"/>
      <c r="V192" s="20"/>
      <c r="W192" s="20"/>
      <c r="X192" s="20"/>
      <c r="Y192" s="20"/>
      <c r="Z192" s="20"/>
      <c r="AA192" s="20"/>
    </row>
    <row r="193">
      <c r="A193" s="20"/>
      <c r="B193" s="24"/>
      <c r="C193" s="24"/>
      <c r="D193" s="20"/>
      <c r="E193" s="20"/>
      <c r="F193" s="24"/>
      <c r="G193" s="20"/>
      <c r="H193" s="20"/>
      <c r="I193" s="20"/>
      <c r="J193" s="20"/>
      <c r="K193" s="20"/>
      <c r="L193" s="20"/>
      <c r="M193" s="20"/>
      <c r="N193" s="20"/>
      <c r="O193" s="20"/>
      <c r="P193" s="20"/>
      <c r="Q193" s="20"/>
      <c r="R193" s="20"/>
      <c r="S193" s="20"/>
      <c r="T193" s="20"/>
      <c r="U193" s="20"/>
      <c r="V193" s="20"/>
      <c r="W193" s="20"/>
      <c r="X193" s="20"/>
      <c r="Y193" s="20"/>
      <c r="Z193" s="20"/>
      <c r="AA193" s="20"/>
    </row>
    <row r="194">
      <c r="A194" s="20"/>
      <c r="B194" s="24"/>
      <c r="C194" s="24"/>
      <c r="D194" s="20"/>
      <c r="E194" s="20"/>
      <c r="F194" s="24"/>
      <c r="G194" s="20"/>
      <c r="H194" s="20"/>
      <c r="I194" s="20"/>
      <c r="J194" s="20"/>
      <c r="K194" s="20"/>
      <c r="L194" s="20"/>
      <c r="M194" s="20"/>
      <c r="N194" s="20"/>
      <c r="O194" s="20"/>
      <c r="P194" s="20"/>
      <c r="Q194" s="20"/>
      <c r="R194" s="20"/>
      <c r="S194" s="20"/>
      <c r="T194" s="20"/>
      <c r="U194" s="20"/>
      <c r="V194" s="20"/>
      <c r="W194" s="20"/>
      <c r="X194" s="20"/>
      <c r="Y194" s="20"/>
      <c r="Z194" s="20"/>
      <c r="AA194" s="20"/>
    </row>
    <row r="195">
      <c r="A195" s="20"/>
      <c r="B195" s="24"/>
      <c r="C195" s="24"/>
      <c r="D195" s="20"/>
      <c r="E195" s="20"/>
      <c r="F195" s="24"/>
      <c r="G195" s="20"/>
      <c r="H195" s="20"/>
      <c r="I195" s="20"/>
      <c r="J195" s="20"/>
      <c r="K195" s="20"/>
      <c r="L195" s="20"/>
      <c r="M195" s="20"/>
      <c r="N195" s="20"/>
      <c r="O195" s="20"/>
      <c r="P195" s="20"/>
      <c r="Q195" s="20"/>
      <c r="R195" s="20"/>
      <c r="S195" s="20"/>
      <c r="T195" s="20"/>
      <c r="U195" s="20"/>
      <c r="V195" s="20"/>
      <c r="W195" s="20"/>
      <c r="X195" s="20"/>
      <c r="Y195" s="20"/>
      <c r="Z195" s="20"/>
      <c r="AA195" s="20"/>
    </row>
    <row r="196">
      <c r="A196" s="20"/>
      <c r="B196" s="24"/>
      <c r="C196" s="24"/>
      <c r="D196" s="20"/>
      <c r="E196" s="20"/>
      <c r="F196" s="24"/>
      <c r="G196" s="20"/>
      <c r="H196" s="20"/>
      <c r="I196" s="20"/>
      <c r="J196" s="20"/>
      <c r="K196" s="20"/>
      <c r="L196" s="20"/>
      <c r="M196" s="20"/>
      <c r="N196" s="20"/>
      <c r="O196" s="20"/>
      <c r="P196" s="20"/>
      <c r="Q196" s="20"/>
      <c r="R196" s="20"/>
      <c r="S196" s="20"/>
      <c r="T196" s="20"/>
      <c r="U196" s="20"/>
      <c r="V196" s="20"/>
      <c r="W196" s="20"/>
      <c r="X196" s="20"/>
      <c r="Y196" s="20"/>
      <c r="Z196" s="20"/>
      <c r="AA196" s="20"/>
    </row>
    <row r="197">
      <c r="A197" s="20"/>
      <c r="B197" s="24"/>
      <c r="C197" s="24"/>
      <c r="D197" s="20"/>
      <c r="E197" s="20"/>
      <c r="F197" s="24"/>
      <c r="G197" s="20"/>
      <c r="H197" s="20"/>
      <c r="I197" s="20"/>
      <c r="J197" s="20"/>
      <c r="K197" s="20"/>
      <c r="L197" s="20"/>
      <c r="M197" s="20"/>
      <c r="N197" s="20"/>
      <c r="O197" s="20"/>
      <c r="P197" s="20"/>
      <c r="Q197" s="20"/>
      <c r="R197" s="20"/>
      <c r="S197" s="20"/>
      <c r="T197" s="20"/>
      <c r="U197" s="20"/>
      <c r="V197" s="20"/>
      <c r="W197" s="20"/>
      <c r="X197" s="20"/>
      <c r="Y197" s="20"/>
      <c r="Z197" s="20"/>
      <c r="AA197" s="20"/>
    </row>
    <row r="198">
      <c r="A198" s="20"/>
      <c r="B198" s="24"/>
      <c r="C198" s="24"/>
      <c r="D198" s="20"/>
      <c r="E198" s="20"/>
      <c r="F198" s="24"/>
      <c r="G198" s="20"/>
      <c r="H198" s="20"/>
      <c r="I198" s="20"/>
      <c r="J198" s="20"/>
      <c r="K198" s="20"/>
      <c r="L198" s="20"/>
      <c r="M198" s="20"/>
      <c r="N198" s="20"/>
      <c r="O198" s="20"/>
      <c r="P198" s="20"/>
      <c r="Q198" s="20"/>
      <c r="R198" s="20"/>
      <c r="S198" s="20"/>
      <c r="T198" s="20"/>
      <c r="U198" s="20"/>
      <c r="V198" s="20"/>
      <c r="W198" s="20"/>
      <c r="X198" s="20"/>
      <c r="Y198" s="20"/>
      <c r="Z198" s="20"/>
      <c r="AA198" s="20"/>
    </row>
    <row r="199">
      <c r="A199" s="20"/>
      <c r="B199" s="24"/>
      <c r="C199" s="24"/>
      <c r="D199" s="20"/>
      <c r="E199" s="20"/>
      <c r="F199" s="24"/>
      <c r="G199" s="20"/>
      <c r="H199" s="20"/>
      <c r="I199" s="20"/>
      <c r="J199" s="20"/>
      <c r="K199" s="20"/>
      <c r="L199" s="20"/>
      <c r="M199" s="20"/>
      <c r="N199" s="20"/>
      <c r="O199" s="20"/>
      <c r="P199" s="20"/>
      <c r="Q199" s="20"/>
      <c r="R199" s="20"/>
      <c r="S199" s="20"/>
      <c r="T199" s="20"/>
      <c r="U199" s="20"/>
      <c r="V199" s="20"/>
      <c r="W199" s="20"/>
      <c r="X199" s="20"/>
      <c r="Y199" s="20"/>
      <c r="Z199" s="20"/>
      <c r="AA199" s="20"/>
    </row>
    <row r="200">
      <c r="A200" s="20"/>
      <c r="B200" s="24"/>
      <c r="C200" s="24"/>
      <c r="D200" s="20"/>
      <c r="E200" s="20"/>
      <c r="F200" s="24"/>
      <c r="G200" s="20"/>
      <c r="H200" s="20"/>
      <c r="I200" s="20"/>
      <c r="J200" s="20"/>
      <c r="K200" s="20"/>
      <c r="L200" s="20"/>
      <c r="M200" s="20"/>
      <c r="N200" s="20"/>
      <c r="O200" s="20"/>
      <c r="P200" s="20"/>
      <c r="Q200" s="20"/>
      <c r="R200" s="20"/>
      <c r="S200" s="20"/>
      <c r="T200" s="20"/>
      <c r="U200" s="20"/>
      <c r="V200" s="20"/>
      <c r="W200" s="20"/>
      <c r="X200" s="20"/>
      <c r="Y200" s="20"/>
      <c r="Z200" s="20"/>
      <c r="AA200" s="20"/>
    </row>
    <row r="201">
      <c r="A201" s="20"/>
      <c r="B201" s="24"/>
      <c r="C201" s="24"/>
      <c r="D201" s="20"/>
      <c r="E201" s="20"/>
      <c r="F201" s="24"/>
      <c r="G201" s="20"/>
      <c r="H201" s="20"/>
      <c r="I201" s="20"/>
      <c r="J201" s="20"/>
      <c r="K201" s="20"/>
      <c r="L201" s="20"/>
      <c r="M201" s="20"/>
      <c r="N201" s="20"/>
      <c r="O201" s="20"/>
      <c r="P201" s="20"/>
      <c r="Q201" s="20"/>
      <c r="R201" s="20"/>
      <c r="S201" s="20"/>
      <c r="T201" s="20"/>
      <c r="U201" s="20"/>
      <c r="V201" s="20"/>
      <c r="W201" s="20"/>
      <c r="X201" s="20"/>
      <c r="Y201" s="20"/>
      <c r="Z201" s="20"/>
      <c r="AA201" s="20"/>
    </row>
    <row r="202">
      <c r="A202" s="20"/>
      <c r="B202" s="24"/>
      <c r="C202" s="24"/>
      <c r="D202" s="20"/>
      <c r="E202" s="20"/>
      <c r="F202" s="24"/>
      <c r="G202" s="20"/>
      <c r="H202" s="20"/>
      <c r="I202" s="20"/>
      <c r="J202" s="20"/>
      <c r="K202" s="20"/>
      <c r="L202" s="20"/>
      <c r="M202" s="20"/>
      <c r="N202" s="20"/>
      <c r="O202" s="20"/>
      <c r="P202" s="20"/>
      <c r="Q202" s="20"/>
      <c r="R202" s="20"/>
      <c r="S202" s="20"/>
      <c r="T202" s="20"/>
      <c r="U202" s="20"/>
      <c r="V202" s="20"/>
      <c r="W202" s="20"/>
      <c r="X202" s="20"/>
      <c r="Y202" s="20"/>
      <c r="Z202" s="20"/>
      <c r="AA202" s="20"/>
    </row>
    <row r="203">
      <c r="A203" s="20"/>
      <c r="B203" s="24"/>
      <c r="C203" s="24"/>
      <c r="D203" s="20"/>
      <c r="E203" s="20"/>
      <c r="F203" s="24"/>
      <c r="G203" s="20"/>
      <c r="H203" s="20"/>
      <c r="I203" s="20"/>
      <c r="J203" s="20"/>
      <c r="K203" s="20"/>
      <c r="L203" s="20"/>
      <c r="M203" s="20"/>
      <c r="N203" s="20"/>
      <c r="O203" s="20"/>
      <c r="P203" s="20"/>
      <c r="Q203" s="20"/>
      <c r="R203" s="20"/>
      <c r="S203" s="20"/>
      <c r="T203" s="20"/>
      <c r="U203" s="20"/>
      <c r="V203" s="20"/>
      <c r="W203" s="20"/>
      <c r="X203" s="20"/>
      <c r="Y203" s="20"/>
      <c r="Z203" s="20"/>
      <c r="AA203" s="20"/>
    </row>
    <row r="204">
      <c r="A204" s="20"/>
      <c r="B204" s="24"/>
      <c r="C204" s="24"/>
      <c r="D204" s="20"/>
      <c r="E204" s="20"/>
      <c r="F204" s="24"/>
      <c r="G204" s="20"/>
      <c r="H204" s="20"/>
      <c r="I204" s="20"/>
      <c r="J204" s="20"/>
      <c r="K204" s="20"/>
      <c r="L204" s="20"/>
      <c r="M204" s="20"/>
      <c r="N204" s="20"/>
      <c r="O204" s="20"/>
      <c r="P204" s="20"/>
      <c r="Q204" s="20"/>
      <c r="R204" s="20"/>
      <c r="S204" s="20"/>
      <c r="T204" s="20"/>
      <c r="U204" s="20"/>
      <c r="V204" s="20"/>
      <c r="W204" s="20"/>
      <c r="X204" s="20"/>
      <c r="Y204" s="20"/>
      <c r="Z204" s="20"/>
      <c r="AA204" s="20"/>
    </row>
    <row r="205">
      <c r="A205" s="20"/>
      <c r="B205" s="24"/>
      <c r="C205" s="24"/>
      <c r="D205" s="20"/>
      <c r="E205" s="20"/>
      <c r="F205" s="24"/>
      <c r="G205" s="20"/>
      <c r="H205" s="20"/>
      <c r="I205" s="20"/>
      <c r="J205" s="20"/>
      <c r="K205" s="20"/>
      <c r="L205" s="20"/>
      <c r="M205" s="20"/>
      <c r="N205" s="20"/>
      <c r="O205" s="20"/>
      <c r="P205" s="20"/>
      <c r="Q205" s="20"/>
      <c r="R205" s="20"/>
      <c r="S205" s="20"/>
      <c r="T205" s="20"/>
      <c r="U205" s="20"/>
      <c r="V205" s="20"/>
      <c r="W205" s="20"/>
      <c r="X205" s="20"/>
      <c r="Y205" s="20"/>
      <c r="Z205" s="20"/>
      <c r="AA205" s="20"/>
    </row>
    <row r="206">
      <c r="A206" s="20"/>
      <c r="B206" s="24"/>
      <c r="C206" s="24"/>
      <c r="D206" s="20"/>
      <c r="E206" s="20"/>
      <c r="F206" s="24"/>
      <c r="G206" s="20"/>
      <c r="H206" s="20"/>
      <c r="I206" s="20"/>
      <c r="J206" s="20"/>
      <c r="K206" s="20"/>
      <c r="L206" s="20"/>
      <c r="M206" s="20"/>
      <c r="N206" s="20"/>
      <c r="O206" s="20"/>
      <c r="P206" s="20"/>
      <c r="Q206" s="20"/>
      <c r="R206" s="20"/>
      <c r="S206" s="20"/>
      <c r="T206" s="20"/>
      <c r="U206" s="20"/>
      <c r="V206" s="20"/>
      <c r="W206" s="20"/>
      <c r="X206" s="20"/>
      <c r="Y206" s="20"/>
      <c r="Z206" s="20"/>
      <c r="AA206" s="20"/>
    </row>
    <row r="207">
      <c r="A207" s="20"/>
      <c r="B207" s="24"/>
      <c r="C207" s="24"/>
      <c r="D207" s="20"/>
      <c r="E207" s="20"/>
      <c r="F207" s="24"/>
      <c r="G207" s="20"/>
      <c r="H207" s="20"/>
      <c r="I207" s="20"/>
      <c r="J207" s="20"/>
      <c r="K207" s="20"/>
      <c r="L207" s="20"/>
      <c r="M207" s="20"/>
      <c r="N207" s="20"/>
      <c r="O207" s="20"/>
      <c r="P207" s="20"/>
      <c r="Q207" s="20"/>
      <c r="R207" s="20"/>
      <c r="S207" s="20"/>
      <c r="T207" s="20"/>
      <c r="U207" s="20"/>
      <c r="V207" s="20"/>
      <c r="W207" s="20"/>
      <c r="X207" s="20"/>
      <c r="Y207" s="20"/>
      <c r="Z207" s="20"/>
      <c r="AA207" s="20"/>
    </row>
    <row r="208">
      <c r="A208" s="20"/>
      <c r="B208" s="24"/>
      <c r="C208" s="24"/>
      <c r="D208" s="20"/>
      <c r="E208" s="20"/>
      <c r="F208" s="24"/>
      <c r="G208" s="20"/>
      <c r="H208" s="20"/>
      <c r="I208" s="20"/>
      <c r="J208" s="20"/>
      <c r="K208" s="20"/>
      <c r="L208" s="20"/>
      <c r="M208" s="20"/>
      <c r="N208" s="20"/>
      <c r="O208" s="20"/>
      <c r="P208" s="20"/>
      <c r="Q208" s="20"/>
      <c r="R208" s="20"/>
      <c r="S208" s="20"/>
      <c r="T208" s="20"/>
      <c r="U208" s="20"/>
      <c r="V208" s="20"/>
      <c r="W208" s="20"/>
      <c r="X208" s="20"/>
      <c r="Y208" s="20"/>
      <c r="Z208" s="20"/>
      <c r="AA208" s="20"/>
    </row>
    <row r="209">
      <c r="A209" s="20"/>
      <c r="B209" s="24"/>
      <c r="C209" s="24"/>
      <c r="D209" s="20"/>
      <c r="E209" s="20"/>
      <c r="F209" s="24"/>
      <c r="G209" s="20"/>
      <c r="H209" s="20"/>
      <c r="I209" s="20"/>
      <c r="J209" s="20"/>
      <c r="K209" s="20"/>
      <c r="L209" s="20"/>
      <c r="M209" s="20"/>
      <c r="N209" s="20"/>
      <c r="O209" s="20"/>
      <c r="P209" s="20"/>
      <c r="Q209" s="20"/>
      <c r="R209" s="20"/>
      <c r="S209" s="20"/>
      <c r="T209" s="20"/>
      <c r="U209" s="20"/>
      <c r="V209" s="20"/>
      <c r="W209" s="20"/>
      <c r="X209" s="20"/>
      <c r="Y209" s="20"/>
      <c r="Z209" s="20"/>
      <c r="AA209" s="20"/>
    </row>
    <row r="210">
      <c r="A210" s="20"/>
      <c r="B210" s="24"/>
      <c r="C210" s="24"/>
      <c r="D210" s="20"/>
      <c r="E210" s="20"/>
      <c r="F210" s="24"/>
      <c r="G210" s="20"/>
      <c r="H210" s="20"/>
      <c r="I210" s="20"/>
      <c r="J210" s="20"/>
      <c r="K210" s="20"/>
      <c r="L210" s="20"/>
      <c r="M210" s="20"/>
      <c r="N210" s="20"/>
      <c r="O210" s="20"/>
      <c r="P210" s="20"/>
      <c r="Q210" s="20"/>
      <c r="R210" s="20"/>
      <c r="S210" s="20"/>
      <c r="T210" s="20"/>
      <c r="U210" s="20"/>
      <c r="V210" s="20"/>
      <c r="W210" s="20"/>
      <c r="X210" s="20"/>
      <c r="Y210" s="20"/>
      <c r="Z210" s="20"/>
      <c r="AA210" s="20"/>
    </row>
    <row r="211">
      <c r="A211" s="20"/>
      <c r="B211" s="24"/>
      <c r="C211" s="24"/>
      <c r="D211" s="20"/>
      <c r="E211" s="20"/>
      <c r="F211" s="24"/>
      <c r="G211" s="20"/>
      <c r="H211" s="20"/>
      <c r="I211" s="20"/>
      <c r="J211" s="20"/>
      <c r="K211" s="20"/>
      <c r="L211" s="20"/>
      <c r="M211" s="20"/>
      <c r="N211" s="20"/>
      <c r="O211" s="20"/>
      <c r="P211" s="20"/>
      <c r="Q211" s="20"/>
      <c r="R211" s="20"/>
      <c r="S211" s="20"/>
      <c r="T211" s="20"/>
      <c r="U211" s="20"/>
      <c r="V211" s="20"/>
      <c r="W211" s="20"/>
      <c r="X211" s="20"/>
      <c r="Y211" s="20"/>
      <c r="Z211" s="20"/>
      <c r="AA211" s="20"/>
    </row>
    <row r="212">
      <c r="A212" s="20"/>
      <c r="B212" s="24"/>
      <c r="C212" s="24"/>
      <c r="D212" s="20"/>
      <c r="E212" s="20"/>
      <c r="F212" s="24"/>
      <c r="G212" s="20"/>
      <c r="H212" s="20"/>
      <c r="I212" s="20"/>
      <c r="J212" s="20"/>
      <c r="K212" s="20"/>
      <c r="L212" s="20"/>
      <c r="M212" s="20"/>
      <c r="N212" s="20"/>
      <c r="O212" s="20"/>
      <c r="P212" s="20"/>
      <c r="Q212" s="20"/>
      <c r="R212" s="20"/>
      <c r="S212" s="20"/>
      <c r="T212" s="20"/>
      <c r="U212" s="20"/>
      <c r="V212" s="20"/>
      <c r="W212" s="20"/>
      <c r="X212" s="20"/>
      <c r="Y212" s="20"/>
      <c r="Z212" s="20"/>
      <c r="AA212" s="20"/>
    </row>
    <row r="213">
      <c r="A213" s="20"/>
      <c r="B213" s="24"/>
      <c r="C213" s="24"/>
      <c r="D213" s="20"/>
      <c r="E213" s="20"/>
      <c r="F213" s="24"/>
      <c r="G213" s="20"/>
      <c r="H213" s="20"/>
      <c r="I213" s="20"/>
      <c r="J213" s="20"/>
      <c r="K213" s="20"/>
      <c r="L213" s="20"/>
      <c r="M213" s="20"/>
      <c r="N213" s="20"/>
      <c r="O213" s="20"/>
      <c r="P213" s="20"/>
      <c r="Q213" s="20"/>
      <c r="R213" s="20"/>
      <c r="S213" s="20"/>
      <c r="T213" s="20"/>
      <c r="U213" s="20"/>
      <c r="V213" s="20"/>
      <c r="W213" s="20"/>
      <c r="X213" s="20"/>
      <c r="Y213" s="20"/>
      <c r="Z213" s="20"/>
      <c r="AA213" s="20"/>
    </row>
    <row r="214">
      <c r="A214" s="20"/>
      <c r="B214" s="24"/>
      <c r="C214" s="24"/>
      <c r="D214" s="20"/>
      <c r="E214" s="20"/>
      <c r="F214" s="24"/>
      <c r="G214" s="20"/>
      <c r="H214" s="20"/>
      <c r="I214" s="20"/>
      <c r="J214" s="20"/>
      <c r="K214" s="20"/>
      <c r="L214" s="20"/>
      <c r="M214" s="20"/>
      <c r="N214" s="20"/>
      <c r="O214" s="20"/>
      <c r="P214" s="20"/>
      <c r="Q214" s="20"/>
      <c r="R214" s="20"/>
      <c r="S214" s="20"/>
      <c r="T214" s="20"/>
      <c r="U214" s="20"/>
      <c r="V214" s="20"/>
      <c r="W214" s="20"/>
      <c r="X214" s="20"/>
      <c r="Y214" s="20"/>
      <c r="Z214" s="20"/>
      <c r="AA214" s="20"/>
    </row>
    <row r="215">
      <c r="A215" s="20"/>
      <c r="B215" s="24"/>
      <c r="C215" s="24"/>
      <c r="D215" s="20"/>
      <c r="E215" s="20"/>
      <c r="F215" s="24"/>
      <c r="G215" s="20"/>
      <c r="H215" s="20"/>
      <c r="I215" s="20"/>
      <c r="J215" s="20"/>
      <c r="K215" s="20"/>
      <c r="L215" s="20"/>
      <c r="M215" s="20"/>
      <c r="N215" s="20"/>
      <c r="O215" s="20"/>
      <c r="P215" s="20"/>
      <c r="Q215" s="20"/>
      <c r="R215" s="20"/>
      <c r="S215" s="20"/>
      <c r="T215" s="20"/>
      <c r="U215" s="20"/>
      <c r="V215" s="20"/>
      <c r="W215" s="20"/>
      <c r="X215" s="20"/>
      <c r="Y215" s="20"/>
      <c r="Z215" s="20"/>
      <c r="AA215" s="20"/>
    </row>
    <row r="216">
      <c r="A216" s="20"/>
      <c r="B216" s="24"/>
      <c r="C216" s="24"/>
      <c r="D216" s="20"/>
      <c r="E216" s="20"/>
      <c r="F216" s="24"/>
      <c r="G216" s="20"/>
      <c r="H216" s="20"/>
      <c r="I216" s="20"/>
      <c r="J216" s="20"/>
      <c r="K216" s="20"/>
      <c r="L216" s="20"/>
      <c r="M216" s="20"/>
      <c r="N216" s="20"/>
      <c r="O216" s="20"/>
      <c r="P216" s="20"/>
      <c r="Q216" s="20"/>
      <c r="R216" s="20"/>
      <c r="S216" s="20"/>
      <c r="T216" s="20"/>
      <c r="U216" s="20"/>
      <c r="V216" s="20"/>
      <c r="W216" s="20"/>
      <c r="X216" s="20"/>
      <c r="Y216" s="20"/>
      <c r="Z216" s="20"/>
      <c r="AA216" s="20"/>
    </row>
    <row r="217">
      <c r="A217" s="20"/>
      <c r="B217" s="24"/>
      <c r="C217" s="24"/>
      <c r="D217" s="20"/>
      <c r="E217" s="20"/>
      <c r="F217" s="24"/>
      <c r="G217" s="20"/>
      <c r="H217" s="20"/>
      <c r="I217" s="20"/>
      <c r="J217" s="20"/>
      <c r="K217" s="20"/>
      <c r="L217" s="20"/>
      <c r="M217" s="20"/>
      <c r="N217" s="20"/>
      <c r="O217" s="20"/>
      <c r="P217" s="20"/>
      <c r="Q217" s="20"/>
      <c r="R217" s="20"/>
      <c r="S217" s="20"/>
      <c r="T217" s="20"/>
      <c r="U217" s="20"/>
      <c r="V217" s="20"/>
      <c r="W217" s="20"/>
      <c r="X217" s="20"/>
      <c r="Y217" s="20"/>
      <c r="Z217" s="20"/>
      <c r="AA217" s="20"/>
    </row>
    <row r="218">
      <c r="A218" s="20"/>
      <c r="B218" s="24"/>
      <c r="C218" s="24"/>
      <c r="D218" s="20"/>
      <c r="E218" s="20"/>
      <c r="F218" s="24"/>
      <c r="G218" s="20"/>
      <c r="H218" s="20"/>
      <c r="I218" s="20"/>
      <c r="J218" s="20"/>
      <c r="K218" s="20"/>
      <c r="L218" s="20"/>
      <c r="M218" s="20"/>
      <c r="N218" s="20"/>
      <c r="O218" s="20"/>
      <c r="P218" s="20"/>
      <c r="Q218" s="20"/>
      <c r="R218" s="20"/>
      <c r="S218" s="20"/>
      <c r="T218" s="20"/>
      <c r="U218" s="20"/>
      <c r="V218" s="20"/>
      <c r="W218" s="20"/>
      <c r="X218" s="20"/>
      <c r="Y218" s="20"/>
      <c r="Z218" s="20"/>
      <c r="AA218" s="20"/>
    </row>
    <row r="219">
      <c r="A219" s="20"/>
      <c r="B219" s="24"/>
      <c r="C219" s="24"/>
      <c r="D219" s="20"/>
      <c r="E219" s="20"/>
      <c r="F219" s="24"/>
      <c r="G219" s="20"/>
      <c r="H219" s="20"/>
      <c r="I219" s="20"/>
      <c r="J219" s="20"/>
      <c r="K219" s="20"/>
      <c r="L219" s="20"/>
      <c r="M219" s="20"/>
      <c r="N219" s="20"/>
      <c r="O219" s="20"/>
      <c r="P219" s="20"/>
      <c r="Q219" s="20"/>
      <c r="R219" s="20"/>
      <c r="S219" s="20"/>
      <c r="T219" s="20"/>
      <c r="U219" s="20"/>
      <c r="V219" s="20"/>
      <c r="W219" s="20"/>
      <c r="X219" s="20"/>
      <c r="Y219" s="20"/>
      <c r="Z219" s="20"/>
      <c r="AA219" s="20"/>
    </row>
    <row r="220">
      <c r="A220" s="20"/>
      <c r="B220" s="24"/>
      <c r="C220" s="24"/>
      <c r="D220" s="20"/>
      <c r="E220" s="20"/>
      <c r="F220" s="24"/>
      <c r="G220" s="20"/>
      <c r="H220" s="20"/>
      <c r="I220" s="20"/>
      <c r="J220" s="20"/>
      <c r="K220" s="20"/>
      <c r="L220" s="20"/>
      <c r="M220" s="20"/>
      <c r="N220" s="20"/>
      <c r="O220" s="20"/>
      <c r="P220" s="20"/>
      <c r="Q220" s="20"/>
      <c r="R220" s="20"/>
      <c r="S220" s="20"/>
      <c r="T220" s="20"/>
      <c r="U220" s="20"/>
      <c r="V220" s="20"/>
      <c r="W220" s="20"/>
      <c r="X220" s="20"/>
      <c r="Y220" s="20"/>
      <c r="Z220" s="20"/>
      <c r="AA220" s="20"/>
    </row>
    <row r="221">
      <c r="A221" s="20"/>
      <c r="B221" s="24"/>
      <c r="C221" s="24"/>
      <c r="D221" s="20"/>
      <c r="E221" s="20"/>
      <c r="F221" s="24"/>
      <c r="G221" s="20"/>
      <c r="H221" s="20"/>
      <c r="I221" s="20"/>
      <c r="J221" s="20"/>
      <c r="K221" s="20"/>
      <c r="L221" s="20"/>
      <c r="M221" s="20"/>
      <c r="N221" s="20"/>
      <c r="O221" s="20"/>
      <c r="P221" s="20"/>
      <c r="Q221" s="20"/>
      <c r="R221" s="20"/>
      <c r="S221" s="20"/>
      <c r="T221" s="20"/>
      <c r="U221" s="20"/>
      <c r="V221" s="20"/>
      <c r="W221" s="20"/>
      <c r="X221" s="20"/>
      <c r="Y221" s="20"/>
      <c r="Z221" s="20"/>
      <c r="AA221" s="20"/>
    </row>
    <row r="222">
      <c r="A222" s="20"/>
      <c r="B222" s="24"/>
      <c r="C222" s="24"/>
      <c r="D222" s="20"/>
      <c r="E222" s="20"/>
      <c r="F222" s="24"/>
      <c r="G222" s="20"/>
      <c r="H222" s="20"/>
      <c r="I222" s="20"/>
      <c r="J222" s="20"/>
      <c r="K222" s="20"/>
      <c r="L222" s="20"/>
      <c r="M222" s="20"/>
      <c r="N222" s="20"/>
      <c r="O222" s="20"/>
      <c r="P222" s="20"/>
      <c r="Q222" s="20"/>
      <c r="R222" s="20"/>
      <c r="S222" s="20"/>
      <c r="T222" s="20"/>
      <c r="U222" s="20"/>
      <c r="V222" s="20"/>
      <c r="W222" s="20"/>
      <c r="X222" s="20"/>
      <c r="Y222" s="20"/>
      <c r="Z222" s="20"/>
      <c r="AA222" s="20"/>
    </row>
    <row r="223">
      <c r="A223" s="20"/>
      <c r="B223" s="24"/>
      <c r="C223" s="24"/>
      <c r="D223" s="20"/>
      <c r="E223" s="20"/>
      <c r="F223" s="24"/>
      <c r="G223" s="20"/>
      <c r="H223" s="20"/>
      <c r="I223" s="20"/>
      <c r="J223" s="20"/>
      <c r="K223" s="20"/>
      <c r="L223" s="20"/>
      <c r="M223" s="20"/>
      <c r="N223" s="20"/>
      <c r="O223" s="20"/>
      <c r="P223" s="20"/>
      <c r="Q223" s="20"/>
      <c r="R223" s="20"/>
      <c r="S223" s="20"/>
      <c r="T223" s="20"/>
      <c r="U223" s="20"/>
      <c r="V223" s="20"/>
      <c r="W223" s="20"/>
      <c r="X223" s="20"/>
      <c r="Y223" s="20"/>
      <c r="Z223" s="20"/>
      <c r="AA223" s="20"/>
    </row>
    <row r="224">
      <c r="A224" s="20"/>
      <c r="B224" s="24"/>
      <c r="C224" s="24"/>
      <c r="D224" s="20"/>
      <c r="E224" s="20"/>
      <c r="F224" s="24"/>
      <c r="G224" s="20"/>
      <c r="H224" s="20"/>
      <c r="I224" s="20"/>
      <c r="J224" s="20"/>
      <c r="K224" s="20"/>
      <c r="L224" s="20"/>
      <c r="M224" s="20"/>
      <c r="N224" s="20"/>
      <c r="O224" s="20"/>
      <c r="P224" s="20"/>
      <c r="Q224" s="20"/>
      <c r="R224" s="20"/>
      <c r="S224" s="20"/>
      <c r="T224" s="20"/>
      <c r="U224" s="20"/>
      <c r="V224" s="20"/>
      <c r="W224" s="20"/>
      <c r="X224" s="20"/>
      <c r="Y224" s="20"/>
      <c r="Z224" s="20"/>
      <c r="AA224" s="20"/>
    </row>
    <row r="225">
      <c r="A225" s="20"/>
      <c r="B225" s="24"/>
      <c r="C225" s="24"/>
      <c r="D225" s="20"/>
      <c r="E225" s="20"/>
      <c r="F225" s="24"/>
      <c r="G225" s="20"/>
      <c r="H225" s="20"/>
      <c r="I225" s="20"/>
      <c r="J225" s="20"/>
      <c r="K225" s="20"/>
      <c r="L225" s="20"/>
      <c r="M225" s="20"/>
      <c r="N225" s="20"/>
      <c r="O225" s="20"/>
      <c r="P225" s="20"/>
      <c r="Q225" s="20"/>
      <c r="R225" s="20"/>
      <c r="S225" s="20"/>
      <c r="T225" s="20"/>
      <c r="U225" s="20"/>
      <c r="V225" s="20"/>
      <c r="W225" s="20"/>
      <c r="X225" s="20"/>
      <c r="Y225" s="20"/>
      <c r="Z225" s="20"/>
      <c r="AA225" s="20"/>
    </row>
    <row r="226">
      <c r="A226" s="20"/>
      <c r="B226" s="24"/>
      <c r="C226" s="24"/>
      <c r="D226" s="20"/>
      <c r="E226" s="20"/>
      <c r="F226" s="24"/>
      <c r="G226" s="20"/>
      <c r="H226" s="20"/>
      <c r="I226" s="20"/>
      <c r="J226" s="20"/>
      <c r="K226" s="20"/>
      <c r="L226" s="20"/>
      <c r="M226" s="20"/>
      <c r="N226" s="20"/>
      <c r="O226" s="20"/>
      <c r="P226" s="20"/>
      <c r="Q226" s="20"/>
      <c r="R226" s="20"/>
      <c r="S226" s="20"/>
      <c r="T226" s="20"/>
      <c r="U226" s="20"/>
      <c r="V226" s="20"/>
      <c r="W226" s="20"/>
      <c r="X226" s="20"/>
      <c r="Y226" s="20"/>
      <c r="Z226" s="20"/>
      <c r="AA226" s="20"/>
    </row>
    <row r="227">
      <c r="A227" s="20"/>
      <c r="B227" s="24"/>
      <c r="C227" s="24"/>
      <c r="D227" s="20"/>
      <c r="E227" s="20"/>
      <c r="F227" s="24"/>
      <c r="G227" s="20"/>
      <c r="H227" s="20"/>
      <c r="I227" s="20"/>
      <c r="J227" s="20"/>
      <c r="K227" s="20"/>
      <c r="L227" s="20"/>
      <c r="M227" s="20"/>
      <c r="N227" s="20"/>
      <c r="O227" s="20"/>
      <c r="P227" s="20"/>
      <c r="Q227" s="20"/>
      <c r="R227" s="20"/>
      <c r="S227" s="20"/>
      <c r="T227" s="20"/>
      <c r="U227" s="20"/>
      <c r="V227" s="20"/>
      <c r="W227" s="20"/>
      <c r="X227" s="20"/>
      <c r="Y227" s="20"/>
      <c r="Z227" s="20"/>
      <c r="AA227" s="20"/>
    </row>
    <row r="228">
      <c r="A228" s="20"/>
      <c r="B228" s="24"/>
      <c r="C228" s="24"/>
      <c r="D228" s="20"/>
      <c r="E228" s="20"/>
      <c r="F228" s="24"/>
      <c r="G228" s="20"/>
      <c r="H228" s="20"/>
      <c r="I228" s="20"/>
      <c r="J228" s="20"/>
      <c r="K228" s="20"/>
      <c r="L228" s="20"/>
      <c r="M228" s="20"/>
      <c r="N228" s="20"/>
      <c r="O228" s="20"/>
      <c r="P228" s="20"/>
      <c r="Q228" s="20"/>
      <c r="R228" s="20"/>
      <c r="S228" s="20"/>
      <c r="T228" s="20"/>
      <c r="U228" s="20"/>
      <c r="V228" s="20"/>
      <c r="W228" s="20"/>
      <c r="X228" s="20"/>
      <c r="Y228" s="20"/>
      <c r="Z228" s="20"/>
      <c r="AA228" s="20"/>
    </row>
    <row r="229">
      <c r="A229" s="20"/>
      <c r="B229" s="24"/>
      <c r="C229" s="24"/>
      <c r="D229" s="20"/>
      <c r="E229" s="20"/>
      <c r="F229" s="24"/>
      <c r="G229" s="20"/>
      <c r="H229" s="20"/>
      <c r="I229" s="20"/>
      <c r="J229" s="20"/>
      <c r="K229" s="20"/>
      <c r="L229" s="20"/>
      <c r="M229" s="20"/>
      <c r="N229" s="20"/>
      <c r="O229" s="20"/>
      <c r="P229" s="20"/>
      <c r="Q229" s="20"/>
      <c r="R229" s="20"/>
      <c r="S229" s="20"/>
      <c r="T229" s="20"/>
      <c r="U229" s="20"/>
      <c r="V229" s="20"/>
      <c r="W229" s="20"/>
      <c r="X229" s="20"/>
      <c r="Y229" s="20"/>
      <c r="Z229" s="20"/>
      <c r="AA229" s="20"/>
    </row>
    <row r="230">
      <c r="A230" s="20"/>
      <c r="B230" s="24"/>
      <c r="C230" s="24"/>
      <c r="D230" s="20"/>
      <c r="E230" s="20"/>
      <c r="F230" s="24"/>
      <c r="G230" s="20"/>
      <c r="H230" s="20"/>
      <c r="I230" s="20"/>
      <c r="J230" s="20"/>
      <c r="K230" s="20"/>
      <c r="L230" s="20"/>
      <c r="M230" s="20"/>
      <c r="N230" s="20"/>
      <c r="O230" s="20"/>
      <c r="P230" s="20"/>
      <c r="Q230" s="20"/>
      <c r="R230" s="20"/>
      <c r="S230" s="20"/>
      <c r="T230" s="20"/>
      <c r="U230" s="20"/>
      <c r="V230" s="20"/>
      <c r="W230" s="20"/>
      <c r="X230" s="20"/>
      <c r="Y230" s="20"/>
      <c r="Z230" s="20"/>
      <c r="AA230" s="20"/>
    </row>
    <row r="231">
      <c r="A231" s="20"/>
      <c r="B231" s="24"/>
      <c r="C231" s="24"/>
      <c r="D231" s="20"/>
      <c r="E231" s="20"/>
      <c r="F231" s="24"/>
      <c r="G231" s="20"/>
      <c r="H231" s="20"/>
      <c r="I231" s="20"/>
      <c r="J231" s="20"/>
      <c r="K231" s="20"/>
      <c r="L231" s="20"/>
      <c r="M231" s="20"/>
      <c r="N231" s="20"/>
      <c r="O231" s="20"/>
      <c r="P231" s="20"/>
      <c r="Q231" s="20"/>
      <c r="R231" s="20"/>
      <c r="S231" s="20"/>
      <c r="T231" s="20"/>
      <c r="U231" s="20"/>
      <c r="V231" s="20"/>
      <c r="W231" s="20"/>
      <c r="X231" s="20"/>
      <c r="Y231" s="20"/>
      <c r="Z231" s="20"/>
      <c r="AA231" s="20"/>
    </row>
    <row r="232">
      <c r="A232" s="20"/>
      <c r="B232" s="24"/>
      <c r="C232" s="24"/>
      <c r="D232" s="20"/>
      <c r="E232" s="20"/>
      <c r="F232" s="24"/>
      <c r="G232" s="20"/>
      <c r="H232" s="20"/>
      <c r="I232" s="20"/>
      <c r="J232" s="20"/>
      <c r="K232" s="20"/>
      <c r="L232" s="20"/>
      <c r="M232" s="20"/>
      <c r="N232" s="20"/>
      <c r="O232" s="20"/>
      <c r="P232" s="20"/>
      <c r="Q232" s="20"/>
      <c r="R232" s="20"/>
      <c r="S232" s="20"/>
      <c r="T232" s="20"/>
      <c r="U232" s="20"/>
      <c r="V232" s="20"/>
      <c r="W232" s="20"/>
      <c r="X232" s="20"/>
      <c r="Y232" s="20"/>
      <c r="Z232" s="20"/>
      <c r="AA232" s="20"/>
    </row>
    <row r="233">
      <c r="A233" s="20"/>
      <c r="B233" s="24"/>
      <c r="C233" s="24"/>
      <c r="D233" s="20"/>
      <c r="E233" s="20"/>
      <c r="F233" s="24"/>
      <c r="G233" s="20"/>
      <c r="H233" s="20"/>
      <c r="I233" s="20"/>
      <c r="J233" s="20"/>
      <c r="K233" s="20"/>
      <c r="L233" s="20"/>
      <c r="M233" s="20"/>
      <c r="N233" s="20"/>
      <c r="O233" s="20"/>
      <c r="P233" s="20"/>
      <c r="Q233" s="20"/>
      <c r="R233" s="20"/>
      <c r="S233" s="20"/>
      <c r="T233" s="20"/>
      <c r="U233" s="20"/>
      <c r="V233" s="20"/>
      <c r="W233" s="20"/>
      <c r="X233" s="20"/>
      <c r="Y233" s="20"/>
      <c r="Z233" s="20"/>
      <c r="AA233" s="20"/>
    </row>
    <row r="234">
      <c r="A234" s="20"/>
      <c r="B234" s="24"/>
      <c r="C234" s="24"/>
      <c r="D234" s="20"/>
      <c r="E234" s="20"/>
      <c r="F234" s="24"/>
      <c r="G234" s="20"/>
      <c r="H234" s="20"/>
      <c r="I234" s="20"/>
      <c r="J234" s="20"/>
      <c r="K234" s="20"/>
      <c r="L234" s="20"/>
      <c r="M234" s="20"/>
      <c r="N234" s="20"/>
      <c r="O234" s="20"/>
      <c r="P234" s="20"/>
      <c r="Q234" s="20"/>
      <c r="R234" s="20"/>
      <c r="S234" s="20"/>
      <c r="T234" s="20"/>
      <c r="U234" s="20"/>
      <c r="V234" s="20"/>
      <c r="W234" s="20"/>
      <c r="X234" s="20"/>
      <c r="Y234" s="20"/>
      <c r="Z234" s="20"/>
      <c r="AA234" s="20"/>
    </row>
    <row r="235">
      <c r="A235" s="20"/>
      <c r="B235" s="24"/>
      <c r="C235" s="24"/>
      <c r="D235" s="20"/>
      <c r="E235" s="20"/>
      <c r="F235" s="24"/>
      <c r="G235" s="20"/>
      <c r="H235" s="20"/>
      <c r="I235" s="20"/>
      <c r="J235" s="20"/>
      <c r="K235" s="20"/>
      <c r="L235" s="20"/>
      <c r="M235" s="20"/>
      <c r="N235" s="20"/>
      <c r="O235" s="20"/>
      <c r="P235" s="20"/>
      <c r="Q235" s="20"/>
      <c r="R235" s="20"/>
      <c r="S235" s="20"/>
      <c r="T235" s="20"/>
      <c r="U235" s="20"/>
      <c r="V235" s="20"/>
      <c r="W235" s="20"/>
      <c r="X235" s="20"/>
      <c r="Y235" s="20"/>
      <c r="Z235" s="20"/>
      <c r="AA235" s="20"/>
    </row>
    <row r="236">
      <c r="A236" s="20"/>
      <c r="B236" s="24"/>
      <c r="C236" s="24"/>
      <c r="D236" s="20"/>
      <c r="E236" s="20"/>
      <c r="F236" s="24"/>
      <c r="G236" s="20"/>
      <c r="H236" s="20"/>
      <c r="I236" s="20"/>
      <c r="J236" s="20"/>
      <c r="K236" s="20"/>
      <c r="L236" s="20"/>
      <c r="M236" s="20"/>
      <c r="N236" s="20"/>
      <c r="O236" s="20"/>
      <c r="P236" s="20"/>
      <c r="Q236" s="20"/>
      <c r="R236" s="20"/>
      <c r="S236" s="20"/>
      <c r="T236" s="20"/>
      <c r="U236" s="20"/>
      <c r="V236" s="20"/>
      <c r="W236" s="20"/>
      <c r="X236" s="20"/>
      <c r="Y236" s="20"/>
      <c r="Z236" s="20"/>
      <c r="AA236" s="20"/>
    </row>
    <row r="237">
      <c r="A237" s="20"/>
      <c r="B237" s="24"/>
      <c r="C237" s="24"/>
      <c r="D237" s="20"/>
      <c r="E237" s="20"/>
      <c r="F237" s="24"/>
      <c r="G237" s="20"/>
      <c r="H237" s="20"/>
      <c r="I237" s="20"/>
      <c r="J237" s="20"/>
      <c r="K237" s="20"/>
      <c r="L237" s="20"/>
      <c r="M237" s="20"/>
      <c r="N237" s="20"/>
      <c r="O237" s="20"/>
      <c r="P237" s="20"/>
      <c r="Q237" s="20"/>
      <c r="R237" s="20"/>
      <c r="S237" s="20"/>
      <c r="T237" s="20"/>
      <c r="U237" s="20"/>
      <c r="V237" s="20"/>
      <c r="W237" s="20"/>
      <c r="X237" s="20"/>
      <c r="Y237" s="20"/>
      <c r="Z237" s="20"/>
      <c r="AA237" s="20"/>
    </row>
    <row r="238">
      <c r="A238" s="20"/>
      <c r="B238" s="24"/>
      <c r="C238" s="24"/>
      <c r="D238" s="20"/>
      <c r="E238" s="20"/>
      <c r="F238" s="24"/>
      <c r="G238" s="20"/>
      <c r="H238" s="20"/>
      <c r="I238" s="20"/>
      <c r="J238" s="20"/>
      <c r="K238" s="20"/>
      <c r="L238" s="20"/>
      <c r="M238" s="20"/>
      <c r="N238" s="20"/>
      <c r="O238" s="20"/>
      <c r="P238" s="20"/>
      <c r="Q238" s="20"/>
      <c r="R238" s="20"/>
      <c r="S238" s="20"/>
      <c r="T238" s="20"/>
      <c r="U238" s="20"/>
      <c r="V238" s="20"/>
      <c r="W238" s="20"/>
      <c r="X238" s="20"/>
      <c r="Y238" s="20"/>
      <c r="Z238" s="20"/>
      <c r="AA238" s="20"/>
    </row>
    <row r="239">
      <c r="A239" s="20"/>
      <c r="B239" s="24"/>
      <c r="C239" s="24"/>
      <c r="D239" s="20"/>
      <c r="E239" s="20"/>
      <c r="F239" s="24"/>
      <c r="G239" s="20"/>
      <c r="H239" s="20"/>
      <c r="I239" s="20"/>
      <c r="J239" s="20"/>
      <c r="K239" s="20"/>
      <c r="L239" s="20"/>
      <c r="M239" s="20"/>
      <c r="N239" s="20"/>
      <c r="O239" s="20"/>
      <c r="P239" s="20"/>
      <c r="Q239" s="20"/>
      <c r="R239" s="20"/>
      <c r="S239" s="20"/>
      <c r="T239" s="20"/>
      <c r="U239" s="20"/>
      <c r="V239" s="20"/>
      <c r="W239" s="20"/>
      <c r="X239" s="20"/>
      <c r="Y239" s="20"/>
      <c r="Z239" s="20"/>
      <c r="AA239" s="20"/>
    </row>
    <row r="240">
      <c r="A240" s="20"/>
      <c r="B240" s="24"/>
      <c r="C240" s="24"/>
      <c r="D240" s="20"/>
      <c r="E240" s="20"/>
      <c r="F240" s="24"/>
      <c r="G240" s="20"/>
      <c r="H240" s="20"/>
      <c r="I240" s="20"/>
      <c r="J240" s="20"/>
      <c r="K240" s="20"/>
      <c r="L240" s="20"/>
      <c r="M240" s="20"/>
      <c r="N240" s="20"/>
      <c r="O240" s="20"/>
      <c r="P240" s="20"/>
      <c r="Q240" s="20"/>
      <c r="R240" s="20"/>
      <c r="S240" s="20"/>
      <c r="T240" s="20"/>
      <c r="U240" s="20"/>
      <c r="V240" s="20"/>
      <c r="W240" s="20"/>
      <c r="X240" s="20"/>
      <c r="Y240" s="20"/>
      <c r="Z240" s="20"/>
      <c r="AA240" s="20"/>
    </row>
    <row r="241">
      <c r="A241" s="20"/>
      <c r="B241" s="24"/>
      <c r="C241" s="24"/>
      <c r="D241" s="20"/>
      <c r="E241" s="20"/>
      <c r="F241" s="24"/>
      <c r="G241" s="20"/>
      <c r="H241" s="20"/>
      <c r="I241" s="20"/>
      <c r="J241" s="20"/>
      <c r="K241" s="20"/>
      <c r="L241" s="20"/>
      <c r="M241" s="20"/>
      <c r="N241" s="20"/>
      <c r="O241" s="20"/>
      <c r="P241" s="20"/>
      <c r="Q241" s="20"/>
      <c r="R241" s="20"/>
      <c r="S241" s="20"/>
      <c r="T241" s="20"/>
      <c r="U241" s="20"/>
      <c r="V241" s="20"/>
      <c r="W241" s="20"/>
      <c r="X241" s="20"/>
      <c r="Y241" s="20"/>
      <c r="Z241" s="20"/>
      <c r="AA241" s="20"/>
    </row>
    <row r="242">
      <c r="A242" s="20"/>
      <c r="B242" s="24"/>
      <c r="C242" s="24"/>
      <c r="D242" s="20"/>
      <c r="E242" s="20"/>
      <c r="F242" s="24"/>
      <c r="G242" s="20"/>
      <c r="H242" s="20"/>
      <c r="I242" s="20"/>
      <c r="J242" s="20"/>
      <c r="K242" s="20"/>
      <c r="L242" s="20"/>
      <c r="M242" s="20"/>
      <c r="N242" s="20"/>
      <c r="O242" s="20"/>
      <c r="P242" s="20"/>
      <c r="Q242" s="20"/>
      <c r="R242" s="20"/>
      <c r="S242" s="20"/>
      <c r="T242" s="20"/>
      <c r="U242" s="20"/>
      <c r="V242" s="20"/>
      <c r="W242" s="20"/>
      <c r="X242" s="20"/>
      <c r="Y242" s="20"/>
      <c r="Z242" s="20"/>
      <c r="AA242" s="20"/>
    </row>
    <row r="243">
      <c r="A243" s="20"/>
      <c r="B243" s="24"/>
      <c r="C243" s="24"/>
      <c r="D243" s="20"/>
      <c r="E243" s="20"/>
      <c r="F243" s="24"/>
      <c r="G243" s="20"/>
      <c r="H243" s="20"/>
      <c r="I243" s="20"/>
      <c r="J243" s="20"/>
      <c r="K243" s="20"/>
      <c r="L243" s="20"/>
      <c r="M243" s="20"/>
      <c r="N243" s="20"/>
      <c r="O243" s="20"/>
      <c r="P243" s="20"/>
      <c r="Q243" s="20"/>
      <c r="R243" s="20"/>
      <c r="S243" s="20"/>
      <c r="T243" s="20"/>
      <c r="U243" s="20"/>
      <c r="V243" s="20"/>
      <c r="W243" s="20"/>
      <c r="X243" s="20"/>
      <c r="Y243" s="20"/>
      <c r="Z243" s="20"/>
      <c r="AA243" s="20"/>
    </row>
    <row r="244">
      <c r="A244" s="20"/>
      <c r="B244" s="24"/>
      <c r="C244" s="24"/>
      <c r="D244" s="20"/>
      <c r="E244" s="20"/>
      <c r="F244" s="24"/>
      <c r="G244" s="20"/>
      <c r="H244" s="20"/>
      <c r="I244" s="20"/>
      <c r="J244" s="20"/>
      <c r="K244" s="20"/>
      <c r="L244" s="20"/>
      <c r="M244" s="20"/>
      <c r="N244" s="20"/>
      <c r="O244" s="20"/>
      <c r="P244" s="20"/>
      <c r="Q244" s="20"/>
      <c r="R244" s="20"/>
      <c r="S244" s="20"/>
      <c r="T244" s="20"/>
      <c r="U244" s="20"/>
      <c r="V244" s="20"/>
      <c r="W244" s="20"/>
      <c r="X244" s="20"/>
      <c r="Y244" s="20"/>
      <c r="Z244" s="20"/>
      <c r="AA244" s="20"/>
    </row>
    <row r="245">
      <c r="A245" s="20"/>
      <c r="B245" s="24"/>
      <c r="C245" s="24"/>
      <c r="D245" s="20"/>
      <c r="E245" s="20"/>
      <c r="F245" s="24"/>
      <c r="G245" s="20"/>
      <c r="H245" s="20"/>
      <c r="I245" s="20"/>
      <c r="J245" s="20"/>
      <c r="K245" s="20"/>
      <c r="L245" s="20"/>
      <c r="M245" s="20"/>
      <c r="N245" s="20"/>
      <c r="O245" s="20"/>
      <c r="P245" s="20"/>
      <c r="Q245" s="20"/>
      <c r="R245" s="20"/>
      <c r="S245" s="20"/>
      <c r="T245" s="20"/>
      <c r="U245" s="20"/>
      <c r="V245" s="20"/>
      <c r="W245" s="20"/>
      <c r="X245" s="20"/>
      <c r="Y245" s="20"/>
      <c r="Z245" s="20"/>
      <c r="AA245" s="20"/>
    </row>
    <row r="246">
      <c r="A246" s="20"/>
      <c r="B246" s="24"/>
      <c r="C246" s="24"/>
      <c r="D246" s="20"/>
      <c r="E246" s="20"/>
      <c r="F246" s="24"/>
      <c r="G246" s="20"/>
      <c r="H246" s="20"/>
      <c r="I246" s="20"/>
      <c r="J246" s="20"/>
      <c r="K246" s="20"/>
      <c r="L246" s="20"/>
      <c r="M246" s="20"/>
      <c r="N246" s="20"/>
      <c r="O246" s="20"/>
      <c r="P246" s="20"/>
      <c r="Q246" s="20"/>
      <c r="R246" s="20"/>
      <c r="S246" s="20"/>
      <c r="T246" s="20"/>
      <c r="U246" s="20"/>
      <c r="V246" s="20"/>
      <c r="W246" s="20"/>
      <c r="X246" s="20"/>
      <c r="Y246" s="20"/>
      <c r="Z246" s="20"/>
      <c r="AA246" s="20"/>
    </row>
    <row r="247">
      <c r="A247" s="20"/>
      <c r="B247" s="24"/>
      <c r="C247" s="24"/>
      <c r="D247" s="20"/>
      <c r="E247" s="20"/>
      <c r="F247" s="24"/>
      <c r="G247" s="20"/>
      <c r="H247" s="20"/>
      <c r="I247" s="20"/>
      <c r="J247" s="20"/>
      <c r="K247" s="20"/>
      <c r="L247" s="20"/>
      <c r="M247" s="20"/>
      <c r="N247" s="20"/>
      <c r="O247" s="20"/>
      <c r="P247" s="20"/>
      <c r="Q247" s="20"/>
      <c r="R247" s="20"/>
      <c r="S247" s="20"/>
      <c r="T247" s="20"/>
      <c r="U247" s="20"/>
      <c r="V247" s="20"/>
      <c r="W247" s="20"/>
      <c r="X247" s="20"/>
      <c r="Y247" s="20"/>
      <c r="Z247" s="20"/>
      <c r="AA247" s="20"/>
    </row>
    <row r="248">
      <c r="A248" s="20"/>
      <c r="B248" s="24"/>
      <c r="C248" s="24"/>
      <c r="D248" s="20"/>
      <c r="E248" s="20"/>
      <c r="F248" s="24"/>
      <c r="G248" s="20"/>
      <c r="H248" s="20"/>
      <c r="I248" s="20"/>
      <c r="J248" s="20"/>
      <c r="K248" s="20"/>
      <c r="L248" s="20"/>
      <c r="M248" s="20"/>
      <c r="N248" s="20"/>
      <c r="O248" s="20"/>
      <c r="P248" s="20"/>
      <c r="Q248" s="20"/>
      <c r="R248" s="20"/>
      <c r="S248" s="20"/>
      <c r="T248" s="20"/>
      <c r="U248" s="20"/>
      <c r="V248" s="20"/>
      <c r="W248" s="20"/>
      <c r="X248" s="20"/>
      <c r="Y248" s="20"/>
      <c r="Z248" s="20"/>
      <c r="AA248" s="20"/>
    </row>
    <row r="249">
      <c r="A249" s="20"/>
      <c r="B249" s="24"/>
      <c r="C249" s="24"/>
      <c r="D249" s="20"/>
      <c r="E249" s="20"/>
      <c r="F249" s="24"/>
      <c r="G249" s="20"/>
      <c r="H249" s="20"/>
      <c r="I249" s="20"/>
      <c r="J249" s="20"/>
      <c r="K249" s="20"/>
      <c r="L249" s="20"/>
      <c r="M249" s="20"/>
      <c r="N249" s="20"/>
      <c r="O249" s="20"/>
      <c r="P249" s="20"/>
      <c r="Q249" s="20"/>
      <c r="R249" s="20"/>
      <c r="S249" s="20"/>
      <c r="T249" s="20"/>
      <c r="U249" s="20"/>
      <c r="V249" s="20"/>
      <c r="W249" s="20"/>
      <c r="X249" s="20"/>
      <c r="Y249" s="20"/>
      <c r="Z249" s="20"/>
      <c r="AA249" s="20"/>
    </row>
    <row r="250">
      <c r="A250" s="20"/>
      <c r="B250" s="24"/>
      <c r="C250" s="24"/>
      <c r="D250" s="20"/>
      <c r="E250" s="20"/>
      <c r="F250" s="24"/>
      <c r="G250" s="20"/>
      <c r="H250" s="20"/>
      <c r="I250" s="20"/>
      <c r="J250" s="20"/>
      <c r="K250" s="20"/>
      <c r="L250" s="20"/>
      <c r="M250" s="20"/>
      <c r="N250" s="20"/>
      <c r="O250" s="20"/>
      <c r="P250" s="20"/>
      <c r="Q250" s="20"/>
      <c r="R250" s="20"/>
      <c r="S250" s="20"/>
      <c r="T250" s="20"/>
      <c r="U250" s="20"/>
      <c r="V250" s="20"/>
      <c r="W250" s="20"/>
      <c r="X250" s="20"/>
      <c r="Y250" s="20"/>
      <c r="Z250" s="20"/>
      <c r="AA250" s="20"/>
    </row>
    <row r="251">
      <c r="A251" s="20"/>
      <c r="B251" s="24"/>
      <c r="C251" s="24"/>
      <c r="D251" s="20"/>
      <c r="E251" s="20"/>
      <c r="F251" s="24"/>
      <c r="G251" s="20"/>
      <c r="H251" s="20"/>
      <c r="I251" s="20"/>
      <c r="J251" s="20"/>
      <c r="K251" s="20"/>
      <c r="L251" s="20"/>
      <c r="M251" s="20"/>
      <c r="N251" s="20"/>
      <c r="O251" s="20"/>
      <c r="P251" s="20"/>
      <c r="Q251" s="20"/>
      <c r="R251" s="20"/>
      <c r="S251" s="20"/>
      <c r="T251" s="20"/>
      <c r="U251" s="20"/>
      <c r="V251" s="20"/>
      <c r="W251" s="20"/>
      <c r="X251" s="20"/>
      <c r="Y251" s="20"/>
      <c r="Z251" s="20"/>
      <c r="AA251" s="20"/>
    </row>
    <row r="252">
      <c r="A252" s="20"/>
      <c r="B252" s="24"/>
      <c r="C252" s="24"/>
      <c r="D252" s="20"/>
      <c r="E252" s="20"/>
      <c r="F252" s="24"/>
      <c r="G252" s="20"/>
      <c r="H252" s="20"/>
      <c r="I252" s="20"/>
      <c r="J252" s="20"/>
      <c r="K252" s="20"/>
      <c r="L252" s="20"/>
      <c r="M252" s="20"/>
      <c r="N252" s="20"/>
      <c r="O252" s="20"/>
      <c r="P252" s="20"/>
      <c r="Q252" s="20"/>
      <c r="R252" s="20"/>
      <c r="S252" s="20"/>
      <c r="T252" s="20"/>
      <c r="U252" s="20"/>
      <c r="V252" s="20"/>
      <c r="W252" s="20"/>
      <c r="X252" s="20"/>
      <c r="Y252" s="20"/>
      <c r="Z252" s="20"/>
      <c r="AA252" s="20"/>
    </row>
    <row r="253">
      <c r="A253" s="20"/>
      <c r="B253" s="24"/>
      <c r="C253" s="24"/>
      <c r="D253" s="20"/>
      <c r="E253" s="20"/>
      <c r="F253" s="24"/>
      <c r="G253" s="20"/>
      <c r="H253" s="20"/>
      <c r="I253" s="20"/>
      <c r="J253" s="20"/>
      <c r="K253" s="20"/>
      <c r="L253" s="20"/>
      <c r="M253" s="20"/>
      <c r="N253" s="20"/>
      <c r="O253" s="20"/>
      <c r="P253" s="20"/>
      <c r="Q253" s="20"/>
      <c r="R253" s="20"/>
      <c r="S253" s="20"/>
      <c r="T253" s="20"/>
      <c r="U253" s="20"/>
      <c r="V253" s="20"/>
      <c r="W253" s="20"/>
      <c r="X253" s="20"/>
      <c r="Y253" s="20"/>
      <c r="Z253" s="20"/>
      <c r="AA253" s="20"/>
    </row>
    <row r="254">
      <c r="A254" s="20"/>
      <c r="B254" s="24"/>
      <c r="C254" s="24"/>
      <c r="D254" s="20"/>
      <c r="E254" s="20"/>
      <c r="F254" s="24"/>
      <c r="G254" s="20"/>
      <c r="H254" s="20"/>
      <c r="I254" s="20"/>
      <c r="J254" s="20"/>
      <c r="K254" s="20"/>
      <c r="L254" s="20"/>
      <c r="M254" s="20"/>
      <c r="N254" s="20"/>
      <c r="O254" s="20"/>
      <c r="P254" s="20"/>
      <c r="Q254" s="20"/>
      <c r="R254" s="20"/>
      <c r="S254" s="20"/>
      <c r="T254" s="20"/>
      <c r="U254" s="20"/>
      <c r="V254" s="20"/>
      <c r="W254" s="20"/>
      <c r="X254" s="20"/>
      <c r="Y254" s="20"/>
      <c r="Z254" s="20"/>
      <c r="AA254" s="20"/>
    </row>
    <row r="255">
      <c r="A255" s="20"/>
      <c r="B255" s="24"/>
      <c r="C255" s="24"/>
      <c r="D255" s="20"/>
      <c r="E255" s="20"/>
      <c r="F255" s="24"/>
      <c r="G255" s="20"/>
      <c r="H255" s="20"/>
      <c r="I255" s="20"/>
      <c r="J255" s="20"/>
      <c r="K255" s="20"/>
      <c r="L255" s="20"/>
      <c r="M255" s="20"/>
      <c r="N255" s="20"/>
      <c r="O255" s="20"/>
      <c r="P255" s="20"/>
      <c r="Q255" s="20"/>
      <c r="R255" s="20"/>
      <c r="S255" s="20"/>
      <c r="T255" s="20"/>
      <c r="U255" s="20"/>
      <c r="V255" s="20"/>
      <c r="W255" s="20"/>
      <c r="X255" s="20"/>
      <c r="Y255" s="20"/>
      <c r="Z255" s="20"/>
      <c r="AA255" s="20"/>
    </row>
    <row r="256">
      <c r="A256" s="20"/>
      <c r="B256" s="24"/>
      <c r="C256" s="24"/>
      <c r="D256" s="20"/>
      <c r="E256" s="20"/>
      <c r="F256" s="24"/>
      <c r="G256" s="20"/>
      <c r="H256" s="20"/>
      <c r="I256" s="20"/>
      <c r="J256" s="20"/>
      <c r="K256" s="20"/>
      <c r="L256" s="20"/>
      <c r="M256" s="20"/>
      <c r="N256" s="20"/>
      <c r="O256" s="20"/>
      <c r="P256" s="20"/>
      <c r="Q256" s="20"/>
      <c r="R256" s="20"/>
      <c r="S256" s="20"/>
      <c r="T256" s="20"/>
      <c r="U256" s="20"/>
      <c r="V256" s="20"/>
      <c r="W256" s="20"/>
      <c r="X256" s="20"/>
      <c r="Y256" s="20"/>
      <c r="Z256" s="20"/>
      <c r="AA256" s="20"/>
    </row>
    <row r="257">
      <c r="A257" s="20"/>
      <c r="B257" s="24"/>
      <c r="C257" s="24"/>
      <c r="D257" s="20"/>
      <c r="E257" s="20"/>
      <c r="F257" s="24"/>
      <c r="G257" s="20"/>
      <c r="H257" s="20"/>
      <c r="I257" s="20"/>
      <c r="J257" s="20"/>
      <c r="K257" s="20"/>
      <c r="L257" s="20"/>
      <c r="M257" s="20"/>
      <c r="N257" s="20"/>
      <c r="O257" s="20"/>
      <c r="P257" s="20"/>
      <c r="Q257" s="20"/>
      <c r="R257" s="20"/>
      <c r="S257" s="20"/>
      <c r="T257" s="20"/>
      <c r="U257" s="20"/>
      <c r="V257" s="20"/>
      <c r="W257" s="20"/>
      <c r="X257" s="20"/>
      <c r="Y257" s="20"/>
      <c r="Z257" s="20"/>
      <c r="AA257" s="20"/>
    </row>
    <row r="258">
      <c r="A258" s="20"/>
      <c r="B258" s="24"/>
      <c r="C258" s="24"/>
      <c r="D258" s="20"/>
      <c r="E258" s="20"/>
      <c r="F258" s="24"/>
      <c r="G258" s="20"/>
      <c r="H258" s="20"/>
      <c r="I258" s="20"/>
      <c r="J258" s="20"/>
      <c r="K258" s="20"/>
      <c r="L258" s="20"/>
      <c r="M258" s="20"/>
      <c r="N258" s="20"/>
      <c r="O258" s="20"/>
      <c r="P258" s="20"/>
      <c r="Q258" s="20"/>
      <c r="R258" s="20"/>
      <c r="S258" s="20"/>
      <c r="T258" s="20"/>
      <c r="U258" s="20"/>
      <c r="V258" s="20"/>
      <c r="W258" s="20"/>
      <c r="X258" s="20"/>
      <c r="Y258" s="20"/>
      <c r="Z258" s="20"/>
      <c r="AA258" s="20"/>
    </row>
    <row r="259">
      <c r="A259" s="20"/>
      <c r="B259" s="24"/>
      <c r="C259" s="24"/>
      <c r="D259" s="20"/>
      <c r="E259" s="20"/>
      <c r="F259" s="24"/>
      <c r="G259" s="20"/>
      <c r="H259" s="20"/>
      <c r="I259" s="20"/>
      <c r="J259" s="20"/>
      <c r="K259" s="20"/>
      <c r="L259" s="20"/>
      <c r="M259" s="20"/>
      <c r="N259" s="20"/>
      <c r="O259" s="20"/>
      <c r="P259" s="20"/>
      <c r="Q259" s="20"/>
      <c r="R259" s="20"/>
      <c r="S259" s="20"/>
      <c r="T259" s="20"/>
      <c r="U259" s="20"/>
      <c r="V259" s="20"/>
      <c r="W259" s="20"/>
      <c r="X259" s="20"/>
      <c r="Y259" s="20"/>
      <c r="Z259" s="20"/>
      <c r="AA259" s="20"/>
    </row>
    <row r="260">
      <c r="A260" s="20"/>
      <c r="B260" s="24"/>
      <c r="C260" s="24"/>
      <c r="D260" s="20"/>
      <c r="E260" s="20"/>
      <c r="F260" s="24"/>
      <c r="G260" s="20"/>
      <c r="H260" s="20"/>
      <c r="I260" s="20"/>
      <c r="J260" s="20"/>
      <c r="K260" s="20"/>
      <c r="L260" s="20"/>
      <c r="M260" s="20"/>
      <c r="N260" s="20"/>
      <c r="O260" s="20"/>
      <c r="P260" s="20"/>
      <c r="Q260" s="20"/>
      <c r="R260" s="20"/>
      <c r="S260" s="20"/>
      <c r="T260" s="20"/>
      <c r="U260" s="20"/>
      <c r="V260" s="20"/>
      <c r="W260" s="20"/>
      <c r="X260" s="20"/>
      <c r="Y260" s="20"/>
      <c r="Z260" s="20"/>
      <c r="AA260" s="20"/>
    </row>
    <row r="261">
      <c r="A261" s="20"/>
      <c r="B261" s="24"/>
      <c r="C261" s="24"/>
      <c r="D261" s="20"/>
      <c r="E261" s="20"/>
      <c r="F261" s="24"/>
      <c r="G261" s="20"/>
      <c r="H261" s="20"/>
      <c r="I261" s="20"/>
      <c r="J261" s="20"/>
      <c r="K261" s="20"/>
      <c r="L261" s="20"/>
      <c r="M261" s="20"/>
      <c r="N261" s="20"/>
      <c r="O261" s="20"/>
      <c r="P261" s="20"/>
      <c r="Q261" s="20"/>
      <c r="R261" s="20"/>
      <c r="S261" s="20"/>
      <c r="T261" s="20"/>
      <c r="U261" s="20"/>
      <c r="V261" s="20"/>
      <c r="W261" s="20"/>
      <c r="X261" s="20"/>
      <c r="Y261" s="20"/>
      <c r="Z261" s="20"/>
      <c r="AA261" s="20"/>
    </row>
    <row r="262">
      <c r="A262" s="20"/>
      <c r="B262" s="24"/>
      <c r="C262" s="24"/>
      <c r="D262" s="20"/>
      <c r="E262" s="20"/>
      <c r="F262" s="24"/>
      <c r="G262" s="20"/>
      <c r="H262" s="20"/>
      <c r="I262" s="20"/>
      <c r="J262" s="20"/>
      <c r="K262" s="20"/>
      <c r="L262" s="20"/>
      <c r="M262" s="20"/>
      <c r="N262" s="20"/>
      <c r="O262" s="20"/>
      <c r="P262" s="20"/>
      <c r="Q262" s="20"/>
      <c r="R262" s="20"/>
      <c r="S262" s="20"/>
      <c r="T262" s="20"/>
      <c r="U262" s="20"/>
      <c r="V262" s="20"/>
      <c r="W262" s="20"/>
      <c r="X262" s="20"/>
      <c r="Y262" s="20"/>
      <c r="Z262" s="20"/>
      <c r="AA262" s="20"/>
    </row>
    <row r="263">
      <c r="A263" s="20"/>
      <c r="B263" s="24"/>
      <c r="C263" s="24"/>
      <c r="D263" s="20"/>
      <c r="E263" s="20"/>
      <c r="F263" s="24"/>
      <c r="G263" s="20"/>
      <c r="H263" s="20"/>
      <c r="I263" s="20"/>
      <c r="J263" s="20"/>
      <c r="K263" s="20"/>
      <c r="L263" s="20"/>
      <c r="M263" s="20"/>
      <c r="N263" s="20"/>
      <c r="O263" s="20"/>
      <c r="P263" s="20"/>
      <c r="Q263" s="20"/>
      <c r="R263" s="20"/>
      <c r="S263" s="20"/>
      <c r="T263" s="20"/>
      <c r="U263" s="20"/>
      <c r="V263" s="20"/>
      <c r="W263" s="20"/>
      <c r="X263" s="20"/>
      <c r="Y263" s="20"/>
      <c r="Z263" s="20"/>
      <c r="AA263" s="20"/>
    </row>
    <row r="264">
      <c r="A264" s="20"/>
      <c r="B264" s="24"/>
      <c r="C264" s="24"/>
      <c r="D264" s="20"/>
      <c r="E264" s="20"/>
      <c r="F264" s="24"/>
      <c r="G264" s="20"/>
      <c r="H264" s="20"/>
      <c r="I264" s="20"/>
      <c r="J264" s="20"/>
      <c r="K264" s="20"/>
      <c r="L264" s="20"/>
      <c r="M264" s="20"/>
      <c r="N264" s="20"/>
      <c r="O264" s="20"/>
      <c r="P264" s="20"/>
      <c r="Q264" s="20"/>
      <c r="R264" s="20"/>
      <c r="S264" s="20"/>
      <c r="T264" s="20"/>
      <c r="U264" s="20"/>
      <c r="V264" s="20"/>
      <c r="W264" s="20"/>
      <c r="X264" s="20"/>
      <c r="Y264" s="20"/>
      <c r="Z264" s="20"/>
      <c r="AA264" s="20"/>
    </row>
    <row r="265">
      <c r="A265" s="20"/>
      <c r="B265" s="24"/>
      <c r="C265" s="24"/>
      <c r="D265" s="20"/>
      <c r="E265" s="20"/>
      <c r="F265" s="24"/>
      <c r="G265" s="20"/>
      <c r="H265" s="20"/>
      <c r="I265" s="20"/>
      <c r="J265" s="20"/>
      <c r="K265" s="20"/>
      <c r="L265" s="20"/>
      <c r="M265" s="20"/>
      <c r="N265" s="20"/>
      <c r="O265" s="20"/>
      <c r="P265" s="20"/>
      <c r="Q265" s="20"/>
      <c r="R265" s="20"/>
      <c r="S265" s="20"/>
      <c r="T265" s="20"/>
      <c r="U265" s="20"/>
      <c r="V265" s="20"/>
      <c r="W265" s="20"/>
      <c r="X265" s="20"/>
      <c r="Y265" s="20"/>
      <c r="Z265" s="20"/>
      <c r="AA265" s="20"/>
    </row>
    <row r="266">
      <c r="A266" s="20"/>
      <c r="B266" s="24"/>
      <c r="C266" s="24"/>
      <c r="D266" s="20"/>
      <c r="E266" s="20"/>
      <c r="F266" s="24"/>
      <c r="G266" s="20"/>
      <c r="H266" s="20"/>
      <c r="I266" s="20"/>
      <c r="J266" s="20"/>
      <c r="K266" s="20"/>
      <c r="L266" s="20"/>
      <c r="M266" s="20"/>
      <c r="N266" s="20"/>
      <c r="O266" s="20"/>
      <c r="P266" s="20"/>
      <c r="Q266" s="20"/>
      <c r="R266" s="20"/>
      <c r="S266" s="20"/>
      <c r="T266" s="20"/>
      <c r="U266" s="20"/>
      <c r="V266" s="20"/>
      <c r="W266" s="20"/>
      <c r="X266" s="20"/>
      <c r="Y266" s="20"/>
      <c r="Z266" s="20"/>
      <c r="AA266" s="20"/>
    </row>
    <row r="267">
      <c r="A267" s="20"/>
      <c r="B267" s="24"/>
      <c r="C267" s="24"/>
      <c r="D267" s="20"/>
      <c r="E267" s="20"/>
      <c r="F267" s="24"/>
      <c r="G267" s="20"/>
      <c r="H267" s="20"/>
      <c r="I267" s="20"/>
      <c r="J267" s="20"/>
      <c r="K267" s="20"/>
      <c r="L267" s="20"/>
      <c r="M267" s="20"/>
      <c r="N267" s="20"/>
      <c r="O267" s="20"/>
      <c r="P267" s="20"/>
      <c r="Q267" s="20"/>
      <c r="R267" s="20"/>
      <c r="S267" s="20"/>
      <c r="T267" s="20"/>
      <c r="U267" s="20"/>
      <c r="V267" s="20"/>
      <c r="W267" s="20"/>
      <c r="X267" s="20"/>
      <c r="Y267" s="20"/>
      <c r="Z267" s="20"/>
      <c r="AA267" s="20"/>
    </row>
    <row r="268">
      <c r="A268" s="20"/>
      <c r="B268" s="24"/>
      <c r="C268" s="24"/>
      <c r="D268" s="20"/>
      <c r="E268" s="20"/>
      <c r="F268" s="24"/>
      <c r="G268" s="20"/>
      <c r="H268" s="20"/>
      <c r="I268" s="20"/>
      <c r="J268" s="20"/>
      <c r="K268" s="20"/>
      <c r="L268" s="20"/>
      <c r="M268" s="20"/>
      <c r="N268" s="20"/>
      <c r="O268" s="20"/>
      <c r="P268" s="20"/>
      <c r="Q268" s="20"/>
      <c r="R268" s="20"/>
      <c r="S268" s="20"/>
      <c r="T268" s="20"/>
      <c r="U268" s="20"/>
      <c r="V268" s="20"/>
      <c r="W268" s="20"/>
      <c r="X268" s="20"/>
      <c r="Y268" s="20"/>
      <c r="Z268" s="20"/>
      <c r="AA268" s="20"/>
    </row>
    <row r="269">
      <c r="A269" s="20"/>
      <c r="B269" s="24"/>
      <c r="C269" s="24"/>
      <c r="D269" s="20"/>
      <c r="E269" s="20"/>
      <c r="F269" s="24"/>
      <c r="G269" s="20"/>
      <c r="H269" s="20"/>
      <c r="I269" s="20"/>
      <c r="J269" s="20"/>
      <c r="K269" s="20"/>
      <c r="L269" s="20"/>
      <c r="M269" s="20"/>
      <c r="N269" s="20"/>
      <c r="O269" s="20"/>
      <c r="P269" s="20"/>
      <c r="Q269" s="20"/>
      <c r="R269" s="20"/>
      <c r="S269" s="20"/>
      <c r="T269" s="20"/>
      <c r="U269" s="20"/>
      <c r="V269" s="20"/>
      <c r="W269" s="20"/>
      <c r="X269" s="20"/>
      <c r="Y269" s="20"/>
      <c r="Z269" s="20"/>
      <c r="AA269" s="20"/>
    </row>
    <row r="270">
      <c r="A270" s="20"/>
      <c r="B270" s="24"/>
      <c r="C270" s="24"/>
      <c r="D270" s="20"/>
      <c r="E270" s="20"/>
      <c r="F270" s="24"/>
      <c r="G270" s="20"/>
      <c r="H270" s="20"/>
      <c r="I270" s="20"/>
      <c r="J270" s="20"/>
      <c r="K270" s="20"/>
      <c r="L270" s="20"/>
      <c r="M270" s="20"/>
      <c r="N270" s="20"/>
      <c r="O270" s="20"/>
      <c r="P270" s="20"/>
      <c r="Q270" s="20"/>
      <c r="R270" s="20"/>
      <c r="S270" s="20"/>
      <c r="T270" s="20"/>
      <c r="U270" s="20"/>
      <c r="V270" s="20"/>
      <c r="W270" s="20"/>
      <c r="X270" s="20"/>
      <c r="Y270" s="20"/>
      <c r="Z270" s="20"/>
      <c r="AA270" s="20"/>
    </row>
    <row r="271">
      <c r="A271" s="20"/>
      <c r="B271" s="24"/>
      <c r="C271" s="24"/>
      <c r="D271" s="20"/>
      <c r="E271" s="20"/>
      <c r="F271" s="24"/>
      <c r="G271" s="20"/>
      <c r="H271" s="20"/>
      <c r="I271" s="20"/>
      <c r="J271" s="20"/>
      <c r="K271" s="20"/>
      <c r="L271" s="20"/>
      <c r="M271" s="20"/>
      <c r="N271" s="20"/>
      <c r="O271" s="20"/>
      <c r="P271" s="20"/>
      <c r="Q271" s="20"/>
      <c r="R271" s="20"/>
      <c r="S271" s="20"/>
      <c r="T271" s="20"/>
      <c r="U271" s="20"/>
      <c r="V271" s="20"/>
      <c r="W271" s="20"/>
      <c r="X271" s="20"/>
      <c r="Y271" s="20"/>
      <c r="Z271" s="20"/>
      <c r="AA271" s="20"/>
    </row>
    <row r="272">
      <c r="A272" s="20"/>
      <c r="B272" s="24"/>
      <c r="C272" s="24"/>
      <c r="D272" s="20"/>
      <c r="E272" s="20"/>
      <c r="F272" s="24"/>
      <c r="G272" s="20"/>
      <c r="H272" s="20"/>
      <c r="I272" s="20"/>
      <c r="J272" s="20"/>
      <c r="K272" s="20"/>
      <c r="L272" s="20"/>
      <c r="M272" s="20"/>
      <c r="N272" s="20"/>
      <c r="O272" s="20"/>
      <c r="P272" s="20"/>
      <c r="Q272" s="20"/>
      <c r="R272" s="20"/>
      <c r="S272" s="20"/>
      <c r="T272" s="20"/>
      <c r="U272" s="20"/>
      <c r="V272" s="20"/>
      <c r="W272" s="20"/>
      <c r="X272" s="20"/>
      <c r="Y272" s="20"/>
      <c r="Z272" s="20"/>
      <c r="AA272" s="20"/>
    </row>
    <row r="273">
      <c r="A273" s="20"/>
      <c r="B273" s="24"/>
      <c r="C273" s="24"/>
      <c r="D273" s="20"/>
      <c r="E273" s="20"/>
      <c r="F273" s="24"/>
      <c r="G273" s="20"/>
      <c r="H273" s="20"/>
      <c r="I273" s="20"/>
      <c r="J273" s="20"/>
      <c r="K273" s="20"/>
      <c r="L273" s="20"/>
      <c r="M273" s="20"/>
      <c r="N273" s="20"/>
      <c r="O273" s="20"/>
      <c r="P273" s="20"/>
      <c r="Q273" s="20"/>
      <c r="R273" s="20"/>
      <c r="S273" s="20"/>
      <c r="T273" s="20"/>
      <c r="U273" s="20"/>
      <c r="V273" s="20"/>
      <c r="W273" s="20"/>
      <c r="X273" s="20"/>
      <c r="Y273" s="20"/>
      <c r="Z273" s="20"/>
      <c r="AA273" s="20"/>
    </row>
    <row r="274">
      <c r="A274" s="20"/>
      <c r="B274" s="24"/>
      <c r="C274" s="24"/>
      <c r="D274" s="20"/>
      <c r="E274" s="20"/>
      <c r="F274" s="24"/>
      <c r="G274" s="20"/>
      <c r="H274" s="20"/>
      <c r="I274" s="20"/>
      <c r="J274" s="20"/>
      <c r="K274" s="20"/>
      <c r="L274" s="20"/>
      <c r="M274" s="20"/>
      <c r="N274" s="20"/>
      <c r="O274" s="20"/>
      <c r="P274" s="20"/>
      <c r="Q274" s="20"/>
      <c r="R274" s="20"/>
      <c r="S274" s="20"/>
      <c r="T274" s="20"/>
      <c r="U274" s="20"/>
      <c r="V274" s="20"/>
      <c r="W274" s="20"/>
      <c r="X274" s="20"/>
      <c r="Y274" s="20"/>
      <c r="Z274" s="20"/>
      <c r="AA274" s="20"/>
    </row>
    <row r="275">
      <c r="A275" s="20"/>
      <c r="B275" s="24"/>
      <c r="C275" s="24"/>
      <c r="D275" s="20"/>
      <c r="E275" s="20"/>
      <c r="F275" s="24"/>
      <c r="G275" s="20"/>
      <c r="H275" s="20"/>
      <c r="I275" s="20"/>
      <c r="J275" s="20"/>
      <c r="K275" s="20"/>
      <c r="L275" s="20"/>
      <c r="M275" s="20"/>
      <c r="N275" s="20"/>
      <c r="O275" s="20"/>
      <c r="P275" s="20"/>
      <c r="Q275" s="20"/>
      <c r="R275" s="20"/>
      <c r="S275" s="20"/>
      <c r="T275" s="20"/>
      <c r="U275" s="20"/>
      <c r="V275" s="20"/>
      <c r="W275" s="20"/>
      <c r="X275" s="20"/>
      <c r="Y275" s="20"/>
      <c r="Z275" s="20"/>
      <c r="AA275" s="20"/>
    </row>
    <row r="276">
      <c r="A276" s="20"/>
      <c r="B276" s="24"/>
      <c r="C276" s="24"/>
      <c r="D276" s="20"/>
      <c r="E276" s="20"/>
      <c r="F276" s="24"/>
      <c r="G276" s="20"/>
      <c r="H276" s="20"/>
      <c r="I276" s="20"/>
      <c r="J276" s="20"/>
      <c r="K276" s="20"/>
      <c r="L276" s="20"/>
      <c r="M276" s="20"/>
      <c r="N276" s="20"/>
      <c r="O276" s="20"/>
      <c r="P276" s="20"/>
      <c r="Q276" s="20"/>
      <c r="R276" s="20"/>
      <c r="S276" s="20"/>
      <c r="T276" s="20"/>
      <c r="U276" s="20"/>
      <c r="V276" s="20"/>
      <c r="W276" s="20"/>
      <c r="X276" s="20"/>
      <c r="Y276" s="20"/>
      <c r="Z276" s="20"/>
      <c r="AA276" s="20"/>
    </row>
    <row r="277">
      <c r="A277" s="20"/>
      <c r="B277" s="24"/>
      <c r="C277" s="24"/>
      <c r="D277" s="20"/>
      <c r="E277" s="20"/>
      <c r="F277" s="24"/>
      <c r="G277" s="20"/>
      <c r="H277" s="20"/>
      <c r="I277" s="20"/>
      <c r="J277" s="20"/>
      <c r="K277" s="20"/>
      <c r="L277" s="20"/>
      <c r="M277" s="20"/>
      <c r="N277" s="20"/>
      <c r="O277" s="20"/>
      <c r="P277" s="20"/>
      <c r="Q277" s="20"/>
      <c r="R277" s="20"/>
      <c r="S277" s="20"/>
      <c r="T277" s="20"/>
      <c r="U277" s="20"/>
      <c r="V277" s="20"/>
      <c r="W277" s="20"/>
      <c r="X277" s="20"/>
      <c r="Y277" s="20"/>
      <c r="Z277" s="20"/>
      <c r="AA277" s="20"/>
    </row>
    <row r="278">
      <c r="A278" s="20"/>
      <c r="B278" s="24"/>
      <c r="C278" s="24"/>
      <c r="D278" s="20"/>
      <c r="E278" s="20"/>
      <c r="F278" s="24"/>
      <c r="G278" s="20"/>
      <c r="H278" s="20"/>
      <c r="I278" s="20"/>
      <c r="J278" s="20"/>
      <c r="K278" s="20"/>
      <c r="L278" s="20"/>
      <c r="M278" s="20"/>
      <c r="N278" s="20"/>
      <c r="O278" s="20"/>
      <c r="P278" s="20"/>
      <c r="Q278" s="20"/>
      <c r="R278" s="20"/>
      <c r="S278" s="20"/>
      <c r="T278" s="20"/>
      <c r="U278" s="20"/>
      <c r="V278" s="20"/>
      <c r="W278" s="20"/>
      <c r="X278" s="20"/>
      <c r="Y278" s="20"/>
      <c r="Z278" s="20"/>
      <c r="AA278" s="20"/>
    </row>
    <row r="279">
      <c r="A279" s="20"/>
      <c r="B279" s="24"/>
      <c r="C279" s="24"/>
      <c r="D279" s="20"/>
      <c r="E279" s="20"/>
      <c r="F279" s="24"/>
      <c r="G279" s="20"/>
      <c r="H279" s="20"/>
      <c r="I279" s="20"/>
      <c r="J279" s="20"/>
      <c r="K279" s="20"/>
      <c r="L279" s="20"/>
      <c r="M279" s="20"/>
      <c r="N279" s="20"/>
      <c r="O279" s="20"/>
      <c r="P279" s="20"/>
      <c r="Q279" s="20"/>
      <c r="R279" s="20"/>
      <c r="S279" s="20"/>
      <c r="T279" s="20"/>
      <c r="U279" s="20"/>
      <c r="V279" s="20"/>
      <c r="W279" s="20"/>
      <c r="X279" s="20"/>
      <c r="Y279" s="20"/>
      <c r="Z279" s="20"/>
      <c r="AA279" s="20"/>
    </row>
    <row r="280">
      <c r="A280" s="20"/>
      <c r="B280" s="24"/>
      <c r="C280" s="24"/>
      <c r="D280" s="20"/>
      <c r="E280" s="20"/>
      <c r="F280" s="24"/>
      <c r="G280" s="20"/>
      <c r="H280" s="20"/>
      <c r="I280" s="20"/>
      <c r="J280" s="20"/>
      <c r="K280" s="20"/>
      <c r="L280" s="20"/>
      <c r="M280" s="20"/>
      <c r="N280" s="20"/>
      <c r="O280" s="20"/>
      <c r="P280" s="20"/>
      <c r="Q280" s="20"/>
      <c r="R280" s="20"/>
      <c r="S280" s="20"/>
      <c r="T280" s="20"/>
      <c r="U280" s="20"/>
      <c r="V280" s="20"/>
      <c r="W280" s="20"/>
      <c r="X280" s="20"/>
      <c r="Y280" s="20"/>
      <c r="Z280" s="20"/>
      <c r="AA280" s="20"/>
    </row>
    <row r="281">
      <c r="A281" s="20"/>
      <c r="B281" s="24"/>
      <c r="C281" s="24"/>
      <c r="D281" s="20"/>
      <c r="E281" s="20"/>
      <c r="F281" s="24"/>
      <c r="G281" s="20"/>
      <c r="H281" s="20"/>
      <c r="I281" s="20"/>
      <c r="J281" s="20"/>
      <c r="K281" s="20"/>
      <c r="L281" s="20"/>
      <c r="M281" s="20"/>
      <c r="N281" s="20"/>
      <c r="O281" s="20"/>
      <c r="P281" s="20"/>
      <c r="Q281" s="20"/>
      <c r="R281" s="20"/>
      <c r="S281" s="20"/>
      <c r="T281" s="20"/>
      <c r="U281" s="20"/>
      <c r="V281" s="20"/>
      <c r="W281" s="20"/>
      <c r="X281" s="20"/>
      <c r="Y281" s="20"/>
      <c r="Z281" s="20"/>
      <c r="AA281" s="20"/>
    </row>
    <row r="282">
      <c r="A282" s="20"/>
      <c r="B282" s="24"/>
      <c r="C282" s="24"/>
      <c r="D282" s="20"/>
      <c r="E282" s="20"/>
      <c r="F282" s="24"/>
      <c r="G282" s="20"/>
      <c r="H282" s="20"/>
      <c r="I282" s="20"/>
      <c r="J282" s="20"/>
      <c r="K282" s="20"/>
      <c r="L282" s="20"/>
      <c r="M282" s="20"/>
      <c r="N282" s="20"/>
      <c r="O282" s="20"/>
      <c r="P282" s="20"/>
      <c r="Q282" s="20"/>
      <c r="R282" s="20"/>
      <c r="S282" s="20"/>
      <c r="T282" s="20"/>
      <c r="U282" s="20"/>
      <c r="V282" s="20"/>
      <c r="W282" s="20"/>
      <c r="X282" s="20"/>
      <c r="Y282" s="20"/>
      <c r="Z282" s="20"/>
      <c r="AA282" s="20"/>
    </row>
    <row r="283">
      <c r="A283" s="20"/>
      <c r="B283" s="24"/>
      <c r="C283" s="24"/>
      <c r="D283" s="20"/>
      <c r="E283" s="20"/>
      <c r="F283" s="24"/>
      <c r="G283" s="20"/>
      <c r="H283" s="20"/>
      <c r="I283" s="20"/>
      <c r="J283" s="20"/>
      <c r="K283" s="20"/>
      <c r="L283" s="20"/>
      <c r="M283" s="20"/>
      <c r="N283" s="20"/>
      <c r="O283" s="20"/>
      <c r="P283" s="20"/>
      <c r="Q283" s="20"/>
      <c r="R283" s="20"/>
      <c r="S283" s="20"/>
      <c r="T283" s="20"/>
      <c r="U283" s="20"/>
      <c r="V283" s="20"/>
      <c r="W283" s="20"/>
      <c r="X283" s="20"/>
      <c r="Y283" s="20"/>
      <c r="Z283" s="20"/>
      <c r="AA283" s="20"/>
    </row>
    <row r="284">
      <c r="A284" s="20"/>
      <c r="B284" s="24"/>
      <c r="C284" s="24"/>
      <c r="D284" s="20"/>
      <c r="E284" s="20"/>
      <c r="F284" s="24"/>
      <c r="G284" s="20"/>
      <c r="H284" s="20"/>
      <c r="I284" s="20"/>
      <c r="J284" s="20"/>
      <c r="K284" s="20"/>
      <c r="L284" s="20"/>
      <c r="M284" s="20"/>
      <c r="N284" s="20"/>
      <c r="O284" s="20"/>
      <c r="P284" s="20"/>
      <c r="Q284" s="20"/>
      <c r="R284" s="20"/>
      <c r="S284" s="20"/>
      <c r="T284" s="20"/>
      <c r="U284" s="20"/>
      <c r="V284" s="20"/>
      <c r="W284" s="20"/>
      <c r="X284" s="20"/>
      <c r="Y284" s="20"/>
      <c r="Z284" s="20"/>
      <c r="AA284" s="20"/>
    </row>
    <row r="285">
      <c r="A285" s="20"/>
      <c r="B285" s="24"/>
      <c r="C285" s="24"/>
      <c r="D285" s="20"/>
      <c r="E285" s="20"/>
      <c r="F285" s="24"/>
      <c r="G285" s="20"/>
      <c r="H285" s="20"/>
      <c r="I285" s="20"/>
      <c r="J285" s="20"/>
      <c r="K285" s="20"/>
      <c r="L285" s="20"/>
      <c r="M285" s="20"/>
      <c r="N285" s="20"/>
      <c r="O285" s="20"/>
      <c r="P285" s="20"/>
      <c r="Q285" s="20"/>
      <c r="R285" s="20"/>
      <c r="S285" s="20"/>
      <c r="T285" s="20"/>
      <c r="U285" s="20"/>
      <c r="V285" s="20"/>
      <c r="W285" s="20"/>
      <c r="X285" s="20"/>
      <c r="Y285" s="20"/>
      <c r="Z285" s="20"/>
      <c r="AA285" s="20"/>
    </row>
    <row r="286">
      <c r="A286" s="20"/>
      <c r="B286" s="24"/>
      <c r="C286" s="24"/>
      <c r="D286" s="20"/>
      <c r="E286" s="20"/>
      <c r="F286" s="24"/>
      <c r="G286" s="20"/>
      <c r="H286" s="20"/>
      <c r="I286" s="20"/>
      <c r="J286" s="20"/>
      <c r="K286" s="20"/>
      <c r="L286" s="20"/>
      <c r="M286" s="20"/>
      <c r="N286" s="20"/>
      <c r="O286" s="20"/>
      <c r="P286" s="20"/>
      <c r="Q286" s="20"/>
      <c r="R286" s="20"/>
      <c r="S286" s="20"/>
      <c r="T286" s="20"/>
      <c r="U286" s="20"/>
      <c r="V286" s="20"/>
      <c r="W286" s="20"/>
      <c r="X286" s="20"/>
      <c r="Y286" s="20"/>
      <c r="Z286" s="20"/>
      <c r="AA286" s="20"/>
    </row>
    <row r="287">
      <c r="A287" s="20"/>
      <c r="B287" s="24"/>
      <c r="C287" s="24"/>
      <c r="D287" s="20"/>
      <c r="E287" s="20"/>
      <c r="F287" s="24"/>
      <c r="G287" s="20"/>
      <c r="H287" s="20"/>
      <c r="I287" s="20"/>
      <c r="J287" s="20"/>
      <c r="K287" s="20"/>
      <c r="L287" s="20"/>
      <c r="M287" s="20"/>
      <c r="N287" s="20"/>
      <c r="O287" s="20"/>
      <c r="P287" s="20"/>
      <c r="Q287" s="20"/>
      <c r="R287" s="20"/>
      <c r="S287" s="20"/>
      <c r="T287" s="20"/>
      <c r="U287" s="20"/>
      <c r="V287" s="20"/>
      <c r="W287" s="20"/>
      <c r="X287" s="20"/>
      <c r="Y287" s="20"/>
      <c r="Z287" s="20"/>
      <c r="AA287" s="20"/>
    </row>
    <row r="288">
      <c r="A288" s="20"/>
      <c r="B288" s="24"/>
      <c r="C288" s="24"/>
      <c r="D288" s="20"/>
      <c r="E288" s="20"/>
      <c r="F288" s="24"/>
      <c r="G288" s="20"/>
      <c r="H288" s="20"/>
      <c r="I288" s="20"/>
      <c r="J288" s="20"/>
      <c r="K288" s="20"/>
      <c r="L288" s="20"/>
      <c r="M288" s="20"/>
      <c r="N288" s="20"/>
      <c r="O288" s="20"/>
      <c r="P288" s="20"/>
      <c r="Q288" s="20"/>
      <c r="R288" s="20"/>
      <c r="S288" s="20"/>
      <c r="T288" s="20"/>
      <c r="U288" s="20"/>
      <c r="V288" s="20"/>
      <c r="W288" s="20"/>
      <c r="X288" s="20"/>
      <c r="Y288" s="20"/>
      <c r="Z288" s="20"/>
      <c r="AA288" s="20"/>
    </row>
    <row r="289">
      <c r="A289" s="20"/>
      <c r="B289" s="24"/>
      <c r="C289" s="24"/>
      <c r="D289" s="20"/>
      <c r="E289" s="20"/>
      <c r="F289" s="24"/>
      <c r="G289" s="20"/>
      <c r="H289" s="20"/>
      <c r="I289" s="20"/>
      <c r="J289" s="20"/>
      <c r="K289" s="20"/>
      <c r="L289" s="20"/>
      <c r="M289" s="20"/>
      <c r="N289" s="20"/>
      <c r="O289" s="20"/>
      <c r="P289" s="20"/>
      <c r="Q289" s="20"/>
      <c r="R289" s="20"/>
      <c r="S289" s="20"/>
      <c r="T289" s="20"/>
      <c r="U289" s="20"/>
      <c r="V289" s="20"/>
      <c r="W289" s="20"/>
      <c r="X289" s="20"/>
      <c r="Y289" s="20"/>
      <c r="Z289" s="20"/>
      <c r="AA289" s="20"/>
    </row>
    <row r="290">
      <c r="A290" s="20"/>
      <c r="B290" s="24"/>
      <c r="C290" s="24"/>
      <c r="D290" s="20"/>
      <c r="E290" s="20"/>
      <c r="F290" s="24"/>
      <c r="G290" s="20"/>
      <c r="H290" s="20"/>
      <c r="I290" s="20"/>
      <c r="J290" s="20"/>
      <c r="K290" s="20"/>
      <c r="L290" s="20"/>
      <c r="M290" s="20"/>
      <c r="N290" s="20"/>
      <c r="O290" s="20"/>
      <c r="P290" s="20"/>
      <c r="Q290" s="20"/>
      <c r="R290" s="20"/>
      <c r="S290" s="20"/>
      <c r="T290" s="20"/>
      <c r="U290" s="20"/>
      <c r="V290" s="20"/>
      <c r="W290" s="20"/>
      <c r="X290" s="20"/>
      <c r="Y290" s="20"/>
      <c r="Z290" s="20"/>
      <c r="AA290" s="20"/>
    </row>
    <row r="291">
      <c r="A291" s="20"/>
      <c r="B291" s="24"/>
      <c r="C291" s="24"/>
      <c r="D291" s="20"/>
      <c r="E291" s="20"/>
      <c r="F291" s="24"/>
      <c r="G291" s="20"/>
      <c r="H291" s="20"/>
      <c r="I291" s="20"/>
      <c r="J291" s="20"/>
      <c r="K291" s="20"/>
      <c r="L291" s="20"/>
      <c r="M291" s="20"/>
      <c r="N291" s="20"/>
      <c r="O291" s="20"/>
      <c r="P291" s="20"/>
      <c r="Q291" s="20"/>
      <c r="R291" s="20"/>
      <c r="S291" s="20"/>
      <c r="T291" s="20"/>
      <c r="U291" s="20"/>
      <c r="V291" s="20"/>
      <c r="W291" s="20"/>
      <c r="X291" s="20"/>
      <c r="Y291" s="20"/>
      <c r="Z291" s="20"/>
      <c r="AA291" s="20"/>
    </row>
    <row r="292">
      <c r="A292" s="20"/>
      <c r="B292" s="24"/>
      <c r="C292" s="24"/>
      <c r="D292" s="20"/>
      <c r="E292" s="20"/>
      <c r="F292" s="24"/>
      <c r="G292" s="20"/>
      <c r="H292" s="20"/>
      <c r="I292" s="20"/>
      <c r="J292" s="20"/>
      <c r="K292" s="20"/>
      <c r="L292" s="20"/>
      <c r="M292" s="20"/>
      <c r="N292" s="20"/>
      <c r="O292" s="20"/>
      <c r="P292" s="20"/>
      <c r="Q292" s="20"/>
      <c r="R292" s="20"/>
      <c r="S292" s="20"/>
      <c r="T292" s="20"/>
      <c r="U292" s="20"/>
      <c r="V292" s="20"/>
      <c r="W292" s="20"/>
      <c r="X292" s="20"/>
      <c r="Y292" s="20"/>
      <c r="Z292" s="20"/>
      <c r="AA292" s="20"/>
    </row>
    <row r="293">
      <c r="A293" s="20"/>
      <c r="B293" s="24"/>
      <c r="C293" s="24"/>
      <c r="D293" s="20"/>
      <c r="E293" s="20"/>
      <c r="F293" s="24"/>
      <c r="G293" s="20"/>
      <c r="H293" s="20"/>
      <c r="I293" s="20"/>
      <c r="J293" s="20"/>
      <c r="K293" s="20"/>
      <c r="L293" s="20"/>
      <c r="M293" s="20"/>
      <c r="N293" s="20"/>
      <c r="O293" s="20"/>
      <c r="P293" s="20"/>
      <c r="Q293" s="20"/>
      <c r="R293" s="20"/>
      <c r="S293" s="20"/>
      <c r="T293" s="20"/>
      <c r="U293" s="20"/>
      <c r="V293" s="20"/>
      <c r="W293" s="20"/>
      <c r="X293" s="20"/>
      <c r="Y293" s="20"/>
      <c r="Z293" s="20"/>
      <c r="AA293" s="20"/>
    </row>
    <row r="294">
      <c r="A294" s="20"/>
      <c r="B294" s="24"/>
      <c r="C294" s="24"/>
      <c r="D294" s="20"/>
      <c r="E294" s="20"/>
      <c r="F294" s="24"/>
      <c r="G294" s="20"/>
      <c r="H294" s="20"/>
      <c r="I294" s="20"/>
      <c r="J294" s="20"/>
      <c r="K294" s="20"/>
      <c r="L294" s="20"/>
      <c r="M294" s="20"/>
      <c r="N294" s="20"/>
      <c r="O294" s="20"/>
      <c r="P294" s="20"/>
      <c r="Q294" s="20"/>
      <c r="R294" s="20"/>
      <c r="S294" s="20"/>
      <c r="T294" s="20"/>
      <c r="U294" s="20"/>
      <c r="V294" s="20"/>
      <c r="W294" s="20"/>
      <c r="X294" s="20"/>
      <c r="Y294" s="20"/>
      <c r="Z294" s="20"/>
      <c r="AA294" s="20"/>
    </row>
    <row r="295">
      <c r="A295" s="20"/>
      <c r="B295" s="24"/>
      <c r="C295" s="24"/>
      <c r="D295" s="20"/>
      <c r="E295" s="20"/>
      <c r="F295" s="24"/>
      <c r="G295" s="20"/>
      <c r="H295" s="20"/>
      <c r="I295" s="20"/>
      <c r="J295" s="20"/>
      <c r="K295" s="20"/>
      <c r="L295" s="20"/>
      <c r="M295" s="20"/>
      <c r="N295" s="20"/>
      <c r="O295" s="20"/>
      <c r="P295" s="20"/>
      <c r="Q295" s="20"/>
      <c r="R295" s="20"/>
      <c r="S295" s="20"/>
      <c r="T295" s="20"/>
      <c r="U295" s="20"/>
      <c r="V295" s="20"/>
      <c r="W295" s="20"/>
      <c r="X295" s="20"/>
      <c r="Y295" s="20"/>
      <c r="Z295" s="20"/>
      <c r="AA295" s="20"/>
    </row>
    <row r="296">
      <c r="A296" s="20"/>
      <c r="B296" s="24"/>
      <c r="C296" s="24"/>
      <c r="D296" s="20"/>
      <c r="E296" s="20"/>
      <c r="F296" s="24"/>
      <c r="G296" s="20"/>
      <c r="H296" s="20"/>
      <c r="I296" s="20"/>
      <c r="J296" s="20"/>
      <c r="K296" s="20"/>
      <c r="L296" s="20"/>
      <c r="M296" s="20"/>
      <c r="N296" s="20"/>
      <c r="O296" s="20"/>
      <c r="P296" s="20"/>
      <c r="Q296" s="20"/>
      <c r="R296" s="20"/>
      <c r="S296" s="20"/>
      <c r="T296" s="20"/>
      <c r="U296" s="20"/>
      <c r="V296" s="20"/>
      <c r="W296" s="20"/>
      <c r="X296" s="20"/>
      <c r="Y296" s="20"/>
      <c r="Z296" s="20"/>
      <c r="AA296" s="20"/>
    </row>
    <row r="297">
      <c r="A297" s="20"/>
      <c r="B297" s="24"/>
      <c r="C297" s="24"/>
      <c r="D297" s="20"/>
      <c r="E297" s="20"/>
      <c r="F297" s="24"/>
      <c r="G297" s="20"/>
      <c r="H297" s="20"/>
      <c r="I297" s="20"/>
      <c r="J297" s="20"/>
      <c r="K297" s="20"/>
      <c r="L297" s="20"/>
      <c r="M297" s="20"/>
      <c r="N297" s="20"/>
      <c r="O297" s="20"/>
      <c r="P297" s="20"/>
      <c r="Q297" s="20"/>
      <c r="R297" s="20"/>
      <c r="S297" s="20"/>
      <c r="T297" s="20"/>
      <c r="U297" s="20"/>
      <c r="V297" s="20"/>
      <c r="W297" s="20"/>
      <c r="X297" s="20"/>
      <c r="Y297" s="20"/>
      <c r="Z297" s="20"/>
      <c r="AA297" s="20"/>
    </row>
    <row r="298">
      <c r="A298" s="20"/>
      <c r="B298" s="24"/>
      <c r="C298" s="24"/>
      <c r="D298" s="20"/>
      <c r="E298" s="20"/>
      <c r="F298" s="24"/>
      <c r="G298" s="20"/>
      <c r="H298" s="20"/>
      <c r="I298" s="20"/>
      <c r="J298" s="20"/>
      <c r="K298" s="20"/>
      <c r="L298" s="20"/>
      <c r="M298" s="20"/>
      <c r="N298" s="20"/>
      <c r="O298" s="20"/>
      <c r="P298" s="20"/>
      <c r="Q298" s="20"/>
      <c r="R298" s="20"/>
      <c r="S298" s="20"/>
      <c r="T298" s="20"/>
      <c r="U298" s="20"/>
      <c r="V298" s="20"/>
      <c r="W298" s="20"/>
      <c r="X298" s="20"/>
      <c r="Y298" s="20"/>
      <c r="Z298" s="20"/>
      <c r="AA298" s="20"/>
    </row>
    <row r="299">
      <c r="A299" s="20"/>
      <c r="B299" s="24"/>
      <c r="C299" s="24"/>
      <c r="D299" s="20"/>
      <c r="E299" s="20"/>
      <c r="F299" s="24"/>
      <c r="G299" s="20"/>
      <c r="H299" s="20"/>
      <c r="I299" s="20"/>
      <c r="J299" s="20"/>
      <c r="K299" s="20"/>
      <c r="L299" s="20"/>
      <c r="M299" s="20"/>
      <c r="N299" s="20"/>
      <c r="O299" s="20"/>
      <c r="P299" s="20"/>
      <c r="Q299" s="20"/>
      <c r="R299" s="20"/>
      <c r="S299" s="20"/>
      <c r="T299" s="20"/>
      <c r="U299" s="20"/>
      <c r="V299" s="20"/>
      <c r="W299" s="20"/>
      <c r="X299" s="20"/>
      <c r="Y299" s="20"/>
      <c r="Z299" s="20"/>
      <c r="AA299" s="20"/>
    </row>
    <row r="300">
      <c r="A300" s="20"/>
      <c r="B300" s="24"/>
      <c r="C300" s="24"/>
      <c r="D300" s="20"/>
      <c r="E300" s="20"/>
      <c r="F300" s="24"/>
      <c r="G300" s="20"/>
      <c r="H300" s="20"/>
      <c r="I300" s="20"/>
      <c r="J300" s="20"/>
      <c r="K300" s="20"/>
      <c r="L300" s="20"/>
      <c r="M300" s="20"/>
      <c r="N300" s="20"/>
      <c r="O300" s="20"/>
      <c r="P300" s="20"/>
      <c r="Q300" s="20"/>
      <c r="R300" s="20"/>
      <c r="S300" s="20"/>
      <c r="T300" s="20"/>
      <c r="U300" s="20"/>
      <c r="V300" s="20"/>
      <c r="W300" s="20"/>
      <c r="X300" s="20"/>
      <c r="Y300" s="20"/>
      <c r="Z300" s="20"/>
      <c r="AA300" s="20"/>
    </row>
    <row r="301">
      <c r="A301" s="20"/>
      <c r="B301" s="24"/>
      <c r="C301" s="24"/>
      <c r="D301" s="20"/>
      <c r="E301" s="20"/>
      <c r="F301" s="24"/>
      <c r="G301" s="20"/>
      <c r="H301" s="20"/>
      <c r="I301" s="20"/>
      <c r="J301" s="20"/>
      <c r="K301" s="20"/>
      <c r="L301" s="20"/>
      <c r="M301" s="20"/>
      <c r="N301" s="20"/>
      <c r="O301" s="20"/>
      <c r="P301" s="20"/>
      <c r="Q301" s="20"/>
      <c r="R301" s="20"/>
      <c r="S301" s="20"/>
      <c r="T301" s="20"/>
      <c r="U301" s="20"/>
      <c r="V301" s="20"/>
      <c r="W301" s="20"/>
      <c r="X301" s="20"/>
      <c r="Y301" s="20"/>
      <c r="Z301" s="20"/>
      <c r="AA301" s="20"/>
    </row>
    <row r="302">
      <c r="A302" s="20"/>
      <c r="B302" s="24"/>
      <c r="C302" s="24"/>
      <c r="D302" s="20"/>
      <c r="E302" s="20"/>
      <c r="F302" s="24"/>
      <c r="G302" s="20"/>
      <c r="H302" s="20"/>
      <c r="I302" s="20"/>
      <c r="J302" s="20"/>
      <c r="K302" s="20"/>
      <c r="L302" s="20"/>
      <c r="M302" s="20"/>
      <c r="N302" s="20"/>
      <c r="O302" s="20"/>
      <c r="P302" s="20"/>
      <c r="Q302" s="20"/>
      <c r="R302" s="20"/>
      <c r="S302" s="20"/>
      <c r="T302" s="20"/>
      <c r="U302" s="20"/>
      <c r="V302" s="20"/>
      <c r="W302" s="20"/>
      <c r="X302" s="20"/>
      <c r="Y302" s="20"/>
      <c r="Z302" s="20"/>
      <c r="AA302" s="20"/>
    </row>
    <row r="303">
      <c r="A303" s="20"/>
      <c r="B303" s="24"/>
      <c r="C303" s="24"/>
      <c r="D303" s="20"/>
      <c r="E303" s="20"/>
      <c r="F303" s="24"/>
      <c r="G303" s="20"/>
      <c r="H303" s="20"/>
      <c r="I303" s="20"/>
      <c r="J303" s="20"/>
      <c r="K303" s="20"/>
      <c r="L303" s="20"/>
      <c r="M303" s="20"/>
      <c r="N303" s="20"/>
      <c r="O303" s="20"/>
      <c r="P303" s="20"/>
      <c r="Q303" s="20"/>
      <c r="R303" s="20"/>
      <c r="S303" s="20"/>
      <c r="T303" s="20"/>
      <c r="U303" s="20"/>
      <c r="V303" s="20"/>
      <c r="W303" s="20"/>
      <c r="X303" s="20"/>
      <c r="Y303" s="20"/>
      <c r="Z303" s="20"/>
      <c r="AA303" s="20"/>
    </row>
    <row r="304">
      <c r="A304" s="20"/>
      <c r="B304" s="24"/>
      <c r="C304" s="24"/>
      <c r="D304" s="20"/>
      <c r="E304" s="20"/>
      <c r="F304" s="24"/>
      <c r="G304" s="20"/>
      <c r="H304" s="20"/>
      <c r="I304" s="20"/>
      <c r="J304" s="20"/>
      <c r="K304" s="20"/>
      <c r="L304" s="20"/>
      <c r="M304" s="20"/>
      <c r="N304" s="20"/>
      <c r="O304" s="20"/>
      <c r="P304" s="20"/>
      <c r="Q304" s="20"/>
      <c r="R304" s="20"/>
      <c r="S304" s="20"/>
      <c r="T304" s="20"/>
      <c r="U304" s="20"/>
      <c r="V304" s="20"/>
      <c r="W304" s="20"/>
      <c r="X304" s="20"/>
      <c r="Y304" s="20"/>
      <c r="Z304" s="20"/>
      <c r="AA304" s="20"/>
    </row>
    <row r="305">
      <c r="A305" s="20"/>
      <c r="B305" s="24"/>
      <c r="C305" s="24"/>
      <c r="D305" s="20"/>
      <c r="E305" s="20"/>
      <c r="F305" s="24"/>
      <c r="G305" s="20"/>
      <c r="H305" s="20"/>
      <c r="I305" s="20"/>
      <c r="J305" s="20"/>
      <c r="K305" s="20"/>
      <c r="L305" s="20"/>
      <c r="M305" s="20"/>
      <c r="N305" s="20"/>
      <c r="O305" s="20"/>
      <c r="P305" s="20"/>
      <c r="Q305" s="20"/>
      <c r="R305" s="20"/>
      <c r="S305" s="20"/>
      <c r="T305" s="20"/>
      <c r="U305" s="20"/>
      <c r="V305" s="20"/>
      <c r="W305" s="20"/>
      <c r="X305" s="20"/>
      <c r="Y305" s="20"/>
      <c r="Z305" s="20"/>
      <c r="AA305" s="20"/>
    </row>
    <row r="306">
      <c r="A306" s="20"/>
      <c r="B306" s="24"/>
      <c r="C306" s="24"/>
      <c r="D306" s="20"/>
      <c r="E306" s="20"/>
      <c r="F306" s="24"/>
      <c r="G306" s="20"/>
      <c r="H306" s="20"/>
      <c r="I306" s="20"/>
      <c r="J306" s="20"/>
      <c r="K306" s="20"/>
      <c r="L306" s="20"/>
      <c r="M306" s="20"/>
      <c r="N306" s="20"/>
      <c r="O306" s="20"/>
      <c r="P306" s="20"/>
      <c r="Q306" s="20"/>
      <c r="R306" s="20"/>
      <c r="S306" s="20"/>
      <c r="T306" s="20"/>
      <c r="U306" s="20"/>
      <c r="V306" s="20"/>
      <c r="W306" s="20"/>
      <c r="X306" s="20"/>
      <c r="Y306" s="20"/>
      <c r="Z306" s="20"/>
      <c r="AA306" s="20"/>
    </row>
    <row r="307">
      <c r="A307" s="20"/>
      <c r="B307" s="24"/>
      <c r="C307" s="24"/>
      <c r="D307" s="20"/>
      <c r="E307" s="20"/>
      <c r="F307" s="24"/>
      <c r="G307" s="20"/>
      <c r="H307" s="20"/>
      <c r="I307" s="20"/>
      <c r="J307" s="20"/>
      <c r="K307" s="20"/>
      <c r="L307" s="20"/>
      <c r="M307" s="20"/>
      <c r="N307" s="20"/>
      <c r="O307" s="20"/>
      <c r="P307" s="20"/>
      <c r="Q307" s="20"/>
      <c r="R307" s="20"/>
      <c r="S307" s="20"/>
      <c r="T307" s="20"/>
      <c r="U307" s="20"/>
      <c r="V307" s="20"/>
      <c r="W307" s="20"/>
      <c r="X307" s="20"/>
      <c r="Y307" s="20"/>
      <c r="Z307" s="20"/>
      <c r="AA307" s="20"/>
    </row>
    <row r="308">
      <c r="A308" s="20"/>
      <c r="B308" s="24"/>
      <c r="C308" s="24"/>
      <c r="D308" s="20"/>
      <c r="E308" s="20"/>
      <c r="F308" s="24"/>
      <c r="G308" s="20"/>
      <c r="H308" s="20"/>
      <c r="I308" s="20"/>
      <c r="J308" s="20"/>
      <c r="K308" s="20"/>
      <c r="L308" s="20"/>
      <c r="M308" s="20"/>
      <c r="N308" s="20"/>
      <c r="O308" s="20"/>
      <c r="P308" s="20"/>
      <c r="Q308" s="20"/>
      <c r="R308" s="20"/>
      <c r="S308" s="20"/>
      <c r="T308" s="20"/>
      <c r="U308" s="20"/>
      <c r="V308" s="20"/>
      <c r="W308" s="20"/>
      <c r="X308" s="20"/>
      <c r="Y308" s="20"/>
      <c r="Z308" s="20"/>
      <c r="AA308" s="20"/>
    </row>
    <row r="309">
      <c r="A309" s="20"/>
      <c r="B309" s="24"/>
      <c r="C309" s="24"/>
      <c r="D309" s="20"/>
      <c r="E309" s="20"/>
      <c r="F309" s="24"/>
      <c r="G309" s="20"/>
      <c r="H309" s="20"/>
      <c r="I309" s="20"/>
      <c r="J309" s="20"/>
      <c r="K309" s="20"/>
      <c r="L309" s="20"/>
      <c r="M309" s="20"/>
      <c r="N309" s="20"/>
      <c r="O309" s="20"/>
      <c r="P309" s="20"/>
      <c r="Q309" s="20"/>
      <c r="R309" s="20"/>
      <c r="S309" s="20"/>
      <c r="T309" s="20"/>
      <c r="U309" s="20"/>
      <c r="V309" s="20"/>
      <c r="W309" s="20"/>
      <c r="X309" s="20"/>
      <c r="Y309" s="20"/>
      <c r="Z309" s="20"/>
      <c r="AA309" s="20"/>
    </row>
    <row r="310">
      <c r="A310" s="20"/>
      <c r="B310" s="24"/>
      <c r="C310" s="24"/>
      <c r="D310" s="20"/>
      <c r="E310" s="20"/>
      <c r="F310" s="24"/>
      <c r="G310" s="20"/>
      <c r="H310" s="20"/>
      <c r="I310" s="20"/>
      <c r="J310" s="20"/>
      <c r="K310" s="20"/>
      <c r="L310" s="20"/>
      <c r="M310" s="20"/>
      <c r="N310" s="20"/>
      <c r="O310" s="20"/>
      <c r="P310" s="20"/>
      <c r="Q310" s="20"/>
      <c r="R310" s="20"/>
      <c r="S310" s="20"/>
      <c r="T310" s="20"/>
      <c r="U310" s="20"/>
      <c r="V310" s="20"/>
      <c r="W310" s="20"/>
      <c r="X310" s="20"/>
      <c r="Y310" s="20"/>
      <c r="Z310" s="20"/>
      <c r="AA310" s="20"/>
    </row>
    <row r="311">
      <c r="A311" s="20"/>
      <c r="B311" s="24"/>
      <c r="C311" s="24"/>
      <c r="D311" s="20"/>
      <c r="E311" s="20"/>
      <c r="F311" s="24"/>
      <c r="G311" s="20"/>
      <c r="H311" s="20"/>
      <c r="I311" s="20"/>
      <c r="J311" s="20"/>
      <c r="K311" s="20"/>
      <c r="L311" s="20"/>
      <c r="M311" s="20"/>
      <c r="N311" s="20"/>
      <c r="O311" s="20"/>
      <c r="P311" s="20"/>
      <c r="Q311" s="20"/>
      <c r="R311" s="20"/>
      <c r="S311" s="20"/>
      <c r="T311" s="20"/>
      <c r="U311" s="20"/>
      <c r="V311" s="20"/>
      <c r="W311" s="20"/>
      <c r="X311" s="20"/>
      <c r="Y311" s="20"/>
      <c r="Z311" s="20"/>
      <c r="AA311" s="20"/>
    </row>
    <row r="312">
      <c r="A312" s="20"/>
      <c r="B312" s="24"/>
      <c r="C312" s="24"/>
      <c r="D312" s="20"/>
      <c r="E312" s="20"/>
      <c r="F312" s="24"/>
      <c r="G312" s="20"/>
      <c r="H312" s="20"/>
      <c r="I312" s="20"/>
      <c r="J312" s="20"/>
      <c r="K312" s="20"/>
      <c r="L312" s="20"/>
      <c r="M312" s="20"/>
      <c r="N312" s="20"/>
      <c r="O312" s="20"/>
      <c r="P312" s="20"/>
      <c r="Q312" s="20"/>
      <c r="R312" s="20"/>
      <c r="S312" s="20"/>
      <c r="T312" s="20"/>
      <c r="U312" s="20"/>
      <c r="V312" s="20"/>
      <c r="W312" s="20"/>
      <c r="X312" s="20"/>
      <c r="Y312" s="20"/>
      <c r="Z312" s="20"/>
      <c r="AA312" s="20"/>
    </row>
    <row r="313">
      <c r="A313" s="20"/>
      <c r="B313" s="24"/>
      <c r="C313" s="24"/>
      <c r="D313" s="20"/>
      <c r="E313" s="20"/>
      <c r="F313" s="24"/>
      <c r="G313" s="20"/>
      <c r="H313" s="20"/>
      <c r="I313" s="20"/>
      <c r="J313" s="20"/>
      <c r="K313" s="20"/>
      <c r="L313" s="20"/>
      <c r="M313" s="20"/>
      <c r="N313" s="20"/>
      <c r="O313" s="20"/>
      <c r="P313" s="20"/>
      <c r="Q313" s="20"/>
      <c r="R313" s="20"/>
      <c r="S313" s="20"/>
      <c r="T313" s="20"/>
      <c r="U313" s="20"/>
      <c r="V313" s="20"/>
      <c r="W313" s="20"/>
      <c r="X313" s="20"/>
      <c r="Y313" s="20"/>
      <c r="Z313" s="20"/>
      <c r="AA313" s="20"/>
    </row>
    <row r="314">
      <c r="A314" s="20"/>
      <c r="B314" s="24"/>
      <c r="C314" s="24"/>
      <c r="D314" s="20"/>
      <c r="E314" s="20"/>
      <c r="F314" s="24"/>
      <c r="G314" s="20"/>
      <c r="H314" s="20"/>
      <c r="I314" s="20"/>
      <c r="J314" s="20"/>
      <c r="K314" s="20"/>
      <c r="L314" s="20"/>
      <c r="M314" s="20"/>
      <c r="N314" s="20"/>
      <c r="O314" s="20"/>
      <c r="P314" s="20"/>
      <c r="Q314" s="20"/>
      <c r="R314" s="20"/>
      <c r="S314" s="20"/>
      <c r="T314" s="20"/>
      <c r="U314" s="20"/>
      <c r="V314" s="20"/>
      <c r="W314" s="20"/>
      <c r="X314" s="20"/>
      <c r="Y314" s="20"/>
      <c r="Z314" s="20"/>
      <c r="AA314" s="20"/>
    </row>
    <row r="315">
      <c r="A315" s="20"/>
      <c r="B315" s="24"/>
      <c r="C315" s="24"/>
      <c r="D315" s="20"/>
      <c r="E315" s="20"/>
      <c r="F315" s="24"/>
      <c r="G315" s="20"/>
      <c r="H315" s="20"/>
      <c r="I315" s="20"/>
      <c r="J315" s="20"/>
      <c r="K315" s="20"/>
      <c r="L315" s="20"/>
      <c r="M315" s="20"/>
      <c r="N315" s="20"/>
      <c r="O315" s="20"/>
      <c r="P315" s="20"/>
      <c r="Q315" s="20"/>
      <c r="R315" s="20"/>
      <c r="S315" s="20"/>
      <c r="T315" s="20"/>
      <c r="U315" s="20"/>
      <c r="V315" s="20"/>
      <c r="W315" s="20"/>
      <c r="X315" s="20"/>
      <c r="Y315" s="20"/>
      <c r="Z315" s="20"/>
      <c r="AA315" s="20"/>
    </row>
    <row r="316">
      <c r="A316" s="20"/>
      <c r="B316" s="24"/>
      <c r="C316" s="24"/>
      <c r="D316" s="20"/>
      <c r="E316" s="20"/>
      <c r="F316" s="24"/>
      <c r="G316" s="20"/>
      <c r="H316" s="20"/>
      <c r="I316" s="20"/>
      <c r="J316" s="20"/>
      <c r="K316" s="20"/>
      <c r="L316" s="20"/>
      <c r="M316" s="20"/>
      <c r="N316" s="20"/>
      <c r="O316" s="20"/>
      <c r="P316" s="20"/>
      <c r="Q316" s="20"/>
      <c r="R316" s="20"/>
      <c r="S316" s="20"/>
      <c r="T316" s="20"/>
      <c r="U316" s="20"/>
      <c r="V316" s="20"/>
      <c r="W316" s="20"/>
      <c r="X316" s="20"/>
      <c r="Y316" s="20"/>
      <c r="Z316" s="20"/>
      <c r="AA316" s="20"/>
    </row>
    <row r="317">
      <c r="A317" s="20"/>
      <c r="B317" s="24"/>
      <c r="C317" s="24"/>
      <c r="D317" s="20"/>
      <c r="E317" s="20"/>
      <c r="F317" s="24"/>
      <c r="G317" s="20"/>
      <c r="H317" s="20"/>
      <c r="I317" s="20"/>
      <c r="J317" s="20"/>
      <c r="K317" s="20"/>
      <c r="L317" s="20"/>
      <c r="M317" s="20"/>
      <c r="N317" s="20"/>
      <c r="O317" s="20"/>
      <c r="P317" s="20"/>
      <c r="Q317" s="20"/>
      <c r="R317" s="20"/>
      <c r="S317" s="20"/>
      <c r="T317" s="20"/>
      <c r="U317" s="20"/>
      <c r="V317" s="20"/>
      <c r="W317" s="20"/>
      <c r="X317" s="20"/>
      <c r="Y317" s="20"/>
      <c r="Z317" s="20"/>
      <c r="AA317" s="20"/>
    </row>
    <row r="318">
      <c r="A318" s="20"/>
      <c r="B318" s="24"/>
      <c r="C318" s="24"/>
      <c r="D318" s="20"/>
      <c r="E318" s="20"/>
      <c r="F318" s="24"/>
      <c r="G318" s="20"/>
      <c r="H318" s="20"/>
      <c r="I318" s="20"/>
      <c r="J318" s="20"/>
      <c r="K318" s="20"/>
      <c r="L318" s="20"/>
      <c r="M318" s="20"/>
      <c r="N318" s="20"/>
      <c r="O318" s="20"/>
      <c r="P318" s="20"/>
      <c r="Q318" s="20"/>
      <c r="R318" s="20"/>
      <c r="S318" s="20"/>
      <c r="T318" s="20"/>
      <c r="U318" s="20"/>
      <c r="V318" s="20"/>
      <c r="W318" s="20"/>
      <c r="X318" s="20"/>
      <c r="Y318" s="20"/>
      <c r="Z318" s="20"/>
      <c r="AA318" s="20"/>
    </row>
    <row r="319">
      <c r="A319" s="20"/>
      <c r="B319" s="24"/>
      <c r="C319" s="24"/>
      <c r="D319" s="20"/>
      <c r="E319" s="20"/>
      <c r="F319" s="24"/>
      <c r="G319" s="20"/>
      <c r="H319" s="20"/>
      <c r="I319" s="20"/>
      <c r="J319" s="20"/>
      <c r="K319" s="20"/>
      <c r="L319" s="20"/>
      <c r="M319" s="20"/>
      <c r="N319" s="20"/>
      <c r="O319" s="20"/>
      <c r="P319" s="20"/>
      <c r="Q319" s="20"/>
      <c r="R319" s="20"/>
      <c r="S319" s="20"/>
      <c r="T319" s="20"/>
      <c r="U319" s="20"/>
      <c r="V319" s="20"/>
      <c r="W319" s="20"/>
      <c r="X319" s="20"/>
      <c r="Y319" s="20"/>
      <c r="Z319" s="20"/>
      <c r="AA319" s="20"/>
    </row>
    <row r="320">
      <c r="A320" s="20"/>
      <c r="B320" s="24"/>
      <c r="C320" s="24"/>
      <c r="D320" s="20"/>
      <c r="E320" s="20"/>
      <c r="F320" s="24"/>
      <c r="G320" s="20"/>
      <c r="H320" s="20"/>
      <c r="I320" s="20"/>
      <c r="J320" s="20"/>
      <c r="K320" s="20"/>
      <c r="L320" s="20"/>
      <c r="M320" s="20"/>
      <c r="N320" s="20"/>
      <c r="O320" s="20"/>
      <c r="P320" s="20"/>
      <c r="Q320" s="20"/>
      <c r="R320" s="20"/>
      <c r="S320" s="20"/>
      <c r="T320" s="20"/>
      <c r="U320" s="20"/>
      <c r="V320" s="20"/>
      <c r="W320" s="20"/>
      <c r="X320" s="20"/>
      <c r="Y320" s="20"/>
      <c r="Z320" s="20"/>
      <c r="AA320" s="20"/>
    </row>
    <row r="321">
      <c r="A321" s="20"/>
      <c r="B321" s="24"/>
      <c r="C321" s="24"/>
      <c r="D321" s="20"/>
      <c r="E321" s="20"/>
      <c r="F321" s="24"/>
      <c r="G321" s="20"/>
      <c r="H321" s="20"/>
      <c r="I321" s="20"/>
      <c r="J321" s="20"/>
      <c r="K321" s="20"/>
      <c r="L321" s="20"/>
      <c r="M321" s="20"/>
      <c r="N321" s="20"/>
      <c r="O321" s="20"/>
      <c r="P321" s="20"/>
      <c r="Q321" s="20"/>
      <c r="R321" s="20"/>
      <c r="S321" s="20"/>
      <c r="T321" s="20"/>
      <c r="U321" s="20"/>
      <c r="V321" s="20"/>
      <c r="W321" s="20"/>
      <c r="X321" s="20"/>
      <c r="Y321" s="20"/>
      <c r="Z321" s="20"/>
      <c r="AA321" s="20"/>
    </row>
    <row r="322">
      <c r="A322" s="20"/>
      <c r="B322" s="24"/>
      <c r="C322" s="24"/>
      <c r="D322" s="20"/>
      <c r="E322" s="20"/>
      <c r="F322" s="24"/>
      <c r="G322" s="20"/>
      <c r="H322" s="20"/>
      <c r="I322" s="20"/>
      <c r="J322" s="20"/>
      <c r="K322" s="20"/>
      <c r="L322" s="20"/>
      <c r="M322" s="20"/>
      <c r="N322" s="20"/>
      <c r="O322" s="20"/>
      <c r="P322" s="20"/>
      <c r="Q322" s="20"/>
      <c r="R322" s="20"/>
      <c r="S322" s="20"/>
      <c r="T322" s="20"/>
      <c r="U322" s="20"/>
      <c r="V322" s="20"/>
      <c r="W322" s="20"/>
      <c r="X322" s="20"/>
      <c r="Y322" s="20"/>
      <c r="Z322" s="20"/>
      <c r="AA322" s="20"/>
    </row>
    <row r="323">
      <c r="A323" s="20"/>
      <c r="B323" s="24"/>
      <c r="C323" s="24"/>
      <c r="D323" s="20"/>
      <c r="E323" s="20"/>
      <c r="F323" s="24"/>
      <c r="G323" s="20"/>
      <c r="H323" s="20"/>
      <c r="I323" s="20"/>
      <c r="J323" s="20"/>
      <c r="K323" s="20"/>
      <c r="L323" s="20"/>
      <c r="M323" s="20"/>
      <c r="N323" s="20"/>
      <c r="O323" s="20"/>
      <c r="P323" s="20"/>
      <c r="Q323" s="20"/>
      <c r="R323" s="20"/>
      <c r="S323" s="20"/>
      <c r="T323" s="20"/>
      <c r="U323" s="20"/>
      <c r="V323" s="20"/>
      <c r="W323" s="20"/>
      <c r="X323" s="20"/>
      <c r="Y323" s="20"/>
      <c r="Z323" s="20"/>
      <c r="AA323" s="20"/>
    </row>
    <row r="324">
      <c r="A324" s="20"/>
      <c r="B324" s="24"/>
      <c r="C324" s="24"/>
      <c r="D324" s="20"/>
      <c r="E324" s="20"/>
      <c r="F324" s="24"/>
      <c r="G324" s="20"/>
      <c r="H324" s="20"/>
      <c r="I324" s="20"/>
      <c r="J324" s="20"/>
      <c r="K324" s="20"/>
      <c r="L324" s="20"/>
      <c r="M324" s="20"/>
      <c r="N324" s="20"/>
      <c r="O324" s="20"/>
      <c r="P324" s="20"/>
      <c r="Q324" s="20"/>
      <c r="R324" s="20"/>
      <c r="S324" s="20"/>
      <c r="T324" s="20"/>
      <c r="U324" s="20"/>
      <c r="V324" s="20"/>
      <c r="W324" s="20"/>
      <c r="X324" s="20"/>
      <c r="Y324" s="20"/>
      <c r="Z324" s="20"/>
      <c r="AA324" s="20"/>
    </row>
    <row r="325">
      <c r="A325" s="20"/>
      <c r="B325" s="24"/>
      <c r="C325" s="24"/>
      <c r="D325" s="20"/>
      <c r="E325" s="20"/>
      <c r="F325" s="24"/>
      <c r="G325" s="20"/>
      <c r="H325" s="20"/>
      <c r="I325" s="20"/>
      <c r="J325" s="20"/>
      <c r="K325" s="20"/>
      <c r="L325" s="20"/>
      <c r="M325" s="20"/>
      <c r="N325" s="20"/>
      <c r="O325" s="20"/>
      <c r="P325" s="20"/>
      <c r="Q325" s="20"/>
      <c r="R325" s="20"/>
      <c r="S325" s="20"/>
      <c r="T325" s="20"/>
      <c r="U325" s="20"/>
      <c r="V325" s="20"/>
      <c r="W325" s="20"/>
      <c r="X325" s="20"/>
      <c r="Y325" s="20"/>
      <c r="Z325" s="20"/>
      <c r="AA325" s="20"/>
    </row>
    <row r="326">
      <c r="A326" s="20"/>
      <c r="B326" s="24"/>
      <c r="C326" s="24"/>
      <c r="D326" s="20"/>
      <c r="E326" s="20"/>
      <c r="F326" s="24"/>
      <c r="G326" s="20"/>
      <c r="H326" s="20"/>
      <c r="I326" s="20"/>
      <c r="J326" s="20"/>
      <c r="K326" s="20"/>
      <c r="L326" s="20"/>
      <c r="M326" s="20"/>
      <c r="N326" s="20"/>
      <c r="O326" s="20"/>
      <c r="P326" s="20"/>
      <c r="Q326" s="20"/>
      <c r="R326" s="20"/>
      <c r="S326" s="20"/>
      <c r="T326" s="20"/>
      <c r="U326" s="20"/>
      <c r="V326" s="20"/>
      <c r="W326" s="20"/>
      <c r="X326" s="20"/>
      <c r="Y326" s="20"/>
      <c r="Z326" s="20"/>
      <c r="AA326" s="20"/>
    </row>
    <row r="327">
      <c r="A327" s="20"/>
      <c r="B327" s="24"/>
      <c r="C327" s="24"/>
      <c r="D327" s="20"/>
      <c r="E327" s="20"/>
      <c r="F327" s="24"/>
      <c r="G327" s="20"/>
      <c r="H327" s="20"/>
      <c r="I327" s="20"/>
      <c r="J327" s="20"/>
      <c r="K327" s="20"/>
      <c r="L327" s="20"/>
      <c r="M327" s="20"/>
      <c r="N327" s="20"/>
      <c r="O327" s="20"/>
      <c r="P327" s="20"/>
      <c r="Q327" s="20"/>
      <c r="R327" s="20"/>
      <c r="S327" s="20"/>
      <c r="T327" s="20"/>
      <c r="U327" s="20"/>
      <c r="V327" s="20"/>
      <c r="W327" s="20"/>
      <c r="X327" s="20"/>
      <c r="Y327" s="20"/>
      <c r="Z327" s="20"/>
      <c r="AA327" s="20"/>
    </row>
    <row r="328">
      <c r="A328" s="20"/>
      <c r="B328" s="24"/>
      <c r="C328" s="24"/>
      <c r="D328" s="20"/>
      <c r="E328" s="20"/>
      <c r="F328" s="24"/>
      <c r="G328" s="20"/>
      <c r="H328" s="20"/>
      <c r="I328" s="20"/>
      <c r="J328" s="20"/>
      <c r="K328" s="20"/>
      <c r="L328" s="20"/>
      <c r="M328" s="20"/>
      <c r="N328" s="20"/>
      <c r="O328" s="20"/>
      <c r="P328" s="20"/>
      <c r="Q328" s="20"/>
      <c r="R328" s="20"/>
      <c r="S328" s="20"/>
      <c r="T328" s="20"/>
      <c r="U328" s="20"/>
      <c r="V328" s="20"/>
      <c r="W328" s="20"/>
      <c r="X328" s="20"/>
      <c r="Y328" s="20"/>
      <c r="Z328" s="20"/>
      <c r="AA328" s="20"/>
    </row>
    <row r="329">
      <c r="A329" s="20"/>
      <c r="B329" s="24"/>
      <c r="C329" s="24"/>
      <c r="D329" s="20"/>
      <c r="E329" s="20"/>
      <c r="F329" s="24"/>
      <c r="G329" s="20"/>
      <c r="H329" s="20"/>
      <c r="I329" s="20"/>
      <c r="J329" s="20"/>
      <c r="K329" s="20"/>
      <c r="L329" s="20"/>
      <c r="M329" s="20"/>
      <c r="N329" s="20"/>
      <c r="O329" s="20"/>
      <c r="P329" s="20"/>
      <c r="Q329" s="20"/>
      <c r="R329" s="20"/>
      <c r="S329" s="20"/>
      <c r="T329" s="20"/>
      <c r="U329" s="20"/>
      <c r="V329" s="20"/>
      <c r="W329" s="20"/>
      <c r="X329" s="20"/>
      <c r="Y329" s="20"/>
      <c r="Z329" s="20"/>
      <c r="AA329" s="20"/>
    </row>
    <row r="330">
      <c r="A330" s="20"/>
      <c r="B330" s="24"/>
      <c r="C330" s="24"/>
      <c r="D330" s="20"/>
      <c r="E330" s="20"/>
      <c r="F330" s="24"/>
      <c r="G330" s="20"/>
      <c r="H330" s="20"/>
      <c r="I330" s="20"/>
      <c r="J330" s="20"/>
      <c r="K330" s="20"/>
      <c r="L330" s="20"/>
      <c r="M330" s="20"/>
      <c r="N330" s="20"/>
      <c r="O330" s="20"/>
      <c r="P330" s="20"/>
      <c r="Q330" s="20"/>
      <c r="R330" s="20"/>
      <c r="S330" s="20"/>
      <c r="T330" s="20"/>
      <c r="U330" s="20"/>
      <c r="V330" s="20"/>
      <c r="W330" s="20"/>
      <c r="X330" s="20"/>
      <c r="Y330" s="20"/>
      <c r="Z330" s="20"/>
      <c r="AA330" s="20"/>
    </row>
    <row r="331">
      <c r="A331" s="20"/>
      <c r="B331" s="24"/>
      <c r="C331" s="24"/>
      <c r="D331" s="20"/>
      <c r="E331" s="20"/>
      <c r="F331" s="24"/>
      <c r="G331" s="20"/>
      <c r="H331" s="20"/>
      <c r="I331" s="20"/>
      <c r="J331" s="20"/>
      <c r="K331" s="20"/>
      <c r="L331" s="20"/>
      <c r="M331" s="20"/>
      <c r="N331" s="20"/>
      <c r="O331" s="20"/>
      <c r="P331" s="20"/>
      <c r="Q331" s="20"/>
      <c r="R331" s="20"/>
      <c r="S331" s="20"/>
      <c r="T331" s="20"/>
      <c r="U331" s="20"/>
      <c r="V331" s="20"/>
      <c r="W331" s="20"/>
      <c r="X331" s="20"/>
      <c r="Y331" s="20"/>
      <c r="Z331" s="20"/>
      <c r="AA331" s="20"/>
    </row>
    <row r="332">
      <c r="A332" s="20"/>
      <c r="B332" s="24"/>
      <c r="C332" s="24"/>
      <c r="D332" s="20"/>
      <c r="E332" s="20"/>
      <c r="F332" s="24"/>
      <c r="G332" s="20"/>
      <c r="H332" s="20"/>
      <c r="I332" s="20"/>
      <c r="J332" s="20"/>
      <c r="K332" s="20"/>
      <c r="L332" s="20"/>
      <c r="M332" s="20"/>
      <c r="N332" s="20"/>
      <c r="O332" s="20"/>
      <c r="P332" s="20"/>
      <c r="Q332" s="20"/>
      <c r="R332" s="20"/>
      <c r="S332" s="20"/>
      <c r="T332" s="20"/>
      <c r="U332" s="20"/>
      <c r="V332" s="20"/>
      <c r="W332" s="20"/>
      <c r="X332" s="20"/>
      <c r="Y332" s="20"/>
      <c r="Z332" s="20"/>
      <c r="AA332" s="20"/>
    </row>
    <row r="333">
      <c r="A333" s="20"/>
      <c r="B333" s="24"/>
      <c r="C333" s="24"/>
      <c r="D333" s="20"/>
      <c r="E333" s="20"/>
      <c r="F333" s="24"/>
      <c r="G333" s="20"/>
      <c r="H333" s="20"/>
      <c r="I333" s="20"/>
      <c r="J333" s="20"/>
      <c r="K333" s="20"/>
      <c r="L333" s="20"/>
      <c r="M333" s="20"/>
      <c r="N333" s="20"/>
      <c r="O333" s="20"/>
      <c r="P333" s="20"/>
      <c r="Q333" s="20"/>
      <c r="R333" s="20"/>
      <c r="S333" s="20"/>
      <c r="T333" s="20"/>
      <c r="U333" s="20"/>
      <c r="V333" s="20"/>
      <c r="W333" s="20"/>
      <c r="X333" s="20"/>
      <c r="Y333" s="20"/>
      <c r="Z333" s="20"/>
      <c r="AA333" s="20"/>
    </row>
    <row r="334">
      <c r="A334" s="20"/>
      <c r="B334" s="24"/>
      <c r="C334" s="24"/>
      <c r="D334" s="20"/>
      <c r="E334" s="20"/>
      <c r="F334" s="24"/>
      <c r="G334" s="20"/>
      <c r="H334" s="20"/>
      <c r="I334" s="20"/>
      <c r="J334" s="20"/>
      <c r="K334" s="20"/>
      <c r="L334" s="20"/>
      <c r="M334" s="20"/>
      <c r="N334" s="20"/>
      <c r="O334" s="20"/>
      <c r="P334" s="20"/>
      <c r="Q334" s="20"/>
      <c r="R334" s="20"/>
      <c r="S334" s="20"/>
      <c r="T334" s="20"/>
      <c r="U334" s="20"/>
      <c r="V334" s="20"/>
      <c r="W334" s="20"/>
      <c r="X334" s="20"/>
      <c r="Y334" s="20"/>
      <c r="Z334" s="20"/>
      <c r="AA334" s="20"/>
    </row>
    <row r="335">
      <c r="A335" s="20"/>
      <c r="B335" s="24"/>
      <c r="C335" s="24"/>
      <c r="D335" s="20"/>
      <c r="E335" s="20"/>
      <c r="F335" s="24"/>
      <c r="G335" s="20"/>
      <c r="H335" s="20"/>
      <c r="I335" s="20"/>
      <c r="J335" s="20"/>
      <c r="K335" s="20"/>
      <c r="L335" s="20"/>
      <c r="M335" s="20"/>
      <c r="N335" s="20"/>
      <c r="O335" s="20"/>
      <c r="P335" s="20"/>
      <c r="Q335" s="20"/>
      <c r="R335" s="20"/>
      <c r="S335" s="20"/>
      <c r="T335" s="20"/>
      <c r="U335" s="20"/>
      <c r="V335" s="20"/>
      <c r="W335" s="20"/>
      <c r="X335" s="20"/>
      <c r="Y335" s="20"/>
      <c r="Z335" s="20"/>
      <c r="AA335" s="20"/>
    </row>
    <row r="336">
      <c r="A336" s="20"/>
      <c r="B336" s="24"/>
      <c r="C336" s="24"/>
      <c r="D336" s="20"/>
      <c r="E336" s="20"/>
      <c r="F336" s="24"/>
      <c r="G336" s="20"/>
      <c r="H336" s="20"/>
      <c r="I336" s="20"/>
      <c r="J336" s="20"/>
      <c r="K336" s="20"/>
      <c r="L336" s="20"/>
      <c r="M336" s="20"/>
      <c r="N336" s="20"/>
      <c r="O336" s="20"/>
      <c r="P336" s="20"/>
      <c r="Q336" s="20"/>
      <c r="R336" s="20"/>
      <c r="S336" s="20"/>
      <c r="T336" s="20"/>
      <c r="U336" s="20"/>
      <c r="V336" s="20"/>
      <c r="W336" s="20"/>
      <c r="X336" s="20"/>
      <c r="Y336" s="20"/>
      <c r="Z336" s="20"/>
      <c r="AA336" s="20"/>
    </row>
    <row r="337">
      <c r="A337" s="20"/>
      <c r="B337" s="24"/>
      <c r="C337" s="24"/>
      <c r="D337" s="20"/>
      <c r="E337" s="20"/>
      <c r="F337" s="24"/>
      <c r="G337" s="20"/>
      <c r="H337" s="20"/>
      <c r="I337" s="20"/>
      <c r="J337" s="20"/>
      <c r="K337" s="20"/>
      <c r="L337" s="20"/>
      <c r="M337" s="20"/>
      <c r="N337" s="20"/>
      <c r="O337" s="20"/>
      <c r="P337" s="20"/>
      <c r="Q337" s="20"/>
      <c r="R337" s="20"/>
      <c r="S337" s="20"/>
      <c r="T337" s="20"/>
      <c r="U337" s="20"/>
      <c r="V337" s="20"/>
      <c r="W337" s="20"/>
      <c r="X337" s="20"/>
      <c r="Y337" s="20"/>
      <c r="Z337" s="20"/>
      <c r="AA337" s="20"/>
    </row>
    <row r="338">
      <c r="A338" s="20"/>
      <c r="B338" s="24"/>
      <c r="C338" s="24"/>
      <c r="D338" s="20"/>
      <c r="E338" s="20"/>
      <c r="F338" s="24"/>
      <c r="G338" s="20"/>
      <c r="H338" s="20"/>
      <c r="I338" s="20"/>
      <c r="J338" s="20"/>
      <c r="K338" s="20"/>
      <c r="L338" s="20"/>
      <c r="M338" s="20"/>
      <c r="N338" s="20"/>
      <c r="O338" s="20"/>
      <c r="P338" s="20"/>
      <c r="Q338" s="20"/>
      <c r="R338" s="20"/>
      <c r="S338" s="20"/>
      <c r="T338" s="20"/>
      <c r="U338" s="20"/>
      <c r="V338" s="20"/>
      <c r="W338" s="20"/>
      <c r="X338" s="20"/>
      <c r="Y338" s="20"/>
      <c r="Z338" s="20"/>
      <c r="AA338" s="20"/>
    </row>
    <row r="339">
      <c r="A339" s="20"/>
      <c r="B339" s="24"/>
      <c r="C339" s="24"/>
      <c r="D339" s="20"/>
      <c r="E339" s="20"/>
      <c r="F339" s="24"/>
      <c r="G339" s="20"/>
      <c r="H339" s="20"/>
      <c r="I339" s="20"/>
      <c r="J339" s="20"/>
      <c r="K339" s="20"/>
      <c r="L339" s="20"/>
      <c r="M339" s="20"/>
      <c r="N339" s="20"/>
      <c r="O339" s="20"/>
      <c r="P339" s="20"/>
      <c r="Q339" s="20"/>
      <c r="R339" s="20"/>
      <c r="S339" s="20"/>
      <c r="T339" s="20"/>
      <c r="U339" s="20"/>
      <c r="V339" s="20"/>
      <c r="W339" s="20"/>
      <c r="X339" s="20"/>
      <c r="Y339" s="20"/>
      <c r="Z339" s="20"/>
      <c r="AA339" s="20"/>
    </row>
    <row r="340">
      <c r="A340" s="20"/>
      <c r="B340" s="24"/>
      <c r="C340" s="24"/>
      <c r="D340" s="20"/>
      <c r="E340" s="20"/>
      <c r="F340" s="24"/>
      <c r="G340" s="20"/>
      <c r="H340" s="20"/>
      <c r="I340" s="20"/>
      <c r="J340" s="20"/>
      <c r="K340" s="20"/>
      <c r="L340" s="20"/>
      <c r="M340" s="20"/>
      <c r="N340" s="20"/>
      <c r="O340" s="20"/>
      <c r="P340" s="20"/>
      <c r="Q340" s="20"/>
      <c r="R340" s="20"/>
      <c r="S340" s="20"/>
      <c r="T340" s="20"/>
      <c r="U340" s="20"/>
      <c r="V340" s="20"/>
      <c r="W340" s="20"/>
      <c r="X340" s="20"/>
      <c r="Y340" s="20"/>
      <c r="Z340" s="20"/>
      <c r="AA340" s="20"/>
    </row>
    <row r="341">
      <c r="A341" s="20"/>
      <c r="B341" s="24"/>
      <c r="C341" s="24"/>
      <c r="D341" s="20"/>
      <c r="E341" s="20"/>
      <c r="F341" s="24"/>
      <c r="G341" s="20"/>
      <c r="H341" s="20"/>
      <c r="I341" s="20"/>
      <c r="J341" s="20"/>
      <c r="K341" s="20"/>
      <c r="L341" s="20"/>
      <c r="M341" s="20"/>
      <c r="N341" s="20"/>
      <c r="O341" s="20"/>
      <c r="P341" s="20"/>
      <c r="Q341" s="20"/>
      <c r="R341" s="20"/>
      <c r="S341" s="20"/>
      <c r="T341" s="20"/>
      <c r="U341" s="20"/>
      <c r="V341" s="20"/>
      <c r="W341" s="20"/>
      <c r="X341" s="20"/>
      <c r="Y341" s="20"/>
      <c r="Z341" s="20"/>
      <c r="AA341" s="20"/>
    </row>
    <row r="342">
      <c r="A342" s="20"/>
      <c r="B342" s="24"/>
      <c r="C342" s="24"/>
      <c r="D342" s="20"/>
      <c r="E342" s="20"/>
      <c r="F342" s="24"/>
      <c r="G342" s="20"/>
      <c r="H342" s="20"/>
      <c r="I342" s="20"/>
      <c r="J342" s="20"/>
      <c r="K342" s="20"/>
      <c r="L342" s="20"/>
      <c r="M342" s="20"/>
      <c r="N342" s="20"/>
      <c r="O342" s="20"/>
      <c r="P342" s="20"/>
      <c r="Q342" s="20"/>
      <c r="R342" s="20"/>
      <c r="S342" s="20"/>
      <c r="T342" s="20"/>
      <c r="U342" s="20"/>
      <c r="V342" s="20"/>
      <c r="W342" s="20"/>
      <c r="X342" s="20"/>
      <c r="Y342" s="20"/>
      <c r="Z342" s="20"/>
      <c r="AA342" s="20"/>
    </row>
    <row r="343">
      <c r="A343" s="20"/>
      <c r="B343" s="24"/>
      <c r="C343" s="24"/>
      <c r="D343" s="20"/>
      <c r="E343" s="20"/>
      <c r="F343" s="24"/>
      <c r="G343" s="20"/>
      <c r="H343" s="20"/>
      <c r="I343" s="20"/>
      <c r="J343" s="20"/>
      <c r="K343" s="20"/>
      <c r="L343" s="20"/>
      <c r="M343" s="20"/>
      <c r="N343" s="20"/>
      <c r="O343" s="20"/>
      <c r="P343" s="20"/>
      <c r="Q343" s="20"/>
      <c r="R343" s="20"/>
      <c r="S343" s="20"/>
      <c r="T343" s="20"/>
      <c r="U343" s="20"/>
      <c r="V343" s="20"/>
      <c r="W343" s="20"/>
      <c r="X343" s="20"/>
      <c r="Y343" s="20"/>
      <c r="Z343" s="20"/>
      <c r="AA343" s="20"/>
    </row>
    <row r="344">
      <c r="A344" s="20"/>
      <c r="B344" s="24"/>
      <c r="C344" s="24"/>
      <c r="D344" s="20"/>
      <c r="E344" s="20"/>
      <c r="F344" s="24"/>
      <c r="G344" s="20"/>
      <c r="H344" s="20"/>
      <c r="I344" s="20"/>
      <c r="J344" s="20"/>
      <c r="K344" s="20"/>
      <c r="L344" s="20"/>
      <c r="M344" s="20"/>
      <c r="N344" s="20"/>
      <c r="O344" s="20"/>
      <c r="P344" s="20"/>
      <c r="Q344" s="20"/>
      <c r="R344" s="20"/>
      <c r="S344" s="20"/>
      <c r="T344" s="20"/>
      <c r="U344" s="20"/>
      <c r="V344" s="20"/>
      <c r="W344" s="20"/>
      <c r="X344" s="20"/>
      <c r="Y344" s="20"/>
      <c r="Z344" s="20"/>
      <c r="AA344" s="20"/>
    </row>
    <row r="345">
      <c r="A345" s="20"/>
      <c r="B345" s="24"/>
      <c r="C345" s="24"/>
      <c r="D345" s="20"/>
      <c r="E345" s="20"/>
      <c r="F345" s="24"/>
      <c r="G345" s="20"/>
      <c r="H345" s="20"/>
      <c r="I345" s="20"/>
      <c r="J345" s="20"/>
      <c r="K345" s="20"/>
      <c r="L345" s="20"/>
      <c r="M345" s="20"/>
      <c r="N345" s="20"/>
      <c r="O345" s="20"/>
      <c r="P345" s="20"/>
      <c r="Q345" s="20"/>
      <c r="R345" s="20"/>
      <c r="S345" s="20"/>
      <c r="T345" s="20"/>
      <c r="U345" s="20"/>
      <c r="V345" s="20"/>
      <c r="W345" s="20"/>
      <c r="X345" s="20"/>
      <c r="Y345" s="20"/>
      <c r="Z345" s="20"/>
      <c r="AA345" s="20"/>
    </row>
    <row r="346">
      <c r="A346" s="20"/>
      <c r="B346" s="24"/>
      <c r="C346" s="24"/>
      <c r="D346" s="20"/>
      <c r="E346" s="20"/>
      <c r="F346" s="24"/>
      <c r="G346" s="20"/>
      <c r="H346" s="20"/>
      <c r="I346" s="20"/>
      <c r="J346" s="20"/>
      <c r="K346" s="20"/>
      <c r="L346" s="20"/>
      <c r="M346" s="20"/>
      <c r="N346" s="20"/>
      <c r="O346" s="20"/>
      <c r="P346" s="20"/>
      <c r="Q346" s="20"/>
      <c r="R346" s="20"/>
      <c r="S346" s="20"/>
      <c r="T346" s="20"/>
      <c r="U346" s="20"/>
      <c r="V346" s="20"/>
      <c r="W346" s="20"/>
      <c r="X346" s="20"/>
      <c r="Y346" s="20"/>
      <c r="Z346" s="20"/>
      <c r="AA346" s="20"/>
    </row>
    <row r="347">
      <c r="A347" s="20"/>
      <c r="B347" s="24"/>
      <c r="C347" s="24"/>
      <c r="D347" s="20"/>
      <c r="E347" s="20"/>
      <c r="F347" s="24"/>
      <c r="G347" s="20"/>
      <c r="H347" s="20"/>
      <c r="I347" s="20"/>
      <c r="J347" s="20"/>
      <c r="K347" s="20"/>
      <c r="L347" s="20"/>
      <c r="M347" s="20"/>
      <c r="N347" s="20"/>
      <c r="O347" s="20"/>
      <c r="P347" s="20"/>
      <c r="Q347" s="20"/>
      <c r="R347" s="20"/>
      <c r="S347" s="20"/>
      <c r="T347" s="20"/>
      <c r="U347" s="20"/>
      <c r="V347" s="20"/>
      <c r="W347" s="20"/>
      <c r="X347" s="20"/>
      <c r="Y347" s="20"/>
      <c r="Z347" s="20"/>
      <c r="AA347" s="20"/>
    </row>
    <row r="348">
      <c r="A348" s="20"/>
      <c r="B348" s="24"/>
      <c r="C348" s="24"/>
      <c r="D348" s="20"/>
      <c r="E348" s="20"/>
      <c r="F348" s="24"/>
      <c r="G348" s="20"/>
      <c r="H348" s="20"/>
      <c r="I348" s="20"/>
      <c r="J348" s="20"/>
      <c r="K348" s="20"/>
      <c r="L348" s="20"/>
      <c r="M348" s="20"/>
      <c r="N348" s="20"/>
      <c r="O348" s="20"/>
      <c r="P348" s="20"/>
      <c r="Q348" s="20"/>
      <c r="R348" s="20"/>
      <c r="S348" s="20"/>
      <c r="T348" s="20"/>
      <c r="U348" s="20"/>
      <c r="V348" s="20"/>
      <c r="W348" s="20"/>
      <c r="X348" s="20"/>
      <c r="Y348" s="20"/>
      <c r="Z348" s="20"/>
      <c r="AA348" s="20"/>
    </row>
    <row r="349">
      <c r="A349" s="20"/>
      <c r="B349" s="24"/>
      <c r="C349" s="24"/>
      <c r="D349" s="20"/>
      <c r="E349" s="20"/>
      <c r="F349" s="24"/>
      <c r="G349" s="20"/>
      <c r="H349" s="20"/>
      <c r="I349" s="20"/>
      <c r="J349" s="20"/>
      <c r="K349" s="20"/>
      <c r="L349" s="20"/>
      <c r="M349" s="20"/>
      <c r="N349" s="20"/>
      <c r="O349" s="20"/>
      <c r="P349" s="20"/>
      <c r="Q349" s="20"/>
      <c r="R349" s="20"/>
      <c r="S349" s="20"/>
      <c r="T349" s="20"/>
      <c r="U349" s="20"/>
      <c r="V349" s="20"/>
      <c r="W349" s="20"/>
      <c r="X349" s="20"/>
      <c r="Y349" s="20"/>
      <c r="Z349" s="20"/>
      <c r="AA349" s="20"/>
    </row>
    <row r="350">
      <c r="A350" s="20"/>
      <c r="B350" s="24"/>
      <c r="C350" s="24"/>
      <c r="D350" s="20"/>
      <c r="E350" s="20"/>
      <c r="F350" s="24"/>
      <c r="G350" s="20"/>
      <c r="H350" s="20"/>
      <c r="I350" s="20"/>
      <c r="J350" s="20"/>
      <c r="K350" s="20"/>
      <c r="L350" s="20"/>
      <c r="M350" s="20"/>
      <c r="N350" s="20"/>
      <c r="O350" s="20"/>
      <c r="P350" s="20"/>
      <c r="Q350" s="20"/>
      <c r="R350" s="20"/>
      <c r="S350" s="20"/>
      <c r="T350" s="20"/>
      <c r="U350" s="20"/>
      <c r="V350" s="20"/>
      <c r="W350" s="20"/>
      <c r="X350" s="20"/>
      <c r="Y350" s="20"/>
      <c r="Z350" s="20"/>
      <c r="AA350" s="20"/>
    </row>
    <row r="351">
      <c r="A351" s="20"/>
      <c r="B351" s="24"/>
      <c r="C351" s="24"/>
      <c r="D351" s="20"/>
      <c r="E351" s="20"/>
      <c r="F351" s="24"/>
      <c r="G351" s="20"/>
      <c r="H351" s="20"/>
      <c r="I351" s="20"/>
      <c r="J351" s="20"/>
      <c r="K351" s="20"/>
      <c r="L351" s="20"/>
      <c r="M351" s="20"/>
      <c r="N351" s="20"/>
      <c r="O351" s="20"/>
      <c r="P351" s="20"/>
      <c r="Q351" s="20"/>
      <c r="R351" s="20"/>
      <c r="S351" s="20"/>
      <c r="T351" s="20"/>
      <c r="U351" s="20"/>
      <c r="V351" s="20"/>
      <c r="W351" s="20"/>
      <c r="X351" s="20"/>
      <c r="Y351" s="20"/>
      <c r="Z351" s="20"/>
      <c r="AA351" s="20"/>
    </row>
    <row r="352">
      <c r="A352" s="20"/>
      <c r="B352" s="24"/>
      <c r="C352" s="24"/>
      <c r="D352" s="20"/>
      <c r="E352" s="20"/>
      <c r="F352" s="24"/>
      <c r="G352" s="20"/>
      <c r="H352" s="20"/>
      <c r="I352" s="20"/>
      <c r="J352" s="20"/>
      <c r="K352" s="20"/>
      <c r="L352" s="20"/>
      <c r="M352" s="20"/>
      <c r="N352" s="20"/>
      <c r="O352" s="20"/>
      <c r="P352" s="20"/>
      <c r="Q352" s="20"/>
      <c r="R352" s="20"/>
      <c r="S352" s="20"/>
      <c r="T352" s="20"/>
      <c r="U352" s="20"/>
      <c r="V352" s="20"/>
      <c r="W352" s="20"/>
      <c r="X352" s="20"/>
      <c r="Y352" s="20"/>
      <c r="Z352" s="20"/>
      <c r="AA352" s="20"/>
    </row>
    <row r="353">
      <c r="A353" s="20"/>
      <c r="B353" s="24"/>
      <c r="C353" s="24"/>
      <c r="D353" s="20"/>
      <c r="E353" s="20"/>
      <c r="F353" s="24"/>
      <c r="G353" s="20"/>
      <c r="H353" s="20"/>
      <c r="I353" s="20"/>
      <c r="J353" s="20"/>
      <c r="K353" s="20"/>
      <c r="L353" s="20"/>
      <c r="M353" s="20"/>
      <c r="N353" s="20"/>
      <c r="O353" s="20"/>
      <c r="P353" s="20"/>
      <c r="Q353" s="20"/>
      <c r="R353" s="20"/>
      <c r="S353" s="20"/>
      <c r="T353" s="20"/>
      <c r="U353" s="20"/>
      <c r="V353" s="20"/>
      <c r="W353" s="20"/>
      <c r="X353" s="20"/>
      <c r="Y353" s="20"/>
      <c r="Z353" s="20"/>
      <c r="AA353" s="20"/>
    </row>
    <row r="354">
      <c r="A354" s="20"/>
      <c r="B354" s="24"/>
      <c r="C354" s="24"/>
      <c r="D354" s="20"/>
      <c r="E354" s="20"/>
      <c r="F354" s="24"/>
      <c r="G354" s="20"/>
      <c r="H354" s="20"/>
      <c r="I354" s="20"/>
      <c r="J354" s="20"/>
      <c r="K354" s="20"/>
      <c r="L354" s="20"/>
      <c r="M354" s="20"/>
      <c r="N354" s="20"/>
      <c r="O354" s="20"/>
      <c r="P354" s="20"/>
      <c r="Q354" s="20"/>
      <c r="R354" s="20"/>
      <c r="S354" s="20"/>
      <c r="T354" s="20"/>
      <c r="U354" s="20"/>
      <c r="V354" s="20"/>
      <c r="W354" s="20"/>
      <c r="X354" s="20"/>
      <c r="Y354" s="20"/>
      <c r="Z354" s="20"/>
      <c r="AA354" s="20"/>
    </row>
    <row r="355">
      <c r="A355" s="20"/>
      <c r="B355" s="24"/>
      <c r="C355" s="24"/>
      <c r="D355" s="20"/>
      <c r="E355" s="20"/>
      <c r="F355" s="24"/>
      <c r="G355" s="20"/>
      <c r="H355" s="20"/>
      <c r="I355" s="20"/>
      <c r="J355" s="20"/>
      <c r="K355" s="20"/>
      <c r="L355" s="20"/>
      <c r="M355" s="20"/>
      <c r="N355" s="20"/>
      <c r="O355" s="20"/>
      <c r="P355" s="20"/>
      <c r="Q355" s="20"/>
      <c r="R355" s="20"/>
      <c r="S355" s="20"/>
      <c r="T355" s="20"/>
      <c r="U355" s="20"/>
      <c r="V355" s="20"/>
      <c r="W355" s="20"/>
      <c r="X355" s="20"/>
      <c r="Y355" s="20"/>
      <c r="Z355" s="20"/>
      <c r="AA355" s="20"/>
    </row>
    <row r="356">
      <c r="A356" s="20"/>
      <c r="B356" s="24"/>
      <c r="C356" s="24"/>
      <c r="D356" s="20"/>
      <c r="E356" s="20"/>
      <c r="F356" s="24"/>
      <c r="G356" s="20"/>
      <c r="H356" s="20"/>
      <c r="I356" s="20"/>
      <c r="J356" s="20"/>
      <c r="K356" s="20"/>
      <c r="L356" s="20"/>
      <c r="M356" s="20"/>
      <c r="N356" s="20"/>
      <c r="O356" s="20"/>
      <c r="P356" s="20"/>
      <c r="Q356" s="20"/>
      <c r="R356" s="20"/>
      <c r="S356" s="20"/>
      <c r="T356" s="20"/>
      <c r="U356" s="20"/>
      <c r="V356" s="20"/>
      <c r="W356" s="20"/>
      <c r="X356" s="20"/>
      <c r="Y356" s="20"/>
      <c r="Z356" s="20"/>
      <c r="AA356" s="20"/>
    </row>
    <row r="357">
      <c r="A357" s="20"/>
      <c r="B357" s="24"/>
      <c r="C357" s="24"/>
      <c r="D357" s="20"/>
      <c r="E357" s="20"/>
      <c r="F357" s="24"/>
      <c r="G357" s="20"/>
      <c r="H357" s="20"/>
      <c r="I357" s="20"/>
      <c r="J357" s="20"/>
      <c r="K357" s="20"/>
      <c r="L357" s="20"/>
      <c r="M357" s="20"/>
      <c r="N357" s="20"/>
      <c r="O357" s="20"/>
      <c r="P357" s="20"/>
      <c r="Q357" s="20"/>
      <c r="R357" s="20"/>
      <c r="S357" s="20"/>
      <c r="T357" s="20"/>
      <c r="U357" s="20"/>
      <c r="V357" s="20"/>
      <c r="W357" s="20"/>
      <c r="X357" s="20"/>
      <c r="Y357" s="20"/>
      <c r="Z357" s="20"/>
      <c r="AA357" s="20"/>
    </row>
    <row r="358">
      <c r="A358" s="20"/>
      <c r="B358" s="24"/>
      <c r="C358" s="24"/>
      <c r="D358" s="20"/>
      <c r="E358" s="20"/>
      <c r="F358" s="24"/>
      <c r="G358" s="20"/>
      <c r="H358" s="20"/>
      <c r="I358" s="20"/>
      <c r="J358" s="20"/>
      <c r="K358" s="20"/>
      <c r="L358" s="20"/>
      <c r="M358" s="20"/>
      <c r="N358" s="20"/>
      <c r="O358" s="20"/>
      <c r="P358" s="20"/>
      <c r="Q358" s="20"/>
      <c r="R358" s="20"/>
      <c r="S358" s="20"/>
      <c r="T358" s="20"/>
      <c r="U358" s="20"/>
      <c r="V358" s="20"/>
      <c r="W358" s="20"/>
      <c r="X358" s="20"/>
      <c r="Y358" s="20"/>
      <c r="Z358" s="20"/>
      <c r="AA358" s="20"/>
    </row>
    <row r="359">
      <c r="A359" s="20"/>
      <c r="B359" s="24"/>
      <c r="C359" s="24"/>
      <c r="D359" s="20"/>
      <c r="E359" s="20"/>
      <c r="F359" s="24"/>
      <c r="G359" s="20"/>
      <c r="H359" s="20"/>
      <c r="I359" s="20"/>
      <c r="J359" s="20"/>
      <c r="K359" s="20"/>
      <c r="L359" s="20"/>
      <c r="M359" s="20"/>
      <c r="N359" s="20"/>
      <c r="O359" s="20"/>
      <c r="P359" s="20"/>
      <c r="Q359" s="20"/>
      <c r="R359" s="20"/>
      <c r="S359" s="20"/>
      <c r="T359" s="20"/>
      <c r="U359" s="20"/>
      <c r="V359" s="20"/>
      <c r="W359" s="20"/>
      <c r="X359" s="20"/>
      <c r="Y359" s="20"/>
      <c r="Z359" s="20"/>
      <c r="AA359" s="20"/>
    </row>
    <row r="360">
      <c r="A360" s="20"/>
      <c r="B360" s="24"/>
      <c r="C360" s="24"/>
      <c r="D360" s="20"/>
      <c r="E360" s="20"/>
      <c r="F360" s="24"/>
      <c r="G360" s="20"/>
      <c r="H360" s="20"/>
      <c r="I360" s="20"/>
      <c r="J360" s="20"/>
      <c r="K360" s="20"/>
      <c r="L360" s="20"/>
      <c r="M360" s="20"/>
      <c r="N360" s="20"/>
      <c r="O360" s="20"/>
      <c r="P360" s="20"/>
      <c r="Q360" s="20"/>
      <c r="R360" s="20"/>
      <c r="S360" s="20"/>
      <c r="T360" s="20"/>
      <c r="U360" s="20"/>
      <c r="V360" s="20"/>
      <c r="W360" s="20"/>
      <c r="X360" s="20"/>
      <c r="Y360" s="20"/>
      <c r="Z360" s="20"/>
      <c r="AA360" s="20"/>
    </row>
    <row r="361">
      <c r="A361" s="20"/>
      <c r="B361" s="24"/>
      <c r="C361" s="24"/>
      <c r="D361" s="20"/>
      <c r="E361" s="20"/>
      <c r="F361" s="24"/>
      <c r="G361" s="20"/>
      <c r="H361" s="20"/>
      <c r="I361" s="20"/>
      <c r="J361" s="20"/>
      <c r="K361" s="20"/>
      <c r="L361" s="20"/>
      <c r="M361" s="20"/>
      <c r="N361" s="20"/>
      <c r="O361" s="20"/>
      <c r="P361" s="20"/>
      <c r="Q361" s="20"/>
      <c r="R361" s="20"/>
      <c r="S361" s="20"/>
      <c r="T361" s="20"/>
      <c r="U361" s="20"/>
      <c r="V361" s="20"/>
      <c r="W361" s="20"/>
      <c r="X361" s="20"/>
      <c r="Y361" s="20"/>
      <c r="Z361" s="20"/>
      <c r="AA361" s="20"/>
    </row>
    <row r="362">
      <c r="A362" s="20"/>
      <c r="B362" s="24"/>
      <c r="C362" s="24"/>
      <c r="D362" s="20"/>
      <c r="E362" s="20"/>
      <c r="F362" s="24"/>
      <c r="G362" s="20"/>
      <c r="H362" s="20"/>
      <c r="I362" s="20"/>
      <c r="J362" s="20"/>
      <c r="K362" s="20"/>
      <c r="L362" s="20"/>
      <c r="M362" s="20"/>
      <c r="N362" s="20"/>
      <c r="O362" s="20"/>
      <c r="P362" s="20"/>
      <c r="Q362" s="20"/>
      <c r="R362" s="20"/>
      <c r="S362" s="20"/>
      <c r="T362" s="20"/>
      <c r="U362" s="20"/>
      <c r="V362" s="20"/>
      <c r="W362" s="20"/>
      <c r="X362" s="20"/>
      <c r="Y362" s="20"/>
      <c r="Z362" s="20"/>
      <c r="AA362" s="20"/>
    </row>
    <row r="363">
      <c r="A363" s="20"/>
      <c r="B363" s="24"/>
      <c r="C363" s="24"/>
      <c r="D363" s="20"/>
      <c r="E363" s="20"/>
      <c r="F363" s="24"/>
      <c r="G363" s="20"/>
      <c r="H363" s="20"/>
      <c r="I363" s="20"/>
      <c r="J363" s="20"/>
      <c r="K363" s="20"/>
      <c r="L363" s="20"/>
      <c r="M363" s="20"/>
      <c r="N363" s="20"/>
      <c r="O363" s="20"/>
      <c r="P363" s="20"/>
      <c r="Q363" s="20"/>
      <c r="R363" s="20"/>
      <c r="S363" s="20"/>
      <c r="T363" s="20"/>
      <c r="U363" s="20"/>
      <c r="V363" s="20"/>
      <c r="W363" s="20"/>
      <c r="X363" s="20"/>
      <c r="Y363" s="20"/>
      <c r="Z363" s="20"/>
      <c r="AA363" s="20"/>
    </row>
    <row r="364">
      <c r="A364" s="20"/>
      <c r="B364" s="24"/>
      <c r="C364" s="24"/>
      <c r="D364" s="20"/>
      <c r="E364" s="20"/>
      <c r="F364" s="24"/>
      <c r="G364" s="20"/>
      <c r="H364" s="20"/>
      <c r="I364" s="20"/>
      <c r="J364" s="20"/>
      <c r="K364" s="20"/>
      <c r="L364" s="20"/>
      <c r="M364" s="20"/>
      <c r="N364" s="20"/>
      <c r="O364" s="20"/>
      <c r="P364" s="20"/>
      <c r="Q364" s="20"/>
      <c r="R364" s="20"/>
      <c r="S364" s="20"/>
      <c r="T364" s="20"/>
      <c r="U364" s="20"/>
      <c r="V364" s="20"/>
      <c r="W364" s="20"/>
      <c r="X364" s="20"/>
      <c r="Y364" s="20"/>
      <c r="Z364" s="20"/>
      <c r="AA364" s="20"/>
    </row>
    <row r="365">
      <c r="A365" s="20"/>
      <c r="B365" s="24"/>
      <c r="C365" s="24"/>
      <c r="D365" s="20"/>
      <c r="E365" s="20"/>
      <c r="F365" s="24"/>
      <c r="G365" s="20"/>
      <c r="H365" s="20"/>
      <c r="I365" s="20"/>
      <c r="J365" s="20"/>
      <c r="K365" s="20"/>
      <c r="L365" s="20"/>
      <c r="M365" s="20"/>
      <c r="N365" s="20"/>
      <c r="O365" s="20"/>
      <c r="P365" s="20"/>
      <c r="Q365" s="20"/>
      <c r="R365" s="20"/>
      <c r="S365" s="20"/>
      <c r="T365" s="20"/>
      <c r="U365" s="20"/>
      <c r="V365" s="20"/>
      <c r="W365" s="20"/>
      <c r="X365" s="20"/>
      <c r="Y365" s="20"/>
      <c r="Z365" s="20"/>
      <c r="AA365" s="20"/>
    </row>
    <row r="366">
      <c r="A366" s="20"/>
      <c r="B366" s="24"/>
      <c r="C366" s="24"/>
      <c r="D366" s="20"/>
      <c r="E366" s="20"/>
      <c r="F366" s="24"/>
      <c r="G366" s="20"/>
      <c r="H366" s="20"/>
      <c r="I366" s="20"/>
      <c r="J366" s="20"/>
      <c r="K366" s="20"/>
      <c r="L366" s="20"/>
      <c r="M366" s="20"/>
      <c r="N366" s="20"/>
      <c r="O366" s="20"/>
      <c r="P366" s="20"/>
      <c r="Q366" s="20"/>
      <c r="R366" s="20"/>
      <c r="S366" s="20"/>
      <c r="T366" s="20"/>
      <c r="U366" s="20"/>
      <c r="V366" s="20"/>
      <c r="W366" s="20"/>
      <c r="X366" s="20"/>
      <c r="Y366" s="20"/>
      <c r="Z366" s="20"/>
      <c r="AA366" s="20"/>
    </row>
    <row r="367">
      <c r="A367" s="20"/>
      <c r="B367" s="24"/>
      <c r="C367" s="24"/>
      <c r="D367" s="20"/>
      <c r="E367" s="20"/>
      <c r="F367" s="24"/>
      <c r="G367" s="20"/>
      <c r="H367" s="20"/>
      <c r="I367" s="20"/>
      <c r="J367" s="20"/>
      <c r="K367" s="20"/>
      <c r="L367" s="20"/>
      <c r="M367" s="20"/>
      <c r="N367" s="20"/>
      <c r="O367" s="20"/>
      <c r="P367" s="20"/>
      <c r="Q367" s="20"/>
      <c r="R367" s="20"/>
      <c r="S367" s="20"/>
      <c r="T367" s="20"/>
      <c r="U367" s="20"/>
      <c r="V367" s="20"/>
      <c r="W367" s="20"/>
      <c r="X367" s="20"/>
      <c r="Y367" s="20"/>
      <c r="Z367" s="20"/>
      <c r="AA367" s="20"/>
    </row>
    <row r="368">
      <c r="A368" s="20"/>
      <c r="B368" s="24"/>
      <c r="C368" s="24"/>
      <c r="D368" s="20"/>
      <c r="E368" s="20"/>
      <c r="F368" s="24"/>
      <c r="G368" s="20"/>
      <c r="H368" s="20"/>
      <c r="I368" s="20"/>
      <c r="J368" s="20"/>
      <c r="K368" s="20"/>
      <c r="L368" s="20"/>
      <c r="M368" s="20"/>
      <c r="N368" s="20"/>
      <c r="O368" s="20"/>
      <c r="P368" s="20"/>
      <c r="Q368" s="20"/>
      <c r="R368" s="20"/>
      <c r="S368" s="20"/>
      <c r="T368" s="20"/>
      <c r="U368" s="20"/>
      <c r="V368" s="20"/>
      <c r="W368" s="20"/>
      <c r="X368" s="20"/>
      <c r="Y368" s="20"/>
      <c r="Z368" s="20"/>
      <c r="AA368" s="20"/>
    </row>
    <row r="369">
      <c r="A369" s="20"/>
      <c r="B369" s="24"/>
      <c r="C369" s="24"/>
      <c r="D369" s="20"/>
      <c r="E369" s="20"/>
      <c r="F369" s="24"/>
      <c r="G369" s="20"/>
      <c r="H369" s="20"/>
      <c r="I369" s="20"/>
      <c r="J369" s="20"/>
      <c r="K369" s="20"/>
      <c r="L369" s="20"/>
      <c r="M369" s="20"/>
      <c r="N369" s="20"/>
      <c r="O369" s="20"/>
      <c r="P369" s="20"/>
      <c r="Q369" s="20"/>
      <c r="R369" s="20"/>
      <c r="S369" s="20"/>
      <c r="T369" s="20"/>
      <c r="U369" s="20"/>
      <c r="V369" s="20"/>
      <c r="W369" s="20"/>
      <c r="X369" s="20"/>
      <c r="Y369" s="20"/>
      <c r="Z369" s="20"/>
      <c r="AA369" s="20"/>
    </row>
    <row r="370">
      <c r="A370" s="20"/>
      <c r="B370" s="24"/>
      <c r="C370" s="24"/>
      <c r="D370" s="20"/>
      <c r="E370" s="20"/>
      <c r="F370" s="24"/>
      <c r="G370" s="20"/>
      <c r="H370" s="20"/>
      <c r="I370" s="20"/>
      <c r="J370" s="20"/>
      <c r="K370" s="20"/>
      <c r="L370" s="20"/>
      <c r="M370" s="20"/>
      <c r="N370" s="20"/>
      <c r="O370" s="20"/>
      <c r="P370" s="20"/>
      <c r="Q370" s="20"/>
      <c r="R370" s="20"/>
      <c r="S370" s="20"/>
      <c r="T370" s="20"/>
      <c r="U370" s="20"/>
      <c r="V370" s="20"/>
      <c r="W370" s="20"/>
      <c r="X370" s="20"/>
      <c r="Y370" s="20"/>
      <c r="Z370" s="20"/>
      <c r="AA370" s="20"/>
    </row>
    <row r="371">
      <c r="A371" s="20"/>
      <c r="B371" s="24"/>
      <c r="C371" s="24"/>
      <c r="D371" s="20"/>
      <c r="E371" s="20"/>
      <c r="F371" s="24"/>
      <c r="G371" s="20"/>
      <c r="H371" s="20"/>
      <c r="I371" s="20"/>
      <c r="J371" s="20"/>
      <c r="K371" s="20"/>
      <c r="L371" s="20"/>
      <c r="M371" s="20"/>
      <c r="N371" s="20"/>
      <c r="O371" s="20"/>
      <c r="P371" s="20"/>
      <c r="Q371" s="20"/>
      <c r="R371" s="20"/>
      <c r="S371" s="20"/>
      <c r="T371" s="20"/>
      <c r="U371" s="20"/>
      <c r="V371" s="20"/>
      <c r="W371" s="20"/>
      <c r="X371" s="20"/>
      <c r="Y371" s="20"/>
      <c r="Z371" s="20"/>
      <c r="AA371" s="20"/>
    </row>
    <row r="372">
      <c r="A372" s="20"/>
      <c r="B372" s="24"/>
      <c r="C372" s="24"/>
      <c r="D372" s="20"/>
      <c r="E372" s="20"/>
      <c r="F372" s="24"/>
      <c r="G372" s="20"/>
      <c r="H372" s="20"/>
      <c r="I372" s="20"/>
      <c r="J372" s="20"/>
      <c r="K372" s="20"/>
      <c r="L372" s="20"/>
      <c r="M372" s="20"/>
      <c r="N372" s="20"/>
      <c r="O372" s="20"/>
      <c r="P372" s="20"/>
      <c r="Q372" s="20"/>
      <c r="R372" s="20"/>
      <c r="S372" s="20"/>
      <c r="T372" s="20"/>
      <c r="U372" s="20"/>
      <c r="V372" s="20"/>
      <c r="W372" s="20"/>
      <c r="X372" s="20"/>
      <c r="Y372" s="20"/>
      <c r="Z372" s="20"/>
      <c r="AA372" s="20"/>
    </row>
    <row r="373">
      <c r="A373" s="20"/>
      <c r="B373" s="24"/>
      <c r="C373" s="24"/>
      <c r="D373" s="20"/>
      <c r="E373" s="20"/>
      <c r="F373" s="24"/>
      <c r="G373" s="20"/>
      <c r="H373" s="20"/>
      <c r="I373" s="20"/>
      <c r="J373" s="20"/>
      <c r="K373" s="20"/>
      <c r="L373" s="20"/>
      <c r="M373" s="20"/>
      <c r="N373" s="20"/>
      <c r="O373" s="20"/>
      <c r="P373" s="20"/>
      <c r="Q373" s="20"/>
      <c r="R373" s="20"/>
      <c r="S373" s="20"/>
      <c r="T373" s="20"/>
      <c r="U373" s="20"/>
      <c r="V373" s="20"/>
      <c r="W373" s="20"/>
      <c r="X373" s="20"/>
      <c r="Y373" s="20"/>
      <c r="Z373" s="20"/>
      <c r="AA373" s="20"/>
    </row>
    <row r="374">
      <c r="A374" s="20"/>
      <c r="B374" s="24"/>
      <c r="C374" s="24"/>
      <c r="D374" s="20"/>
      <c r="E374" s="20"/>
      <c r="F374" s="24"/>
      <c r="G374" s="20"/>
      <c r="H374" s="20"/>
      <c r="I374" s="20"/>
      <c r="J374" s="20"/>
      <c r="K374" s="20"/>
      <c r="L374" s="20"/>
      <c r="M374" s="20"/>
      <c r="N374" s="20"/>
      <c r="O374" s="20"/>
      <c r="P374" s="20"/>
      <c r="Q374" s="20"/>
      <c r="R374" s="20"/>
      <c r="S374" s="20"/>
      <c r="T374" s="20"/>
      <c r="U374" s="20"/>
      <c r="V374" s="20"/>
      <c r="W374" s="20"/>
      <c r="X374" s="20"/>
      <c r="Y374" s="20"/>
      <c r="Z374" s="20"/>
      <c r="AA374" s="20"/>
    </row>
    <row r="375">
      <c r="A375" s="20"/>
      <c r="B375" s="24"/>
      <c r="C375" s="24"/>
      <c r="D375" s="20"/>
      <c r="E375" s="20"/>
      <c r="F375" s="24"/>
      <c r="G375" s="20"/>
      <c r="H375" s="20"/>
      <c r="I375" s="20"/>
      <c r="J375" s="20"/>
      <c r="K375" s="20"/>
      <c r="L375" s="20"/>
      <c r="M375" s="20"/>
      <c r="N375" s="20"/>
      <c r="O375" s="20"/>
      <c r="P375" s="20"/>
      <c r="Q375" s="20"/>
      <c r="R375" s="20"/>
      <c r="S375" s="20"/>
      <c r="T375" s="20"/>
      <c r="U375" s="20"/>
      <c r="V375" s="20"/>
      <c r="W375" s="20"/>
      <c r="X375" s="20"/>
      <c r="Y375" s="20"/>
      <c r="Z375" s="20"/>
      <c r="AA375" s="20"/>
    </row>
    <row r="376">
      <c r="A376" s="20"/>
      <c r="B376" s="24"/>
      <c r="C376" s="24"/>
      <c r="D376" s="20"/>
      <c r="E376" s="20"/>
      <c r="F376" s="24"/>
      <c r="G376" s="20"/>
      <c r="H376" s="20"/>
      <c r="I376" s="20"/>
      <c r="J376" s="20"/>
      <c r="K376" s="20"/>
      <c r="L376" s="20"/>
      <c r="M376" s="20"/>
      <c r="N376" s="20"/>
      <c r="O376" s="20"/>
      <c r="P376" s="20"/>
      <c r="Q376" s="20"/>
      <c r="R376" s="20"/>
      <c r="S376" s="20"/>
      <c r="T376" s="20"/>
      <c r="U376" s="20"/>
      <c r="V376" s="20"/>
      <c r="W376" s="20"/>
      <c r="X376" s="20"/>
      <c r="Y376" s="20"/>
      <c r="Z376" s="20"/>
      <c r="AA376" s="20"/>
    </row>
    <row r="377">
      <c r="A377" s="20"/>
      <c r="B377" s="24"/>
      <c r="C377" s="24"/>
      <c r="D377" s="20"/>
      <c r="E377" s="20"/>
      <c r="F377" s="24"/>
      <c r="G377" s="20"/>
      <c r="H377" s="20"/>
      <c r="I377" s="20"/>
      <c r="J377" s="20"/>
      <c r="K377" s="20"/>
      <c r="L377" s="20"/>
      <c r="M377" s="20"/>
      <c r="N377" s="20"/>
      <c r="O377" s="20"/>
      <c r="P377" s="20"/>
      <c r="Q377" s="20"/>
      <c r="R377" s="20"/>
      <c r="S377" s="20"/>
      <c r="T377" s="20"/>
      <c r="U377" s="20"/>
      <c r="V377" s="20"/>
      <c r="W377" s="20"/>
      <c r="X377" s="20"/>
      <c r="Y377" s="20"/>
      <c r="Z377" s="20"/>
      <c r="AA377" s="20"/>
    </row>
    <row r="378">
      <c r="A378" s="20"/>
      <c r="B378" s="24"/>
      <c r="C378" s="24"/>
      <c r="D378" s="20"/>
      <c r="E378" s="20"/>
      <c r="F378" s="24"/>
      <c r="G378" s="20"/>
      <c r="H378" s="20"/>
      <c r="I378" s="20"/>
      <c r="J378" s="20"/>
      <c r="K378" s="20"/>
      <c r="L378" s="20"/>
      <c r="M378" s="20"/>
      <c r="N378" s="20"/>
      <c r="O378" s="20"/>
      <c r="P378" s="20"/>
      <c r="Q378" s="20"/>
      <c r="R378" s="20"/>
      <c r="S378" s="20"/>
      <c r="T378" s="20"/>
      <c r="U378" s="20"/>
      <c r="V378" s="20"/>
      <c r="W378" s="20"/>
      <c r="X378" s="20"/>
      <c r="Y378" s="20"/>
      <c r="Z378" s="20"/>
      <c r="AA378" s="20"/>
    </row>
    <row r="379">
      <c r="A379" s="20"/>
      <c r="B379" s="24"/>
      <c r="C379" s="24"/>
      <c r="D379" s="20"/>
      <c r="E379" s="20"/>
      <c r="F379" s="24"/>
      <c r="G379" s="20"/>
      <c r="H379" s="20"/>
      <c r="I379" s="20"/>
      <c r="J379" s="20"/>
      <c r="K379" s="20"/>
      <c r="L379" s="20"/>
      <c r="M379" s="20"/>
      <c r="N379" s="20"/>
      <c r="O379" s="20"/>
      <c r="P379" s="20"/>
      <c r="Q379" s="20"/>
      <c r="R379" s="20"/>
      <c r="S379" s="20"/>
      <c r="T379" s="20"/>
      <c r="U379" s="20"/>
      <c r="V379" s="20"/>
      <c r="W379" s="20"/>
      <c r="X379" s="20"/>
      <c r="Y379" s="20"/>
      <c r="Z379" s="20"/>
      <c r="AA379" s="20"/>
    </row>
    <row r="380">
      <c r="A380" s="20"/>
      <c r="B380" s="24"/>
      <c r="C380" s="24"/>
      <c r="D380" s="20"/>
      <c r="E380" s="20"/>
      <c r="F380" s="24"/>
      <c r="G380" s="20"/>
      <c r="H380" s="20"/>
      <c r="I380" s="20"/>
      <c r="J380" s="20"/>
      <c r="K380" s="20"/>
      <c r="L380" s="20"/>
      <c r="M380" s="20"/>
      <c r="N380" s="20"/>
      <c r="O380" s="20"/>
      <c r="P380" s="20"/>
      <c r="Q380" s="20"/>
      <c r="R380" s="20"/>
      <c r="S380" s="20"/>
      <c r="T380" s="20"/>
      <c r="U380" s="20"/>
      <c r="V380" s="20"/>
      <c r="W380" s="20"/>
      <c r="X380" s="20"/>
      <c r="Y380" s="20"/>
      <c r="Z380" s="20"/>
      <c r="AA380" s="20"/>
    </row>
    <row r="381">
      <c r="A381" s="20"/>
      <c r="B381" s="24"/>
      <c r="C381" s="24"/>
      <c r="D381" s="20"/>
      <c r="E381" s="20"/>
      <c r="F381" s="24"/>
      <c r="G381" s="20"/>
      <c r="H381" s="20"/>
      <c r="I381" s="20"/>
      <c r="J381" s="20"/>
      <c r="K381" s="20"/>
      <c r="L381" s="20"/>
      <c r="M381" s="20"/>
      <c r="N381" s="20"/>
      <c r="O381" s="20"/>
      <c r="P381" s="20"/>
      <c r="Q381" s="20"/>
      <c r="R381" s="20"/>
      <c r="S381" s="20"/>
      <c r="T381" s="20"/>
      <c r="U381" s="20"/>
      <c r="V381" s="20"/>
      <c r="W381" s="20"/>
      <c r="X381" s="20"/>
      <c r="Y381" s="20"/>
      <c r="Z381" s="20"/>
      <c r="AA381" s="20"/>
    </row>
    <row r="382">
      <c r="A382" s="20"/>
      <c r="B382" s="24"/>
      <c r="C382" s="24"/>
      <c r="D382" s="20"/>
      <c r="E382" s="20"/>
      <c r="F382" s="24"/>
      <c r="G382" s="20"/>
      <c r="H382" s="20"/>
      <c r="I382" s="20"/>
      <c r="J382" s="20"/>
      <c r="K382" s="20"/>
      <c r="L382" s="20"/>
      <c r="M382" s="20"/>
      <c r="N382" s="20"/>
      <c r="O382" s="20"/>
      <c r="P382" s="20"/>
      <c r="Q382" s="20"/>
      <c r="R382" s="20"/>
      <c r="S382" s="20"/>
      <c r="T382" s="20"/>
      <c r="U382" s="20"/>
      <c r="V382" s="20"/>
      <c r="W382" s="20"/>
      <c r="X382" s="20"/>
      <c r="Y382" s="20"/>
      <c r="Z382" s="20"/>
      <c r="AA382" s="20"/>
    </row>
    <row r="383">
      <c r="A383" s="20"/>
      <c r="B383" s="24"/>
      <c r="C383" s="24"/>
      <c r="D383" s="20"/>
      <c r="E383" s="20"/>
      <c r="F383" s="24"/>
      <c r="G383" s="20"/>
      <c r="H383" s="20"/>
      <c r="I383" s="20"/>
      <c r="J383" s="20"/>
      <c r="K383" s="20"/>
      <c r="L383" s="20"/>
      <c r="M383" s="20"/>
      <c r="N383" s="20"/>
      <c r="O383" s="20"/>
      <c r="P383" s="20"/>
      <c r="Q383" s="20"/>
      <c r="R383" s="20"/>
      <c r="S383" s="20"/>
      <c r="T383" s="20"/>
      <c r="U383" s="20"/>
      <c r="V383" s="20"/>
      <c r="W383" s="20"/>
      <c r="X383" s="20"/>
      <c r="Y383" s="20"/>
      <c r="Z383" s="20"/>
      <c r="AA383" s="20"/>
    </row>
    <row r="384">
      <c r="A384" s="20"/>
      <c r="B384" s="24"/>
      <c r="C384" s="24"/>
      <c r="D384" s="20"/>
      <c r="E384" s="20"/>
      <c r="F384" s="24"/>
      <c r="G384" s="20"/>
      <c r="H384" s="20"/>
      <c r="I384" s="20"/>
      <c r="J384" s="20"/>
      <c r="K384" s="20"/>
      <c r="L384" s="20"/>
      <c r="M384" s="20"/>
      <c r="N384" s="20"/>
      <c r="O384" s="20"/>
      <c r="P384" s="20"/>
      <c r="Q384" s="20"/>
      <c r="R384" s="20"/>
      <c r="S384" s="20"/>
      <c r="T384" s="20"/>
      <c r="U384" s="20"/>
      <c r="V384" s="20"/>
      <c r="W384" s="20"/>
      <c r="X384" s="20"/>
      <c r="Y384" s="20"/>
      <c r="Z384" s="20"/>
      <c r="AA384" s="20"/>
    </row>
    <row r="385">
      <c r="A385" s="20"/>
      <c r="B385" s="24"/>
      <c r="C385" s="24"/>
      <c r="D385" s="20"/>
      <c r="E385" s="20"/>
      <c r="F385" s="24"/>
      <c r="G385" s="20"/>
      <c r="H385" s="20"/>
      <c r="I385" s="20"/>
      <c r="J385" s="20"/>
      <c r="K385" s="20"/>
      <c r="L385" s="20"/>
      <c r="M385" s="20"/>
      <c r="N385" s="20"/>
      <c r="O385" s="20"/>
      <c r="P385" s="20"/>
      <c r="Q385" s="20"/>
      <c r="R385" s="20"/>
      <c r="S385" s="20"/>
      <c r="T385" s="20"/>
      <c r="U385" s="20"/>
      <c r="V385" s="20"/>
      <c r="W385" s="20"/>
      <c r="X385" s="20"/>
      <c r="Y385" s="20"/>
      <c r="Z385" s="20"/>
      <c r="AA385" s="20"/>
    </row>
    <row r="386">
      <c r="A386" s="20"/>
      <c r="B386" s="24"/>
      <c r="C386" s="24"/>
      <c r="D386" s="20"/>
      <c r="E386" s="20"/>
      <c r="F386" s="24"/>
      <c r="G386" s="20"/>
      <c r="H386" s="20"/>
      <c r="I386" s="20"/>
      <c r="J386" s="20"/>
      <c r="K386" s="20"/>
      <c r="L386" s="20"/>
      <c r="M386" s="20"/>
      <c r="N386" s="20"/>
      <c r="O386" s="20"/>
      <c r="P386" s="20"/>
      <c r="Q386" s="20"/>
      <c r="R386" s="20"/>
      <c r="S386" s="20"/>
      <c r="T386" s="20"/>
      <c r="U386" s="20"/>
      <c r="V386" s="20"/>
      <c r="W386" s="20"/>
      <c r="X386" s="20"/>
      <c r="Y386" s="20"/>
      <c r="Z386" s="20"/>
      <c r="AA386" s="20"/>
    </row>
    <row r="387">
      <c r="A387" s="20"/>
      <c r="B387" s="24"/>
      <c r="C387" s="24"/>
      <c r="D387" s="20"/>
      <c r="E387" s="20"/>
      <c r="F387" s="24"/>
      <c r="G387" s="20"/>
      <c r="H387" s="20"/>
      <c r="I387" s="20"/>
      <c r="J387" s="20"/>
      <c r="K387" s="20"/>
      <c r="L387" s="20"/>
      <c r="M387" s="20"/>
      <c r="N387" s="20"/>
      <c r="O387" s="20"/>
      <c r="P387" s="20"/>
      <c r="Q387" s="20"/>
      <c r="R387" s="20"/>
      <c r="S387" s="20"/>
      <c r="T387" s="20"/>
      <c r="U387" s="20"/>
      <c r="V387" s="20"/>
      <c r="W387" s="20"/>
      <c r="X387" s="20"/>
      <c r="Y387" s="20"/>
      <c r="Z387" s="20"/>
      <c r="AA387" s="20"/>
    </row>
    <row r="388">
      <c r="A388" s="20"/>
      <c r="B388" s="24"/>
      <c r="C388" s="24"/>
      <c r="D388" s="20"/>
      <c r="E388" s="20"/>
      <c r="F388" s="24"/>
      <c r="G388" s="20"/>
      <c r="H388" s="20"/>
      <c r="I388" s="20"/>
      <c r="J388" s="20"/>
      <c r="K388" s="20"/>
      <c r="L388" s="20"/>
      <c r="M388" s="20"/>
      <c r="N388" s="20"/>
      <c r="O388" s="20"/>
      <c r="P388" s="20"/>
      <c r="Q388" s="20"/>
      <c r="R388" s="20"/>
      <c r="S388" s="20"/>
      <c r="T388" s="20"/>
      <c r="U388" s="20"/>
      <c r="V388" s="20"/>
      <c r="W388" s="20"/>
      <c r="X388" s="20"/>
      <c r="Y388" s="20"/>
      <c r="Z388" s="20"/>
      <c r="AA388" s="20"/>
    </row>
    <row r="389">
      <c r="A389" s="20"/>
      <c r="B389" s="24"/>
      <c r="C389" s="24"/>
      <c r="D389" s="20"/>
      <c r="E389" s="20"/>
      <c r="F389" s="24"/>
      <c r="G389" s="20"/>
      <c r="H389" s="20"/>
      <c r="I389" s="20"/>
      <c r="J389" s="20"/>
      <c r="K389" s="20"/>
      <c r="L389" s="20"/>
      <c r="M389" s="20"/>
      <c r="N389" s="20"/>
      <c r="O389" s="20"/>
      <c r="P389" s="20"/>
      <c r="Q389" s="20"/>
      <c r="R389" s="20"/>
      <c r="S389" s="20"/>
      <c r="T389" s="20"/>
      <c r="U389" s="20"/>
      <c r="V389" s="20"/>
      <c r="W389" s="20"/>
      <c r="X389" s="20"/>
      <c r="Y389" s="20"/>
      <c r="Z389" s="20"/>
      <c r="AA389" s="20"/>
    </row>
    <row r="390">
      <c r="A390" s="20"/>
      <c r="B390" s="24"/>
      <c r="C390" s="24"/>
      <c r="D390" s="20"/>
      <c r="E390" s="20"/>
      <c r="F390" s="24"/>
      <c r="G390" s="20"/>
      <c r="H390" s="20"/>
      <c r="I390" s="20"/>
      <c r="J390" s="20"/>
      <c r="K390" s="20"/>
      <c r="L390" s="20"/>
      <c r="M390" s="20"/>
      <c r="N390" s="20"/>
      <c r="O390" s="20"/>
      <c r="P390" s="20"/>
      <c r="Q390" s="20"/>
      <c r="R390" s="20"/>
      <c r="S390" s="20"/>
      <c r="T390" s="20"/>
      <c r="U390" s="20"/>
      <c r="V390" s="20"/>
      <c r="W390" s="20"/>
      <c r="X390" s="20"/>
      <c r="Y390" s="20"/>
      <c r="Z390" s="20"/>
      <c r="AA390" s="20"/>
    </row>
    <row r="391">
      <c r="A391" s="20"/>
      <c r="B391" s="24"/>
      <c r="C391" s="24"/>
      <c r="D391" s="20"/>
      <c r="E391" s="20"/>
      <c r="F391" s="24"/>
      <c r="G391" s="20"/>
      <c r="H391" s="20"/>
      <c r="I391" s="20"/>
      <c r="J391" s="20"/>
      <c r="K391" s="20"/>
      <c r="L391" s="20"/>
      <c r="M391" s="20"/>
      <c r="N391" s="20"/>
      <c r="O391" s="20"/>
      <c r="P391" s="20"/>
      <c r="Q391" s="20"/>
      <c r="R391" s="20"/>
      <c r="S391" s="20"/>
      <c r="T391" s="20"/>
      <c r="U391" s="20"/>
      <c r="V391" s="20"/>
      <c r="W391" s="20"/>
      <c r="X391" s="20"/>
      <c r="Y391" s="20"/>
      <c r="Z391" s="20"/>
      <c r="AA391" s="20"/>
    </row>
    <row r="392">
      <c r="A392" s="20"/>
      <c r="B392" s="24"/>
      <c r="C392" s="24"/>
      <c r="D392" s="20"/>
      <c r="E392" s="20"/>
      <c r="F392" s="24"/>
      <c r="G392" s="20"/>
      <c r="H392" s="20"/>
      <c r="I392" s="20"/>
      <c r="J392" s="20"/>
      <c r="K392" s="20"/>
      <c r="L392" s="20"/>
      <c r="M392" s="20"/>
      <c r="N392" s="20"/>
      <c r="O392" s="20"/>
      <c r="P392" s="20"/>
      <c r="Q392" s="20"/>
      <c r="R392" s="20"/>
      <c r="S392" s="20"/>
      <c r="T392" s="20"/>
      <c r="U392" s="20"/>
      <c r="V392" s="20"/>
      <c r="W392" s="20"/>
      <c r="X392" s="20"/>
      <c r="Y392" s="20"/>
      <c r="Z392" s="20"/>
      <c r="AA392" s="20"/>
    </row>
    <row r="393">
      <c r="A393" s="20"/>
      <c r="B393" s="24"/>
      <c r="C393" s="24"/>
      <c r="D393" s="20"/>
      <c r="E393" s="20"/>
      <c r="F393" s="24"/>
      <c r="G393" s="20"/>
      <c r="H393" s="20"/>
      <c r="I393" s="20"/>
      <c r="J393" s="20"/>
      <c r="K393" s="20"/>
      <c r="L393" s="20"/>
      <c r="M393" s="20"/>
      <c r="N393" s="20"/>
      <c r="O393" s="20"/>
      <c r="P393" s="20"/>
      <c r="Q393" s="20"/>
      <c r="R393" s="20"/>
      <c r="S393" s="20"/>
      <c r="T393" s="20"/>
      <c r="U393" s="20"/>
      <c r="V393" s="20"/>
      <c r="W393" s="20"/>
      <c r="X393" s="20"/>
      <c r="Y393" s="20"/>
      <c r="Z393" s="20"/>
      <c r="AA393" s="20"/>
    </row>
    <row r="394">
      <c r="A394" s="20"/>
      <c r="B394" s="24"/>
      <c r="C394" s="24"/>
      <c r="D394" s="20"/>
      <c r="E394" s="20"/>
      <c r="F394" s="24"/>
      <c r="G394" s="20"/>
      <c r="H394" s="20"/>
      <c r="I394" s="20"/>
      <c r="J394" s="20"/>
      <c r="K394" s="20"/>
      <c r="L394" s="20"/>
      <c r="M394" s="20"/>
      <c r="N394" s="20"/>
      <c r="O394" s="20"/>
      <c r="P394" s="20"/>
      <c r="Q394" s="20"/>
      <c r="R394" s="20"/>
      <c r="S394" s="20"/>
      <c r="T394" s="20"/>
      <c r="U394" s="20"/>
      <c r="V394" s="20"/>
      <c r="W394" s="20"/>
      <c r="X394" s="20"/>
      <c r="Y394" s="20"/>
      <c r="Z394" s="20"/>
      <c r="AA394" s="20"/>
    </row>
    <row r="395">
      <c r="A395" s="20"/>
      <c r="B395" s="24"/>
      <c r="C395" s="24"/>
      <c r="D395" s="20"/>
      <c r="E395" s="20"/>
      <c r="F395" s="24"/>
      <c r="G395" s="20"/>
      <c r="H395" s="20"/>
      <c r="I395" s="20"/>
      <c r="J395" s="20"/>
      <c r="K395" s="20"/>
      <c r="L395" s="20"/>
      <c r="M395" s="20"/>
      <c r="N395" s="20"/>
      <c r="O395" s="20"/>
      <c r="P395" s="20"/>
      <c r="Q395" s="20"/>
      <c r="R395" s="20"/>
      <c r="S395" s="20"/>
      <c r="T395" s="20"/>
      <c r="U395" s="20"/>
      <c r="V395" s="20"/>
      <c r="W395" s="20"/>
      <c r="X395" s="20"/>
      <c r="Y395" s="20"/>
      <c r="Z395" s="20"/>
      <c r="AA395" s="20"/>
    </row>
    <row r="396">
      <c r="A396" s="20"/>
      <c r="B396" s="24"/>
      <c r="C396" s="24"/>
      <c r="D396" s="20"/>
      <c r="E396" s="20"/>
      <c r="F396" s="24"/>
      <c r="G396" s="20"/>
      <c r="H396" s="20"/>
      <c r="I396" s="20"/>
      <c r="J396" s="20"/>
      <c r="K396" s="20"/>
      <c r="L396" s="20"/>
      <c r="M396" s="20"/>
      <c r="N396" s="20"/>
      <c r="O396" s="20"/>
      <c r="P396" s="20"/>
      <c r="Q396" s="20"/>
      <c r="R396" s="20"/>
      <c r="S396" s="20"/>
      <c r="T396" s="20"/>
      <c r="U396" s="20"/>
      <c r="V396" s="20"/>
      <c r="W396" s="20"/>
      <c r="X396" s="20"/>
      <c r="Y396" s="20"/>
      <c r="Z396" s="20"/>
      <c r="AA396" s="20"/>
    </row>
    <row r="397">
      <c r="A397" s="20"/>
      <c r="B397" s="24"/>
      <c r="C397" s="24"/>
      <c r="D397" s="20"/>
      <c r="E397" s="20"/>
      <c r="F397" s="24"/>
      <c r="G397" s="20"/>
      <c r="H397" s="20"/>
      <c r="I397" s="20"/>
      <c r="J397" s="20"/>
      <c r="K397" s="20"/>
      <c r="L397" s="20"/>
      <c r="M397" s="20"/>
      <c r="N397" s="20"/>
      <c r="O397" s="20"/>
      <c r="P397" s="20"/>
      <c r="Q397" s="20"/>
      <c r="R397" s="20"/>
      <c r="S397" s="20"/>
      <c r="T397" s="20"/>
      <c r="U397" s="20"/>
      <c r="V397" s="20"/>
      <c r="W397" s="20"/>
      <c r="X397" s="20"/>
      <c r="Y397" s="20"/>
      <c r="Z397" s="20"/>
      <c r="AA397" s="20"/>
    </row>
    <row r="398">
      <c r="A398" s="20"/>
      <c r="B398" s="24"/>
      <c r="C398" s="24"/>
      <c r="D398" s="20"/>
      <c r="E398" s="20"/>
      <c r="F398" s="24"/>
      <c r="G398" s="20"/>
      <c r="H398" s="20"/>
      <c r="I398" s="20"/>
      <c r="J398" s="20"/>
      <c r="K398" s="20"/>
      <c r="L398" s="20"/>
      <c r="M398" s="20"/>
      <c r="N398" s="20"/>
      <c r="O398" s="20"/>
      <c r="P398" s="20"/>
      <c r="Q398" s="20"/>
      <c r="R398" s="20"/>
      <c r="S398" s="20"/>
      <c r="T398" s="20"/>
      <c r="U398" s="20"/>
      <c r="V398" s="20"/>
      <c r="W398" s="20"/>
      <c r="X398" s="20"/>
      <c r="Y398" s="20"/>
      <c r="Z398" s="20"/>
      <c r="AA398" s="20"/>
    </row>
    <row r="399">
      <c r="A399" s="20"/>
      <c r="B399" s="24"/>
      <c r="C399" s="24"/>
      <c r="D399" s="20"/>
      <c r="E399" s="20"/>
      <c r="F399" s="24"/>
      <c r="G399" s="20"/>
      <c r="H399" s="20"/>
      <c r="I399" s="20"/>
      <c r="J399" s="20"/>
      <c r="K399" s="20"/>
      <c r="L399" s="20"/>
      <c r="M399" s="20"/>
      <c r="N399" s="20"/>
      <c r="O399" s="20"/>
      <c r="P399" s="20"/>
      <c r="Q399" s="20"/>
      <c r="R399" s="20"/>
      <c r="S399" s="20"/>
      <c r="T399" s="20"/>
      <c r="U399" s="20"/>
      <c r="V399" s="20"/>
      <c r="W399" s="20"/>
      <c r="X399" s="20"/>
      <c r="Y399" s="20"/>
      <c r="Z399" s="20"/>
      <c r="AA399" s="20"/>
    </row>
    <row r="400">
      <c r="A400" s="20"/>
      <c r="B400" s="24"/>
      <c r="C400" s="24"/>
      <c r="D400" s="20"/>
      <c r="E400" s="20"/>
      <c r="F400" s="24"/>
      <c r="G400" s="20"/>
      <c r="H400" s="20"/>
      <c r="I400" s="20"/>
      <c r="J400" s="20"/>
      <c r="K400" s="20"/>
      <c r="L400" s="20"/>
      <c r="M400" s="20"/>
      <c r="N400" s="20"/>
      <c r="O400" s="20"/>
      <c r="P400" s="20"/>
      <c r="Q400" s="20"/>
      <c r="R400" s="20"/>
      <c r="S400" s="20"/>
      <c r="T400" s="20"/>
      <c r="U400" s="20"/>
      <c r="V400" s="20"/>
      <c r="W400" s="20"/>
      <c r="X400" s="20"/>
      <c r="Y400" s="20"/>
      <c r="Z400" s="20"/>
      <c r="AA400" s="20"/>
    </row>
    <row r="401">
      <c r="A401" s="20"/>
      <c r="B401" s="24"/>
      <c r="C401" s="24"/>
      <c r="D401" s="20"/>
      <c r="E401" s="20"/>
      <c r="F401" s="24"/>
      <c r="G401" s="20"/>
      <c r="H401" s="20"/>
      <c r="I401" s="20"/>
      <c r="J401" s="20"/>
      <c r="K401" s="20"/>
      <c r="L401" s="20"/>
      <c r="M401" s="20"/>
      <c r="N401" s="20"/>
      <c r="O401" s="20"/>
      <c r="P401" s="20"/>
      <c r="Q401" s="20"/>
      <c r="R401" s="20"/>
      <c r="S401" s="20"/>
      <c r="T401" s="20"/>
      <c r="U401" s="20"/>
      <c r="V401" s="20"/>
      <c r="W401" s="20"/>
      <c r="X401" s="20"/>
      <c r="Y401" s="20"/>
      <c r="Z401" s="20"/>
      <c r="AA401" s="20"/>
    </row>
    <row r="402">
      <c r="A402" s="20"/>
      <c r="B402" s="24"/>
      <c r="C402" s="24"/>
      <c r="D402" s="20"/>
      <c r="E402" s="20"/>
      <c r="F402" s="24"/>
      <c r="G402" s="20"/>
      <c r="H402" s="20"/>
      <c r="I402" s="20"/>
      <c r="J402" s="20"/>
      <c r="K402" s="20"/>
      <c r="L402" s="20"/>
      <c r="M402" s="20"/>
      <c r="N402" s="20"/>
      <c r="O402" s="20"/>
      <c r="P402" s="20"/>
      <c r="Q402" s="20"/>
      <c r="R402" s="20"/>
      <c r="S402" s="20"/>
      <c r="T402" s="20"/>
      <c r="U402" s="20"/>
      <c r="V402" s="20"/>
      <c r="W402" s="20"/>
      <c r="X402" s="20"/>
      <c r="Y402" s="20"/>
      <c r="Z402" s="20"/>
      <c r="AA402" s="20"/>
    </row>
    <row r="403">
      <c r="A403" s="20"/>
      <c r="B403" s="24"/>
      <c r="C403" s="24"/>
      <c r="D403" s="20"/>
      <c r="E403" s="20"/>
      <c r="F403" s="24"/>
      <c r="G403" s="20"/>
      <c r="H403" s="20"/>
      <c r="I403" s="20"/>
      <c r="J403" s="20"/>
      <c r="K403" s="20"/>
      <c r="L403" s="20"/>
      <c r="M403" s="20"/>
      <c r="N403" s="20"/>
      <c r="O403" s="20"/>
      <c r="P403" s="20"/>
      <c r="Q403" s="20"/>
      <c r="R403" s="20"/>
      <c r="S403" s="20"/>
      <c r="T403" s="20"/>
      <c r="U403" s="20"/>
      <c r="V403" s="20"/>
      <c r="W403" s="20"/>
      <c r="X403" s="20"/>
      <c r="Y403" s="20"/>
      <c r="Z403" s="20"/>
      <c r="AA403" s="20"/>
    </row>
    <row r="404">
      <c r="A404" s="20"/>
      <c r="B404" s="24"/>
      <c r="C404" s="24"/>
      <c r="D404" s="20"/>
      <c r="E404" s="20"/>
      <c r="F404" s="24"/>
      <c r="G404" s="20"/>
      <c r="H404" s="20"/>
      <c r="I404" s="20"/>
      <c r="J404" s="20"/>
      <c r="K404" s="20"/>
      <c r="L404" s="20"/>
      <c r="M404" s="20"/>
      <c r="N404" s="20"/>
      <c r="O404" s="20"/>
      <c r="P404" s="20"/>
      <c r="Q404" s="20"/>
      <c r="R404" s="20"/>
      <c r="S404" s="20"/>
      <c r="T404" s="20"/>
      <c r="U404" s="20"/>
      <c r="V404" s="20"/>
      <c r="W404" s="20"/>
      <c r="X404" s="20"/>
      <c r="Y404" s="20"/>
      <c r="Z404" s="20"/>
      <c r="AA404" s="20"/>
    </row>
    <row r="405">
      <c r="A405" s="20"/>
      <c r="B405" s="24"/>
      <c r="C405" s="24"/>
      <c r="D405" s="20"/>
      <c r="E405" s="20"/>
      <c r="F405" s="24"/>
      <c r="G405" s="20"/>
      <c r="H405" s="20"/>
      <c r="I405" s="20"/>
      <c r="J405" s="20"/>
      <c r="K405" s="20"/>
      <c r="L405" s="20"/>
      <c r="M405" s="20"/>
      <c r="N405" s="20"/>
      <c r="O405" s="20"/>
      <c r="P405" s="20"/>
      <c r="Q405" s="20"/>
      <c r="R405" s="20"/>
      <c r="S405" s="20"/>
      <c r="T405" s="20"/>
      <c r="U405" s="20"/>
      <c r="V405" s="20"/>
      <c r="W405" s="20"/>
      <c r="X405" s="20"/>
      <c r="Y405" s="20"/>
      <c r="Z405" s="20"/>
      <c r="AA405" s="20"/>
    </row>
    <row r="406">
      <c r="A406" s="20"/>
      <c r="B406" s="24"/>
      <c r="C406" s="24"/>
      <c r="D406" s="20"/>
      <c r="E406" s="20"/>
      <c r="F406" s="24"/>
      <c r="G406" s="20"/>
      <c r="H406" s="20"/>
      <c r="I406" s="20"/>
      <c r="J406" s="20"/>
      <c r="K406" s="20"/>
      <c r="L406" s="20"/>
      <c r="M406" s="20"/>
      <c r="N406" s="20"/>
      <c r="O406" s="20"/>
      <c r="P406" s="20"/>
      <c r="Q406" s="20"/>
      <c r="R406" s="20"/>
      <c r="S406" s="20"/>
      <c r="T406" s="20"/>
      <c r="U406" s="20"/>
      <c r="V406" s="20"/>
      <c r="W406" s="20"/>
      <c r="X406" s="20"/>
      <c r="Y406" s="20"/>
      <c r="Z406" s="20"/>
      <c r="AA406" s="20"/>
    </row>
    <row r="407">
      <c r="A407" s="20"/>
      <c r="B407" s="24"/>
      <c r="C407" s="24"/>
      <c r="D407" s="20"/>
      <c r="E407" s="20"/>
      <c r="F407" s="24"/>
      <c r="G407" s="20"/>
      <c r="H407" s="20"/>
      <c r="I407" s="20"/>
      <c r="J407" s="20"/>
      <c r="K407" s="20"/>
      <c r="L407" s="20"/>
      <c r="M407" s="20"/>
      <c r="N407" s="20"/>
      <c r="O407" s="20"/>
      <c r="P407" s="20"/>
      <c r="Q407" s="20"/>
      <c r="R407" s="20"/>
      <c r="S407" s="20"/>
      <c r="T407" s="20"/>
      <c r="U407" s="20"/>
      <c r="V407" s="20"/>
      <c r="W407" s="20"/>
      <c r="X407" s="20"/>
      <c r="Y407" s="20"/>
      <c r="Z407" s="20"/>
      <c r="AA407" s="20"/>
    </row>
    <row r="408">
      <c r="A408" s="20"/>
      <c r="B408" s="24"/>
      <c r="C408" s="24"/>
      <c r="D408" s="20"/>
      <c r="E408" s="20"/>
      <c r="F408" s="24"/>
      <c r="G408" s="20"/>
      <c r="H408" s="20"/>
      <c r="I408" s="20"/>
      <c r="J408" s="20"/>
      <c r="K408" s="20"/>
      <c r="L408" s="20"/>
      <c r="M408" s="20"/>
      <c r="N408" s="20"/>
      <c r="O408" s="20"/>
      <c r="P408" s="20"/>
      <c r="Q408" s="20"/>
      <c r="R408" s="20"/>
      <c r="S408" s="20"/>
      <c r="T408" s="20"/>
      <c r="U408" s="20"/>
      <c r="V408" s="20"/>
      <c r="W408" s="20"/>
      <c r="X408" s="20"/>
      <c r="Y408" s="20"/>
      <c r="Z408" s="20"/>
      <c r="AA408" s="20"/>
    </row>
    <row r="409">
      <c r="A409" s="20"/>
      <c r="B409" s="24"/>
      <c r="C409" s="24"/>
      <c r="D409" s="20"/>
      <c r="E409" s="20"/>
      <c r="F409" s="24"/>
      <c r="G409" s="20"/>
      <c r="H409" s="20"/>
      <c r="I409" s="20"/>
      <c r="J409" s="20"/>
      <c r="K409" s="20"/>
      <c r="L409" s="20"/>
      <c r="M409" s="20"/>
      <c r="N409" s="20"/>
      <c r="O409" s="20"/>
      <c r="P409" s="20"/>
      <c r="Q409" s="20"/>
      <c r="R409" s="20"/>
      <c r="S409" s="20"/>
      <c r="T409" s="20"/>
      <c r="U409" s="20"/>
      <c r="V409" s="20"/>
      <c r="W409" s="20"/>
      <c r="X409" s="20"/>
      <c r="Y409" s="20"/>
      <c r="Z409" s="20"/>
      <c r="AA409" s="20"/>
    </row>
    <row r="410">
      <c r="A410" s="20"/>
      <c r="B410" s="24"/>
      <c r="C410" s="24"/>
      <c r="D410" s="20"/>
      <c r="E410" s="20"/>
      <c r="F410" s="24"/>
      <c r="G410" s="20"/>
      <c r="H410" s="20"/>
      <c r="I410" s="20"/>
      <c r="J410" s="20"/>
      <c r="K410" s="20"/>
      <c r="L410" s="20"/>
      <c r="M410" s="20"/>
      <c r="N410" s="20"/>
      <c r="O410" s="20"/>
      <c r="P410" s="20"/>
      <c r="Q410" s="20"/>
      <c r="R410" s="20"/>
      <c r="S410" s="20"/>
      <c r="T410" s="20"/>
      <c r="U410" s="20"/>
      <c r="V410" s="20"/>
      <c r="W410" s="20"/>
      <c r="X410" s="20"/>
      <c r="Y410" s="20"/>
      <c r="Z410" s="20"/>
      <c r="AA410" s="20"/>
    </row>
    <row r="411">
      <c r="A411" s="20"/>
      <c r="B411" s="24"/>
      <c r="C411" s="24"/>
      <c r="D411" s="20"/>
      <c r="E411" s="20"/>
      <c r="F411" s="24"/>
      <c r="G411" s="20"/>
      <c r="H411" s="20"/>
      <c r="I411" s="20"/>
      <c r="J411" s="20"/>
      <c r="K411" s="20"/>
      <c r="L411" s="20"/>
      <c r="M411" s="20"/>
      <c r="N411" s="20"/>
      <c r="O411" s="20"/>
      <c r="P411" s="20"/>
      <c r="Q411" s="20"/>
      <c r="R411" s="20"/>
      <c r="S411" s="20"/>
      <c r="T411" s="20"/>
      <c r="U411" s="20"/>
      <c r="V411" s="20"/>
      <c r="W411" s="20"/>
      <c r="X411" s="20"/>
      <c r="Y411" s="20"/>
      <c r="Z411" s="20"/>
      <c r="AA411" s="20"/>
    </row>
    <row r="412">
      <c r="A412" s="20"/>
      <c r="B412" s="24"/>
      <c r="C412" s="24"/>
      <c r="D412" s="20"/>
      <c r="E412" s="20"/>
      <c r="F412" s="24"/>
      <c r="G412" s="20"/>
      <c r="H412" s="20"/>
      <c r="I412" s="20"/>
      <c r="J412" s="20"/>
      <c r="K412" s="20"/>
      <c r="L412" s="20"/>
      <c r="M412" s="20"/>
      <c r="N412" s="20"/>
      <c r="O412" s="20"/>
      <c r="P412" s="20"/>
      <c r="Q412" s="20"/>
      <c r="R412" s="20"/>
      <c r="S412" s="20"/>
      <c r="T412" s="20"/>
      <c r="U412" s="20"/>
      <c r="V412" s="20"/>
      <c r="W412" s="20"/>
      <c r="X412" s="20"/>
      <c r="Y412" s="20"/>
      <c r="Z412" s="20"/>
      <c r="AA412" s="20"/>
    </row>
    <row r="413">
      <c r="A413" s="20"/>
      <c r="B413" s="24"/>
      <c r="C413" s="24"/>
      <c r="D413" s="20"/>
      <c r="E413" s="20"/>
      <c r="F413" s="24"/>
      <c r="G413" s="20"/>
      <c r="H413" s="20"/>
      <c r="I413" s="20"/>
      <c r="J413" s="20"/>
      <c r="K413" s="20"/>
      <c r="L413" s="20"/>
      <c r="M413" s="20"/>
      <c r="N413" s="20"/>
      <c r="O413" s="20"/>
      <c r="P413" s="20"/>
      <c r="Q413" s="20"/>
      <c r="R413" s="20"/>
      <c r="S413" s="20"/>
      <c r="T413" s="20"/>
      <c r="U413" s="20"/>
      <c r="V413" s="20"/>
      <c r="W413" s="20"/>
      <c r="X413" s="20"/>
      <c r="Y413" s="20"/>
      <c r="Z413" s="20"/>
      <c r="AA413" s="20"/>
    </row>
    <row r="414">
      <c r="A414" s="20"/>
      <c r="B414" s="24"/>
      <c r="C414" s="24"/>
      <c r="D414" s="20"/>
      <c r="E414" s="20"/>
      <c r="F414" s="24"/>
      <c r="G414" s="20"/>
      <c r="H414" s="20"/>
      <c r="I414" s="20"/>
      <c r="J414" s="20"/>
      <c r="K414" s="20"/>
      <c r="L414" s="20"/>
      <c r="M414" s="20"/>
      <c r="N414" s="20"/>
      <c r="O414" s="20"/>
      <c r="P414" s="20"/>
      <c r="Q414" s="20"/>
      <c r="R414" s="20"/>
      <c r="S414" s="20"/>
      <c r="T414" s="20"/>
      <c r="U414" s="20"/>
      <c r="V414" s="20"/>
      <c r="W414" s="20"/>
      <c r="X414" s="20"/>
      <c r="Y414" s="20"/>
      <c r="Z414" s="20"/>
      <c r="AA414" s="20"/>
    </row>
    <row r="415">
      <c r="A415" s="20"/>
      <c r="B415" s="24"/>
      <c r="C415" s="24"/>
      <c r="D415" s="20"/>
      <c r="E415" s="20"/>
      <c r="F415" s="24"/>
      <c r="G415" s="20"/>
      <c r="H415" s="20"/>
      <c r="I415" s="20"/>
      <c r="J415" s="20"/>
      <c r="K415" s="20"/>
      <c r="L415" s="20"/>
      <c r="M415" s="20"/>
      <c r="N415" s="20"/>
      <c r="O415" s="20"/>
      <c r="P415" s="20"/>
      <c r="Q415" s="20"/>
      <c r="R415" s="20"/>
      <c r="S415" s="20"/>
      <c r="T415" s="20"/>
      <c r="U415" s="20"/>
      <c r="V415" s="20"/>
      <c r="W415" s="20"/>
      <c r="X415" s="20"/>
      <c r="Y415" s="20"/>
      <c r="Z415" s="20"/>
      <c r="AA415" s="20"/>
    </row>
    <row r="416">
      <c r="A416" s="20"/>
      <c r="B416" s="24"/>
      <c r="C416" s="24"/>
      <c r="D416" s="20"/>
      <c r="E416" s="20"/>
      <c r="F416" s="24"/>
      <c r="G416" s="20"/>
      <c r="H416" s="20"/>
      <c r="I416" s="20"/>
      <c r="J416" s="20"/>
      <c r="K416" s="20"/>
      <c r="L416" s="20"/>
      <c r="M416" s="20"/>
      <c r="N416" s="20"/>
      <c r="O416" s="20"/>
      <c r="P416" s="20"/>
      <c r="Q416" s="20"/>
      <c r="R416" s="20"/>
      <c r="S416" s="20"/>
      <c r="T416" s="20"/>
      <c r="U416" s="20"/>
      <c r="V416" s="20"/>
      <c r="W416" s="20"/>
      <c r="X416" s="20"/>
      <c r="Y416" s="20"/>
      <c r="Z416" s="20"/>
      <c r="AA416" s="20"/>
    </row>
    <row r="417">
      <c r="A417" s="20"/>
      <c r="B417" s="24"/>
      <c r="C417" s="24"/>
      <c r="D417" s="20"/>
      <c r="E417" s="20"/>
      <c r="F417" s="24"/>
      <c r="G417" s="20"/>
      <c r="H417" s="20"/>
      <c r="I417" s="20"/>
      <c r="J417" s="20"/>
      <c r="K417" s="20"/>
      <c r="L417" s="20"/>
      <c r="M417" s="20"/>
      <c r="N417" s="20"/>
      <c r="O417" s="20"/>
      <c r="P417" s="20"/>
      <c r="Q417" s="20"/>
      <c r="R417" s="20"/>
      <c r="S417" s="20"/>
      <c r="T417" s="20"/>
      <c r="U417" s="20"/>
      <c r="V417" s="20"/>
      <c r="W417" s="20"/>
      <c r="X417" s="20"/>
      <c r="Y417" s="20"/>
      <c r="Z417" s="20"/>
      <c r="AA417" s="20"/>
    </row>
    <row r="418">
      <c r="A418" s="20"/>
      <c r="B418" s="24"/>
      <c r="C418" s="24"/>
      <c r="D418" s="20"/>
      <c r="E418" s="20"/>
      <c r="F418" s="24"/>
      <c r="G418" s="20"/>
      <c r="H418" s="20"/>
      <c r="I418" s="20"/>
      <c r="J418" s="20"/>
      <c r="K418" s="20"/>
      <c r="L418" s="20"/>
      <c r="M418" s="20"/>
      <c r="N418" s="20"/>
      <c r="O418" s="20"/>
      <c r="P418" s="20"/>
      <c r="Q418" s="20"/>
      <c r="R418" s="20"/>
      <c r="S418" s="20"/>
      <c r="T418" s="20"/>
      <c r="U418" s="20"/>
      <c r="V418" s="20"/>
      <c r="W418" s="20"/>
      <c r="X418" s="20"/>
      <c r="Y418" s="20"/>
      <c r="Z418" s="20"/>
      <c r="AA418" s="20"/>
    </row>
    <row r="419">
      <c r="A419" s="20"/>
      <c r="B419" s="24"/>
      <c r="C419" s="24"/>
      <c r="D419" s="20"/>
      <c r="E419" s="20"/>
      <c r="F419" s="24"/>
      <c r="G419" s="20"/>
      <c r="H419" s="20"/>
      <c r="I419" s="20"/>
      <c r="J419" s="20"/>
      <c r="K419" s="20"/>
      <c r="L419" s="20"/>
      <c r="M419" s="20"/>
      <c r="N419" s="20"/>
      <c r="O419" s="20"/>
      <c r="P419" s="20"/>
      <c r="Q419" s="20"/>
      <c r="R419" s="20"/>
      <c r="S419" s="20"/>
      <c r="T419" s="20"/>
      <c r="U419" s="20"/>
      <c r="V419" s="20"/>
      <c r="W419" s="20"/>
      <c r="X419" s="20"/>
      <c r="Y419" s="20"/>
      <c r="Z419" s="20"/>
      <c r="AA419" s="20"/>
    </row>
    <row r="420">
      <c r="A420" s="20"/>
      <c r="B420" s="24"/>
      <c r="C420" s="24"/>
      <c r="D420" s="20"/>
      <c r="E420" s="20"/>
      <c r="F420" s="24"/>
      <c r="G420" s="20"/>
      <c r="H420" s="20"/>
      <c r="I420" s="20"/>
      <c r="J420" s="20"/>
      <c r="K420" s="20"/>
      <c r="L420" s="20"/>
      <c r="M420" s="20"/>
      <c r="N420" s="20"/>
      <c r="O420" s="20"/>
      <c r="P420" s="20"/>
      <c r="Q420" s="20"/>
      <c r="R420" s="20"/>
      <c r="S420" s="20"/>
      <c r="T420" s="20"/>
      <c r="U420" s="20"/>
      <c r="V420" s="20"/>
      <c r="W420" s="20"/>
      <c r="X420" s="20"/>
      <c r="Y420" s="20"/>
      <c r="Z420" s="20"/>
      <c r="AA420" s="20"/>
    </row>
    <row r="421">
      <c r="A421" s="20"/>
      <c r="B421" s="24"/>
      <c r="C421" s="24"/>
      <c r="D421" s="20"/>
      <c r="E421" s="20"/>
      <c r="F421" s="24"/>
      <c r="G421" s="20"/>
      <c r="H421" s="20"/>
      <c r="I421" s="20"/>
      <c r="J421" s="20"/>
      <c r="K421" s="20"/>
      <c r="L421" s="20"/>
      <c r="M421" s="20"/>
      <c r="N421" s="20"/>
      <c r="O421" s="20"/>
      <c r="P421" s="20"/>
      <c r="Q421" s="20"/>
      <c r="R421" s="20"/>
      <c r="S421" s="20"/>
      <c r="T421" s="20"/>
      <c r="U421" s="20"/>
      <c r="V421" s="20"/>
      <c r="W421" s="20"/>
      <c r="X421" s="20"/>
      <c r="Y421" s="20"/>
      <c r="Z421" s="20"/>
      <c r="AA421" s="20"/>
    </row>
    <row r="422">
      <c r="A422" s="20"/>
      <c r="B422" s="24"/>
      <c r="C422" s="24"/>
      <c r="D422" s="20"/>
      <c r="E422" s="20"/>
      <c r="F422" s="24"/>
      <c r="G422" s="20"/>
      <c r="H422" s="20"/>
      <c r="I422" s="20"/>
      <c r="J422" s="20"/>
      <c r="K422" s="20"/>
      <c r="L422" s="20"/>
      <c r="M422" s="20"/>
      <c r="N422" s="20"/>
      <c r="O422" s="20"/>
      <c r="P422" s="20"/>
      <c r="Q422" s="20"/>
      <c r="R422" s="20"/>
      <c r="S422" s="20"/>
      <c r="T422" s="20"/>
      <c r="U422" s="20"/>
      <c r="V422" s="20"/>
      <c r="W422" s="20"/>
      <c r="X422" s="20"/>
      <c r="Y422" s="20"/>
      <c r="Z422" s="20"/>
      <c r="AA422" s="20"/>
    </row>
    <row r="423">
      <c r="A423" s="20"/>
      <c r="B423" s="24"/>
      <c r="C423" s="24"/>
      <c r="D423" s="20"/>
      <c r="E423" s="20"/>
      <c r="F423" s="24"/>
      <c r="G423" s="20"/>
      <c r="H423" s="20"/>
      <c r="I423" s="20"/>
      <c r="J423" s="20"/>
      <c r="K423" s="20"/>
      <c r="L423" s="20"/>
      <c r="M423" s="20"/>
      <c r="N423" s="20"/>
      <c r="O423" s="20"/>
      <c r="P423" s="20"/>
      <c r="Q423" s="20"/>
      <c r="R423" s="20"/>
      <c r="S423" s="20"/>
      <c r="T423" s="20"/>
      <c r="U423" s="20"/>
      <c r="V423" s="20"/>
      <c r="W423" s="20"/>
      <c r="X423" s="20"/>
      <c r="Y423" s="20"/>
      <c r="Z423" s="20"/>
      <c r="AA423" s="20"/>
    </row>
    <row r="424">
      <c r="A424" s="20"/>
      <c r="B424" s="24"/>
      <c r="C424" s="24"/>
      <c r="D424" s="20"/>
      <c r="E424" s="20"/>
      <c r="F424" s="24"/>
      <c r="G424" s="20"/>
      <c r="H424" s="20"/>
      <c r="I424" s="20"/>
      <c r="J424" s="20"/>
      <c r="K424" s="20"/>
      <c r="L424" s="20"/>
      <c r="M424" s="20"/>
      <c r="N424" s="20"/>
      <c r="O424" s="20"/>
      <c r="P424" s="20"/>
      <c r="Q424" s="20"/>
      <c r="R424" s="20"/>
      <c r="S424" s="20"/>
      <c r="T424" s="20"/>
      <c r="U424" s="20"/>
      <c r="V424" s="20"/>
      <c r="W424" s="20"/>
      <c r="X424" s="20"/>
      <c r="Y424" s="20"/>
      <c r="Z424" s="20"/>
      <c r="AA424" s="20"/>
    </row>
    <row r="425">
      <c r="A425" s="20"/>
      <c r="B425" s="24"/>
      <c r="C425" s="24"/>
      <c r="D425" s="20"/>
      <c r="E425" s="20"/>
      <c r="F425" s="24"/>
      <c r="G425" s="20"/>
      <c r="H425" s="20"/>
      <c r="I425" s="20"/>
      <c r="J425" s="20"/>
      <c r="K425" s="20"/>
      <c r="L425" s="20"/>
      <c r="M425" s="20"/>
      <c r="N425" s="20"/>
      <c r="O425" s="20"/>
      <c r="P425" s="20"/>
      <c r="Q425" s="20"/>
      <c r="R425" s="20"/>
      <c r="S425" s="20"/>
      <c r="T425" s="20"/>
      <c r="U425" s="20"/>
      <c r="V425" s="20"/>
      <c r="W425" s="20"/>
      <c r="X425" s="20"/>
      <c r="Y425" s="20"/>
      <c r="Z425" s="20"/>
      <c r="AA425" s="20"/>
    </row>
    <row r="426">
      <c r="A426" s="20"/>
      <c r="B426" s="24"/>
      <c r="C426" s="24"/>
      <c r="D426" s="20"/>
      <c r="E426" s="20"/>
      <c r="F426" s="24"/>
      <c r="G426" s="20"/>
      <c r="H426" s="20"/>
      <c r="I426" s="20"/>
      <c r="J426" s="20"/>
      <c r="K426" s="20"/>
      <c r="L426" s="20"/>
      <c r="M426" s="20"/>
      <c r="N426" s="20"/>
      <c r="O426" s="20"/>
      <c r="P426" s="20"/>
      <c r="Q426" s="20"/>
      <c r="R426" s="20"/>
      <c r="S426" s="20"/>
      <c r="T426" s="20"/>
      <c r="U426" s="20"/>
      <c r="V426" s="20"/>
      <c r="W426" s="20"/>
      <c r="X426" s="20"/>
      <c r="Y426" s="20"/>
      <c r="Z426" s="20"/>
      <c r="AA426" s="20"/>
    </row>
    <row r="427">
      <c r="A427" s="20"/>
      <c r="B427" s="24"/>
      <c r="C427" s="24"/>
      <c r="D427" s="20"/>
      <c r="E427" s="20"/>
      <c r="F427" s="24"/>
      <c r="G427" s="20"/>
      <c r="H427" s="20"/>
      <c r="I427" s="20"/>
      <c r="J427" s="20"/>
      <c r="K427" s="20"/>
      <c r="L427" s="20"/>
      <c r="M427" s="20"/>
      <c r="N427" s="20"/>
      <c r="O427" s="20"/>
      <c r="P427" s="20"/>
      <c r="Q427" s="20"/>
      <c r="R427" s="20"/>
      <c r="S427" s="20"/>
      <c r="T427" s="20"/>
      <c r="U427" s="20"/>
      <c r="V427" s="20"/>
      <c r="W427" s="20"/>
      <c r="X427" s="20"/>
      <c r="Y427" s="20"/>
      <c r="Z427" s="20"/>
      <c r="AA427" s="20"/>
    </row>
    <row r="428">
      <c r="A428" s="20"/>
      <c r="B428" s="24"/>
      <c r="C428" s="24"/>
      <c r="D428" s="20"/>
      <c r="E428" s="20"/>
      <c r="F428" s="24"/>
      <c r="G428" s="20"/>
      <c r="H428" s="20"/>
      <c r="I428" s="20"/>
      <c r="J428" s="20"/>
      <c r="K428" s="20"/>
      <c r="L428" s="20"/>
      <c r="M428" s="20"/>
      <c r="N428" s="20"/>
      <c r="O428" s="20"/>
      <c r="P428" s="20"/>
      <c r="Q428" s="20"/>
      <c r="R428" s="20"/>
      <c r="S428" s="20"/>
      <c r="T428" s="20"/>
      <c r="U428" s="20"/>
      <c r="V428" s="20"/>
      <c r="W428" s="20"/>
      <c r="X428" s="20"/>
      <c r="Y428" s="20"/>
      <c r="Z428" s="20"/>
      <c r="AA428" s="20"/>
    </row>
    <row r="429">
      <c r="A429" s="20"/>
      <c r="B429" s="24"/>
      <c r="C429" s="24"/>
      <c r="D429" s="20"/>
      <c r="E429" s="20"/>
      <c r="F429" s="24"/>
      <c r="G429" s="20"/>
      <c r="H429" s="20"/>
      <c r="I429" s="20"/>
      <c r="J429" s="20"/>
      <c r="K429" s="20"/>
      <c r="L429" s="20"/>
      <c r="M429" s="20"/>
      <c r="N429" s="20"/>
      <c r="O429" s="20"/>
      <c r="P429" s="20"/>
      <c r="Q429" s="20"/>
      <c r="R429" s="20"/>
      <c r="S429" s="20"/>
      <c r="T429" s="20"/>
      <c r="U429" s="20"/>
      <c r="V429" s="20"/>
      <c r="W429" s="20"/>
      <c r="X429" s="20"/>
      <c r="Y429" s="20"/>
      <c r="Z429" s="20"/>
      <c r="AA429" s="20"/>
    </row>
    <row r="430">
      <c r="A430" s="20"/>
      <c r="B430" s="24"/>
      <c r="C430" s="24"/>
      <c r="D430" s="20"/>
      <c r="E430" s="20"/>
      <c r="F430" s="24"/>
      <c r="G430" s="20"/>
      <c r="H430" s="20"/>
      <c r="I430" s="20"/>
      <c r="J430" s="20"/>
      <c r="K430" s="20"/>
      <c r="L430" s="20"/>
      <c r="M430" s="20"/>
      <c r="N430" s="20"/>
      <c r="O430" s="20"/>
      <c r="P430" s="20"/>
      <c r="Q430" s="20"/>
      <c r="R430" s="20"/>
      <c r="S430" s="20"/>
      <c r="T430" s="20"/>
      <c r="U430" s="20"/>
      <c r="V430" s="20"/>
      <c r="W430" s="20"/>
      <c r="X430" s="20"/>
      <c r="Y430" s="20"/>
      <c r="Z430" s="20"/>
      <c r="AA430" s="20"/>
    </row>
    <row r="431">
      <c r="A431" s="20"/>
      <c r="B431" s="24"/>
      <c r="C431" s="24"/>
      <c r="D431" s="20"/>
      <c r="E431" s="20"/>
      <c r="F431" s="24"/>
      <c r="G431" s="20"/>
      <c r="H431" s="20"/>
      <c r="I431" s="20"/>
      <c r="J431" s="20"/>
      <c r="K431" s="20"/>
      <c r="L431" s="20"/>
      <c r="M431" s="20"/>
      <c r="N431" s="20"/>
      <c r="O431" s="20"/>
      <c r="P431" s="20"/>
      <c r="Q431" s="20"/>
      <c r="R431" s="20"/>
      <c r="S431" s="20"/>
      <c r="T431" s="20"/>
      <c r="U431" s="20"/>
      <c r="V431" s="20"/>
      <c r="W431" s="20"/>
      <c r="X431" s="20"/>
      <c r="Y431" s="20"/>
      <c r="Z431" s="20"/>
      <c r="AA431" s="20"/>
    </row>
    <row r="432">
      <c r="A432" s="20"/>
      <c r="B432" s="24"/>
      <c r="C432" s="24"/>
      <c r="D432" s="20"/>
      <c r="E432" s="20"/>
      <c r="F432" s="24"/>
      <c r="G432" s="20"/>
      <c r="H432" s="20"/>
      <c r="I432" s="20"/>
      <c r="J432" s="20"/>
      <c r="K432" s="20"/>
      <c r="L432" s="20"/>
      <c r="M432" s="20"/>
      <c r="N432" s="20"/>
      <c r="O432" s="20"/>
      <c r="P432" s="20"/>
      <c r="Q432" s="20"/>
      <c r="R432" s="20"/>
      <c r="S432" s="20"/>
      <c r="T432" s="20"/>
      <c r="U432" s="20"/>
      <c r="V432" s="20"/>
      <c r="W432" s="20"/>
      <c r="X432" s="20"/>
      <c r="Y432" s="20"/>
      <c r="Z432" s="20"/>
      <c r="AA432" s="20"/>
    </row>
    <row r="433">
      <c r="A433" s="20"/>
      <c r="B433" s="24"/>
      <c r="C433" s="24"/>
      <c r="D433" s="20"/>
      <c r="E433" s="20"/>
      <c r="F433" s="24"/>
      <c r="G433" s="20"/>
      <c r="H433" s="20"/>
      <c r="I433" s="20"/>
      <c r="J433" s="20"/>
      <c r="K433" s="20"/>
      <c r="L433" s="20"/>
      <c r="M433" s="20"/>
      <c r="N433" s="20"/>
      <c r="O433" s="20"/>
      <c r="P433" s="20"/>
      <c r="Q433" s="20"/>
      <c r="R433" s="20"/>
      <c r="S433" s="20"/>
      <c r="T433" s="20"/>
      <c r="U433" s="20"/>
      <c r="V433" s="20"/>
      <c r="W433" s="20"/>
      <c r="X433" s="20"/>
      <c r="Y433" s="20"/>
      <c r="Z433" s="20"/>
      <c r="AA433" s="20"/>
    </row>
    <row r="434">
      <c r="A434" s="20"/>
      <c r="B434" s="24"/>
      <c r="C434" s="24"/>
      <c r="D434" s="20"/>
      <c r="E434" s="20"/>
      <c r="F434" s="24"/>
      <c r="G434" s="20"/>
      <c r="H434" s="20"/>
      <c r="I434" s="20"/>
      <c r="J434" s="20"/>
      <c r="K434" s="20"/>
      <c r="L434" s="20"/>
      <c r="M434" s="20"/>
      <c r="N434" s="20"/>
      <c r="O434" s="20"/>
      <c r="P434" s="20"/>
      <c r="Q434" s="20"/>
      <c r="R434" s="20"/>
      <c r="S434" s="20"/>
      <c r="T434" s="20"/>
      <c r="U434" s="20"/>
      <c r="V434" s="20"/>
      <c r="W434" s="20"/>
      <c r="X434" s="20"/>
      <c r="Y434" s="20"/>
      <c r="Z434" s="20"/>
      <c r="AA434" s="20"/>
    </row>
    <row r="435">
      <c r="A435" s="20"/>
      <c r="B435" s="24"/>
      <c r="C435" s="24"/>
      <c r="D435" s="20"/>
      <c r="E435" s="20"/>
      <c r="F435" s="24"/>
      <c r="G435" s="20"/>
      <c r="H435" s="20"/>
      <c r="I435" s="20"/>
      <c r="J435" s="20"/>
      <c r="K435" s="20"/>
      <c r="L435" s="20"/>
      <c r="M435" s="20"/>
      <c r="N435" s="20"/>
      <c r="O435" s="20"/>
      <c r="P435" s="20"/>
      <c r="Q435" s="20"/>
      <c r="R435" s="20"/>
      <c r="S435" s="20"/>
      <c r="T435" s="20"/>
      <c r="U435" s="20"/>
      <c r="V435" s="20"/>
      <c r="W435" s="20"/>
      <c r="X435" s="20"/>
      <c r="Y435" s="20"/>
      <c r="Z435" s="20"/>
      <c r="AA435" s="20"/>
    </row>
    <row r="436">
      <c r="A436" s="20"/>
      <c r="B436" s="24"/>
      <c r="C436" s="24"/>
      <c r="D436" s="20"/>
      <c r="E436" s="20"/>
      <c r="F436" s="24"/>
      <c r="G436" s="20"/>
      <c r="H436" s="20"/>
      <c r="I436" s="20"/>
      <c r="J436" s="20"/>
      <c r="K436" s="20"/>
      <c r="L436" s="20"/>
      <c r="M436" s="20"/>
      <c r="N436" s="20"/>
      <c r="O436" s="20"/>
      <c r="P436" s="20"/>
      <c r="Q436" s="20"/>
      <c r="R436" s="20"/>
      <c r="S436" s="20"/>
      <c r="T436" s="20"/>
      <c r="U436" s="20"/>
      <c r="V436" s="20"/>
      <c r="W436" s="20"/>
      <c r="X436" s="20"/>
      <c r="Y436" s="20"/>
      <c r="Z436" s="20"/>
      <c r="AA436" s="20"/>
    </row>
    <row r="437">
      <c r="A437" s="20"/>
      <c r="B437" s="24"/>
      <c r="C437" s="24"/>
      <c r="D437" s="20"/>
      <c r="E437" s="20"/>
      <c r="F437" s="24"/>
      <c r="G437" s="20"/>
      <c r="H437" s="20"/>
      <c r="I437" s="20"/>
      <c r="J437" s="20"/>
      <c r="K437" s="20"/>
      <c r="L437" s="20"/>
      <c r="M437" s="20"/>
      <c r="N437" s="20"/>
      <c r="O437" s="20"/>
      <c r="P437" s="20"/>
      <c r="Q437" s="20"/>
      <c r="R437" s="20"/>
      <c r="S437" s="20"/>
      <c r="T437" s="20"/>
      <c r="U437" s="20"/>
      <c r="V437" s="20"/>
      <c r="W437" s="20"/>
      <c r="X437" s="20"/>
      <c r="Y437" s="20"/>
      <c r="Z437" s="20"/>
      <c r="AA437" s="20"/>
    </row>
    <row r="438">
      <c r="A438" s="20"/>
      <c r="B438" s="24"/>
      <c r="C438" s="24"/>
      <c r="D438" s="20"/>
      <c r="E438" s="20"/>
      <c r="F438" s="24"/>
      <c r="G438" s="20"/>
      <c r="H438" s="20"/>
      <c r="I438" s="20"/>
      <c r="J438" s="20"/>
      <c r="K438" s="20"/>
      <c r="L438" s="20"/>
      <c r="M438" s="20"/>
      <c r="N438" s="20"/>
      <c r="O438" s="20"/>
      <c r="P438" s="20"/>
      <c r="Q438" s="20"/>
      <c r="R438" s="20"/>
      <c r="S438" s="20"/>
      <c r="T438" s="20"/>
      <c r="U438" s="20"/>
      <c r="V438" s="20"/>
      <c r="W438" s="20"/>
      <c r="X438" s="20"/>
      <c r="Y438" s="20"/>
      <c r="Z438" s="20"/>
      <c r="AA438" s="20"/>
    </row>
    <row r="439">
      <c r="A439" s="20"/>
      <c r="B439" s="24"/>
      <c r="C439" s="24"/>
      <c r="D439" s="20"/>
      <c r="E439" s="20"/>
      <c r="F439" s="24"/>
      <c r="G439" s="20"/>
      <c r="H439" s="20"/>
      <c r="I439" s="20"/>
      <c r="J439" s="20"/>
      <c r="K439" s="20"/>
      <c r="L439" s="20"/>
      <c r="M439" s="20"/>
      <c r="N439" s="20"/>
      <c r="O439" s="20"/>
      <c r="P439" s="20"/>
      <c r="Q439" s="20"/>
      <c r="R439" s="20"/>
      <c r="S439" s="20"/>
      <c r="T439" s="20"/>
      <c r="U439" s="20"/>
      <c r="V439" s="20"/>
      <c r="W439" s="20"/>
      <c r="X439" s="20"/>
      <c r="Y439" s="20"/>
      <c r="Z439" s="20"/>
      <c r="AA439" s="20"/>
    </row>
    <row r="440">
      <c r="A440" s="20"/>
      <c r="B440" s="24"/>
      <c r="C440" s="24"/>
      <c r="D440" s="20"/>
      <c r="E440" s="20"/>
      <c r="F440" s="24"/>
      <c r="G440" s="20"/>
      <c r="H440" s="20"/>
      <c r="I440" s="20"/>
      <c r="J440" s="20"/>
      <c r="K440" s="20"/>
      <c r="L440" s="20"/>
      <c r="M440" s="20"/>
      <c r="N440" s="20"/>
      <c r="O440" s="20"/>
      <c r="P440" s="20"/>
      <c r="Q440" s="20"/>
      <c r="R440" s="20"/>
      <c r="S440" s="20"/>
      <c r="T440" s="20"/>
      <c r="U440" s="20"/>
      <c r="V440" s="20"/>
      <c r="W440" s="20"/>
      <c r="X440" s="20"/>
      <c r="Y440" s="20"/>
      <c r="Z440" s="20"/>
      <c r="AA440" s="20"/>
    </row>
    <row r="441">
      <c r="A441" s="20"/>
      <c r="B441" s="24"/>
      <c r="C441" s="24"/>
      <c r="D441" s="20"/>
      <c r="E441" s="20"/>
      <c r="F441" s="24"/>
      <c r="G441" s="20"/>
      <c r="H441" s="20"/>
      <c r="I441" s="20"/>
      <c r="J441" s="20"/>
      <c r="K441" s="20"/>
      <c r="L441" s="20"/>
      <c r="M441" s="20"/>
      <c r="N441" s="20"/>
      <c r="O441" s="20"/>
      <c r="P441" s="20"/>
      <c r="Q441" s="20"/>
      <c r="R441" s="20"/>
      <c r="S441" s="20"/>
      <c r="T441" s="20"/>
      <c r="U441" s="20"/>
      <c r="V441" s="20"/>
      <c r="W441" s="20"/>
      <c r="X441" s="20"/>
      <c r="Y441" s="20"/>
      <c r="Z441" s="20"/>
      <c r="AA441" s="20"/>
    </row>
    <row r="442">
      <c r="A442" s="20"/>
      <c r="B442" s="24"/>
      <c r="C442" s="24"/>
      <c r="D442" s="20"/>
      <c r="E442" s="20"/>
      <c r="F442" s="24"/>
      <c r="G442" s="20"/>
      <c r="H442" s="20"/>
      <c r="I442" s="20"/>
      <c r="J442" s="20"/>
      <c r="K442" s="20"/>
      <c r="L442" s="20"/>
      <c r="M442" s="20"/>
      <c r="N442" s="20"/>
      <c r="O442" s="20"/>
      <c r="P442" s="20"/>
      <c r="Q442" s="20"/>
      <c r="R442" s="20"/>
      <c r="S442" s="20"/>
      <c r="T442" s="20"/>
      <c r="U442" s="20"/>
      <c r="V442" s="20"/>
      <c r="W442" s="20"/>
      <c r="X442" s="20"/>
      <c r="Y442" s="20"/>
      <c r="Z442" s="20"/>
      <c r="AA442" s="20"/>
    </row>
    <row r="443">
      <c r="A443" s="20"/>
      <c r="B443" s="24"/>
      <c r="C443" s="24"/>
      <c r="D443" s="20"/>
      <c r="E443" s="20"/>
      <c r="F443" s="24"/>
      <c r="G443" s="20"/>
      <c r="H443" s="20"/>
      <c r="I443" s="20"/>
      <c r="J443" s="20"/>
      <c r="K443" s="20"/>
      <c r="L443" s="20"/>
      <c r="M443" s="20"/>
      <c r="N443" s="20"/>
      <c r="O443" s="20"/>
      <c r="P443" s="20"/>
      <c r="Q443" s="20"/>
      <c r="R443" s="20"/>
      <c r="S443" s="20"/>
      <c r="T443" s="20"/>
      <c r="U443" s="20"/>
      <c r="V443" s="20"/>
      <c r="W443" s="20"/>
      <c r="X443" s="20"/>
      <c r="Y443" s="20"/>
      <c r="Z443" s="20"/>
      <c r="AA443" s="20"/>
    </row>
    <row r="444">
      <c r="A444" s="20"/>
      <c r="B444" s="24"/>
      <c r="C444" s="24"/>
      <c r="D444" s="20"/>
      <c r="E444" s="20"/>
      <c r="F444" s="24"/>
      <c r="G444" s="20"/>
      <c r="H444" s="20"/>
      <c r="I444" s="20"/>
      <c r="J444" s="20"/>
      <c r="K444" s="20"/>
      <c r="L444" s="20"/>
      <c r="M444" s="20"/>
      <c r="N444" s="20"/>
      <c r="O444" s="20"/>
      <c r="P444" s="20"/>
      <c r="Q444" s="20"/>
      <c r="R444" s="20"/>
      <c r="S444" s="20"/>
      <c r="T444" s="20"/>
      <c r="U444" s="20"/>
      <c r="V444" s="20"/>
      <c r="W444" s="20"/>
      <c r="X444" s="20"/>
      <c r="Y444" s="20"/>
      <c r="Z444" s="20"/>
      <c r="AA444" s="20"/>
    </row>
    <row r="445">
      <c r="A445" s="20"/>
      <c r="B445" s="24"/>
      <c r="C445" s="24"/>
      <c r="D445" s="20"/>
      <c r="E445" s="20"/>
      <c r="F445" s="24"/>
      <c r="G445" s="20"/>
      <c r="H445" s="20"/>
      <c r="I445" s="20"/>
      <c r="J445" s="20"/>
      <c r="K445" s="20"/>
      <c r="L445" s="20"/>
      <c r="M445" s="20"/>
      <c r="N445" s="20"/>
      <c r="O445" s="20"/>
      <c r="P445" s="20"/>
      <c r="Q445" s="20"/>
      <c r="R445" s="20"/>
      <c r="S445" s="20"/>
      <c r="T445" s="20"/>
      <c r="U445" s="20"/>
      <c r="V445" s="20"/>
      <c r="W445" s="20"/>
      <c r="X445" s="20"/>
      <c r="Y445" s="20"/>
      <c r="Z445" s="20"/>
      <c r="AA445" s="20"/>
    </row>
    <row r="446">
      <c r="A446" s="20"/>
      <c r="B446" s="24"/>
      <c r="C446" s="24"/>
      <c r="D446" s="20"/>
      <c r="E446" s="20"/>
      <c r="F446" s="24"/>
      <c r="G446" s="20"/>
      <c r="H446" s="20"/>
      <c r="I446" s="20"/>
      <c r="J446" s="20"/>
      <c r="K446" s="20"/>
      <c r="L446" s="20"/>
      <c r="M446" s="20"/>
      <c r="N446" s="20"/>
      <c r="O446" s="20"/>
      <c r="P446" s="20"/>
      <c r="Q446" s="20"/>
      <c r="R446" s="20"/>
      <c r="S446" s="20"/>
      <c r="T446" s="20"/>
      <c r="U446" s="20"/>
      <c r="V446" s="20"/>
      <c r="W446" s="20"/>
      <c r="X446" s="20"/>
      <c r="Y446" s="20"/>
      <c r="Z446" s="20"/>
      <c r="AA446" s="20"/>
    </row>
    <row r="447">
      <c r="A447" s="20"/>
      <c r="B447" s="24"/>
      <c r="C447" s="24"/>
      <c r="D447" s="20"/>
      <c r="E447" s="20"/>
      <c r="F447" s="24"/>
      <c r="G447" s="20"/>
      <c r="H447" s="20"/>
      <c r="I447" s="20"/>
      <c r="J447" s="20"/>
      <c r="K447" s="20"/>
      <c r="L447" s="20"/>
      <c r="M447" s="20"/>
      <c r="N447" s="20"/>
      <c r="O447" s="20"/>
      <c r="P447" s="20"/>
      <c r="Q447" s="20"/>
      <c r="R447" s="20"/>
      <c r="S447" s="20"/>
      <c r="T447" s="20"/>
      <c r="U447" s="20"/>
      <c r="V447" s="20"/>
      <c r="W447" s="20"/>
      <c r="X447" s="20"/>
      <c r="Y447" s="20"/>
      <c r="Z447" s="20"/>
      <c r="AA447" s="20"/>
    </row>
    <row r="448">
      <c r="A448" s="20"/>
      <c r="B448" s="24"/>
      <c r="C448" s="24"/>
      <c r="D448" s="20"/>
      <c r="E448" s="20"/>
      <c r="F448" s="24"/>
      <c r="G448" s="20"/>
      <c r="H448" s="20"/>
      <c r="I448" s="20"/>
      <c r="J448" s="20"/>
      <c r="K448" s="20"/>
      <c r="L448" s="20"/>
      <c r="M448" s="20"/>
      <c r="N448" s="20"/>
      <c r="O448" s="20"/>
      <c r="P448" s="20"/>
      <c r="Q448" s="20"/>
      <c r="R448" s="20"/>
      <c r="S448" s="20"/>
      <c r="T448" s="20"/>
      <c r="U448" s="20"/>
      <c r="V448" s="20"/>
      <c r="W448" s="20"/>
      <c r="X448" s="20"/>
      <c r="Y448" s="20"/>
      <c r="Z448" s="20"/>
      <c r="AA448" s="20"/>
    </row>
    <row r="449">
      <c r="A449" s="20"/>
      <c r="B449" s="24"/>
      <c r="C449" s="24"/>
      <c r="D449" s="20"/>
      <c r="E449" s="20"/>
      <c r="F449" s="24"/>
      <c r="G449" s="20"/>
      <c r="H449" s="20"/>
      <c r="I449" s="20"/>
      <c r="J449" s="20"/>
      <c r="K449" s="20"/>
      <c r="L449" s="20"/>
      <c r="M449" s="20"/>
      <c r="N449" s="20"/>
      <c r="O449" s="20"/>
      <c r="P449" s="20"/>
      <c r="Q449" s="20"/>
      <c r="R449" s="20"/>
      <c r="S449" s="20"/>
      <c r="T449" s="20"/>
      <c r="U449" s="20"/>
      <c r="V449" s="20"/>
      <c r="W449" s="20"/>
      <c r="X449" s="20"/>
      <c r="Y449" s="20"/>
      <c r="Z449" s="20"/>
      <c r="AA449" s="20"/>
    </row>
    <row r="450">
      <c r="A450" s="20"/>
      <c r="B450" s="24"/>
      <c r="C450" s="24"/>
      <c r="D450" s="20"/>
      <c r="E450" s="20"/>
      <c r="F450" s="24"/>
      <c r="G450" s="20"/>
      <c r="H450" s="20"/>
      <c r="I450" s="20"/>
      <c r="J450" s="20"/>
      <c r="K450" s="20"/>
      <c r="L450" s="20"/>
      <c r="M450" s="20"/>
      <c r="N450" s="20"/>
      <c r="O450" s="20"/>
      <c r="P450" s="20"/>
      <c r="Q450" s="20"/>
      <c r="R450" s="20"/>
      <c r="S450" s="20"/>
      <c r="T450" s="20"/>
      <c r="U450" s="20"/>
      <c r="V450" s="20"/>
      <c r="W450" s="20"/>
      <c r="X450" s="20"/>
      <c r="Y450" s="20"/>
      <c r="Z450" s="20"/>
      <c r="AA450" s="20"/>
    </row>
    <row r="451">
      <c r="A451" s="20"/>
      <c r="B451" s="24"/>
      <c r="C451" s="24"/>
      <c r="D451" s="20"/>
      <c r="E451" s="20"/>
      <c r="F451" s="24"/>
      <c r="G451" s="20"/>
      <c r="H451" s="20"/>
      <c r="I451" s="20"/>
      <c r="J451" s="20"/>
      <c r="K451" s="20"/>
      <c r="L451" s="20"/>
      <c r="M451" s="20"/>
      <c r="N451" s="20"/>
      <c r="O451" s="20"/>
      <c r="P451" s="20"/>
      <c r="Q451" s="20"/>
      <c r="R451" s="20"/>
      <c r="S451" s="20"/>
      <c r="T451" s="20"/>
      <c r="U451" s="20"/>
      <c r="V451" s="20"/>
      <c r="W451" s="20"/>
      <c r="X451" s="20"/>
      <c r="Y451" s="20"/>
      <c r="Z451" s="20"/>
      <c r="AA451" s="20"/>
    </row>
    <row r="452">
      <c r="A452" s="20"/>
      <c r="B452" s="24"/>
      <c r="C452" s="24"/>
      <c r="D452" s="20"/>
      <c r="E452" s="20"/>
      <c r="F452" s="24"/>
      <c r="G452" s="20"/>
      <c r="H452" s="20"/>
      <c r="I452" s="20"/>
      <c r="J452" s="20"/>
      <c r="K452" s="20"/>
      <c r="L452" s="20"/>
      <c r="M452" s="20"/>
      <c r="N452" s="20"/>
      <c r="O452" s="20"/>
      <c r="P452" s="20"/>
      <c r="Q452" s="20"/>
      <c r="R452" s="20"/>
      <c r="S452" s="20"/>
      <c r="T452" s="20"/>
      <c r="U452" s="20"/>
      <c r="V452" s="20"/>
      <c r="W452" s="20"/>
      <c r="X452" s="20"/>
      <c r="Y452" s="20"/>
      <c r="Z452" s="20"/>
      <c r="AA452" s="20"/>
    </row>
    <row r="453">
      <c r="A453" s="20"/>
      <c r="B453" s="24"/>
      <c r="C453" s="24"/>
      <c r="D453" s="20"/>
      <c r="E453" s="20"/>
      <c r="F453" s="24"/>
      <c r="G453" s="20"/>
      <c r="H453" s="20"/>
      <c r="I453" s="20"/>
      <c r="J453" s="20"/>
      <c r="K453" s="20"/>
      <c r="L453" s="20"/>
      <c r="M453" s="20"/>
      <c r="N453" s="20"/>
      <c r="O453" s="20"/>
      <c r="P453" s="20"/>
      <c r="Q453" s="20"/>
      <c r="R453" s="20"/>
      <c r="S453" s="20"/>
      <c r="T453" s="20"/>
      <c r="U453" s="20"/>
      <c r="V453" s="20"/>
      <c r="W453" s="20"/>
      <c r="X453" s="20"/>
      <c r="Y453" s="20"/>
      <c r="Z453" s="20"/>
      <c r="AA453" s="20"/>
    </row>
    <row r="454">
      <c r="A454" s="20"/>
      <c r="B454" s="24"/>
      <c r="C454" s="24"/>
      <c r="D454" s="20"/>
      <c r="E454" s="20"/>
      <c r="F454" s="24"/>
      <c r="G454" s="20"/>
      <c r="H454" s="20"/>
      <c r="I454" s="20"/>
      <c r="J454" s="20"/>
      <c r="K454" s="20"/>
      <c r="L454" s="20"/>
      <c r="M454" s="20"/>
      <c r="N454" s="20"/>
      <c r="O454" s="20"/>
      <c r="P454" s="20"/>
      <c r="Q454" s="20"/>
      <c r="R454" s="20"/>
      <c r="S454" s="20"/>
      <c r="T454" s="20"/>
      <c r="U454" s="20"/>
      <c r="V454" s="20"/>
      <c r="W454" s="20"/>
      <c r="X454" s="20"/>
      <c r="Y454" s="20"/>
      <c r="Z454" s="20"/>
      <c r="AA454" s="20"/>
    </row>
    <row r="455">
      <c r="A455" s="20"/>
      <c r="B455" s="24"/>
      <c r="C455" s="24"/>
      <c r="D455" s="20"/>
      <c r="E455" s="20"/>
      <c r="F455" s="24"/>
      <c r="G455" s="20"/>
      <c r="H455" s="20"/>
      <c r="I455" s="20"/>
      <c r="J455" s="20"/>
      <c r="K455" s="20"/>
      <c r="L455" s="20"/>
      <c r="M455" s="20"/>
      <c r="N455" s="20"/>
      <c r="O455" s="20"/>
      <c r="P455" s="20"/>
      <c r="Q455" s="20"/>
      <c r="R455" s="20"/>
      <c r="S455" s="20"/>
      <c r="T455" s="20"/>
      <c r="U455" s="20"/>
      <c r="V455" s="20"/>
      <c r="W455" s="20"/>
      <c r="X455" s="20"/>
      <c r="Y455" s="20"/>
      <c r="Z455" s="20"/>
      <c r="AA455" s="20"/>
    </row>
    <row r="456">
      <c r="A456" s="20"/>
      <c r="B456" s="24"/>
      <c r="C456" s="24"/>
      <c r="D456" s="20"/>
      <c r="E456" s="20"/>
      <c r="F456" s="24"/>
      <c r="G456" s="20"/>
      <c r="H456" s="20"/>
      <c r="I456" s="20"/>
      <c r="J456" s="20"/>
      <c r="K456" s="20"/>
      <c r="L456" s="20"/>
      <c r="M456" s="20"/>
      <c r="N456" s="20"/>
      <c r="O456" s="20"/>
      <c r="P456" s="20"/>
      <c r="Q456" s="20"/>
      <c r="R456" s="20"/>
      <c r="S456" s="20"/>
      <c r="T456" s="20"/>
      <c r="U456" s="20"/>
      <c r="V456" s="20"/>
      <c r="W456" s="20"/>
      <c r="X456" s="20"/>
      <c r="Y456" s="20"/>
      <c r="Z456" s="20"/>
      <c r="AA456" s="20"/>
    </row>
    <row r="457">
      <c r="A457" s="20"/>
      <c r="B457" s="24"/>
      <c r="C457" s="24"/>
      <c r="D457" s="20"/>
      <c r="E457" s="20"/>
      <c r="F457" s="24"/>
      <c r="G457" s="20"/>
      <c r="H457" s="20"/>
      <c r="I457" s="20"/>
      <c r="J457" s="20"/>
      <c r="K457" s="20"/>
      <c r="L457" s="20"/>
      <c r="M457" s="20"/>
      <c r="N457" s="20"/>
      <c r="O457" s="20"/>
      <c r="P457" s="20"/>
      <c r="Q457" s="20"/>
      <c r="R457" s="20"/>
      <c r="S457" s="20"/>
      <c r="T457" s="20"/>
      <c r="U457" s="20"/>
      <c r="V457" s="20"/>
      <c r="W457" s="20"/>
      <c r="X457" s="20"/>
      <c r="Y457" s="20"/>
      <c r="Z457" s="20"/>
      <c r="AA457" s="20"/>
    </row>
    <row r="458">
      <c r="A458" s="20"/>
      <c r="B458" s="24"/>
      <c r="C458" s="24"/>
      <c r="D458" s="20"/>
      <c r="E458" s="20"/>
      <c r="F458" s="24"/>
      <c r="G458" s="20"/>
      <c r="H458" s="20"/>
      <c r="I458" s="20"/>
      <c r="J458" s="20"/>
      <c r="K458" s="20"/>
      <c r="L458" s="20"/>
      <c r="M458" s="20"/>
      <c r="N458" s="20"/>
      <c r="O458" s="20"/>
      <c r="P458" s="20"/>
      <c r="Q458" s="20"/>
      <c r="R458" s="20"/>
      <c r="S458" s="20"/>
      <c r="T458" s="20"/>
      <c r="U458" s="20"/>
      <c r="V458" s="20"/>
      <c r="W458" s="20"/>
      <c r="X458" s="20"/>
      <c r="Y458" s="20"/>
      <c r="Z458" s="20"/>
      <c r="AA458" s="20"/>
    </row>
    <row r="459">
      <c r="A459" s="20"/>
      <c r="B459" s="24"/>
      <c r="C459" s="24"/>
      <c r="D459" s="20"/>
      <c r="E459" s="20"/>
      <c r="F459" s="24"/>
      <c r="G459" s="20"/>
      <c r="H459" s="20"/>
      <c r="I459" s="20"/>
      <c r="J459" s="20"/>
      <c r="K459" s="20"/>
      <c r="L459" s="20"/>
      <c r="M459" s="20"/>
      <c r="N459" s="20"/>
      <c r="O459" s="20"/>
      <c r="P459" s="20"/>
      <c r="Q459" s="20"/>
      <c r="R459" s="20"/>
      <c r="S459" s="20"/>
      <c r="T459" s="20"/>
      <c r="U459" s="20"/>
      <c r="V459" s="20"/>
      <c r="W459" s="20"/>
      <c r="X459" s="20"/>
      <c r="Y459" s="20"/>
      <c r="Z459" s="20"/>
      <c r="AA459" s="20"/>
    </row>
    <row r="460">
      <c r="A460" s="20"/>
      <c r="B460" s="24"/>
      <c r="C460" s="24"/>
      <c r="D460" s="20"/>
      <c r="E460" s="20"/>
      <c r="F460" s="24"/>
      <c r="G460" s="20"/>
      <c r="H460" s="20"/>
      <c r="I460" s="20"/>
      <c r="J460" s="20"/>
      <c r="K460" s="20"/>
      <c r="L460" s="20"/>
      <c r="M460" s="20"/>
      <c r="N460" s="20"/>
      <c r="O460" s="20"/>
      <c r="P460" s="20"/>
      <c r="Q460" s="20"/>
      <c r="R460" s="20"/>
      <c r="S460" s="20"/>
      <c r="T460" s="20"/>
      <c r="U460" s="20"/>
      <c r="V460" s="20"/>
      <c r="W460" s="20"/>
      <c r="X460" s="20"/>
      <c r="Y460" s="20"/>
      <c r="Z460" s="20"/>
      <c r="AA460" s="20"/>
    </row>
    <row r="461">
      <c r="A461" s="20"/>
      <c r="B461" s="24"/>
      <c r="C461" s="24"/>
      <c r="D461" s="20"/>
      <c r="E461" s="20"/>
      <c r="F461" s="24"/>
      <c r="G461" s="20"/>
      <c r="H461" s="20"/>
      <c r="I461" s="20"/>
      <c r="J461" s="20"/>
      <c r="K461" s="20"/>
      <c r="L461" s="20"/>
      <c r="M461" s="20"/>
      <c r="N461" s="20"/>
      <c r="O461" s="20"/>
      <c r="P461" s="20"/>
      <c r="Q461" s="20"/>
      <c r="R461" s="20"/>
      <c r="S461" s="20"/>
      <c r="T461" s="20"/>
      <c r="U461" s="20"/>
      <c r="V461" s="20"/>
      <c r="W461" s="20"/>
      <c r="X461" s="20"/>
      <c r="Y461" s="20"/>
      <c r="Z461" s="20"/>
      <c r="AA461" s="20"/>
    </row>
    <row r="462">
      <c r="A462" s="20"/>
      <c r="B462" s="24"/>
      <c r="C462" s="24"/>
      <c r="D462" s="20"/>
      <c r="E462" s="20"/>
      <c r="F462" s="24"/>
      <c r="G462" s="20"/>
      <c r="H462" s="20"/>
      <c r="I462" s="20"/>
      <c r="J462" s="20"/>
      <c r="K462" s="20"/>
      <c r="L462" s="20"/>
      <c r="M462" s="20"/>
      <c r="N462" s="20"/>
      <c r="O462" s="20"/>
      <c r="P462" s="20"/>
      <c r="Q462" s="20"/>
      <c r="R462" s="20"/>
      <c r="S462" s="20"/>
      <c r="T462" s="20"/>
      <c r="U462" s="20"/>
      <c r="V462" s="20"/>
      <c r="W462" s="20"/>
      <c r="X462" s="20"/>
      <c r="Y462" s="20"/>
      <c r="Z462" s="20"/>
      <c r="AA462" s="20"/>
    </row>
    <row r="463">
      <c r="A463" s="20"/>
      <c r="B463" s="24"/>
      <c r="C463" s="24"/>
      <c r="D463" s="20"/>
      <c r="E463" s="20"/>
      <c r="F463" s="24"/>
      <c r="G463" s="20"/>
      <c r="H463" s="20"/>
      <c r="I463" s="20"/>
      <c r="J463" s="20"/>
      <c r="K463" s="20"/>
      <c r="L463" s="20"/>
      <c r="M463" s="20"/>
      <c r="N463" s="20"/>
      <c r="O463" s="20"/>
      <c r="P463" s="20"/>
      <c r="Q463" s="20"/>
      <c r="R463" s="20"/>
      <c r="S463" s="20"/>
      <c r="T463" s="20"/>
      <c r="U463" s="20"/>
      <c r="V463" s="20"/>
      <c r="W463" s="20"/>
      <c r="X463" s="20"/>
      <c r="Y463" s="20"/>
      <c r="Z463" s="20"/>
      <c r="AA463" s="20"/>
    </row>
    <row r="464">
      <c r="A464" s="20"/>
      <c r="B464" s="24"/>
      <c r="C464" s="24"/>
      <c r="D464" s="20"/>
      <c r="E464" s="20"/>
      <c r="F464" s="24"/>
      <c r="G464" s="20"/>
      <c r="H464" s="20"/>
      <c r="I464" s="20"/>
      <c r="J464" s="20"/>
      <c r="K464" s="20"/>
      <c r="L464" s="20"/>
      <c r="M464" s="20"/>
      <c r="N464" s="20"/>
      <c r="O464" s="20"/>
      <c r="P464" s="20"/>
      <c r="Q464" s="20"/>
      <c r="R464" s="20"/>
      <c r="S464" s="20"/>
      <c r="T464" s="20"/>
      <c r="U464" s="20"/>
      <c r="V464" s="20"/>
      <c r="W464" s="20"/>
      <c r="X464" s="20"/>
      <c r="Y464" s="20"/>
      <c r="Z464" s="20"/>
      <c r="AA464" s="20"/>
    </row>
    <row r="465">
      <c r="A465" s="20"/>
      <c r="B465" s="24"/>
      <c r="C465" s="24"/>
      <c r="D465" s="20"/>
      <c r="E465" s="20"/>
      <c r="F465" s="24"/>
      <c r="G465" s="20"/>
      <c r="H465" s="20"/>
      <c r="I465" s="20"/>
      <c r="J465" s="20"/>
      <c r="K465" s="20"/>
      <c r="L465" s="20"/>
      <c r="M465" s="20"/>
      <c r="N465" s="20"/>
      <c r="O465" s="20"/>
      <c r="P465" s="20"/>
      <c r="Q465" s="20"/>
      <c r="R465" s="20"/>
      <c r="S465" s="20"/>
      <c r="T465" s="20"/>
      <c r="U465" s="20"/>
      <c r="V465" s="20"/>
      <c r="W465" s="20"/>
      <c r="X465" s="20"/>
      <c r="Y465" s="20"/>
      <c r="Z465" s="20"/>
      <c r="AA465" s="20"/>
    </row>
    <row r="466">
      <c r="A466" s="20"/>
      <c r="B466" s="24"/>
      <c r="C466" s="24"/>
      <c r="D466" s="20"/>
      <c r="E466" s="20"/>
      <c r="F466" s="24"/>
      <c r="G466" s="20"/>
      <c r="H466" s="20"/>
      <c r="I466" s="20"/>
      <c r="J466" s="20"/>
      <c r="K466" s="20"/>
      <c r="L466" s="20"/>
      <c r="M466" s="20"/>
      <c r="N466" s="20"/>
      <c r="O466" s="20"/>
      <c r="P466" s="20"/>
      <c r="Q466" s="20"/>
      <c r="R466" s="20"/>
      <c r="S466" s="20"/>
      <c r="T466" s="20"/>
      <c r="U466" s="20"/>
      <c r="V466" s="20"/>
      <c r="W466" s="20"/>
      <c r="X466" s="20"/>
      <c r="Y466" s="20"/>
      <c r="Z466" s="20"/>
      <c r="AA466" s="20"/>
    </row>
    <row r="467">
      <c r="A467" s="20"/>
      <c r="B467" s="24"/>
      <c r="C467" s="24"/>
      <c r="D467" s="20"/>
      <c r="E467" s="20"/>
      <c r="F467" s="24"/>
      <c r="G467" s="20"/>
      <c r="H467" s="20"/>
      <c r="I467" s="20"/>
      <c r="J467" s="20"/>
      <c r="K467" s="20"/>
      <c r="L467" s="20"/>
      <c r="M467" s="20"/>
      <c r="N467" s="20"/>
      <c r="O467" s="20"/>
      <c r="P467" s="20"/>
      <c r="Q467" s="20"/>
      <c r="R467" s="20"/>
      <c r="S467" s="20"/>
      <c r="T467" s="20"/>
      <c r="U467" s="20"/>
      <c r="V467" s="20"/>
      <c r="W467" s="20"/>
      <c r="X467" s="20"/>
      <c r="Y467" s="20"/>
      <c r="Z467" s="20"/>
      <c r="AA467" s="20"/>
    </row>
    <row r="468">
      <c r="A468" s="20"/>
      <c r="B468" s="24"/>
      <c r="C468" s="24"/>
      <c r="D468" s="20"/>
      <c r="E468" s="20"/>
      <c r="F468" s="24"/>
      <c r="G468" s="20"/>
      <c r="H468" s="20"/>
      <c r="I468" s="20"/>
      <c r="J468" s="20"/>
      <c r="K468" s="20"/>
      <c r="L468" s="20"/>
      <c r="M468" s="20"/>
      <c r="N468" s="20"/>
      <c r="O468" s="20"/>
      <c r="P468" s="20"/>
      <c r="Q468" s="20"/>
      <c r="R468" s="20"/>
      <c r="S468" s="20"/>
      <c r="T468" s="20"/>
      <c r="U468" s="20"/>
      <c r="V468" s="20"/>
      <c r="W468" s="20"/>
      <c r="X468" s="20"/>
      <c r="Y468" s="20"/>
      <c r="Z468" s="20"/>
      <c r="AA468" s="20"/>
    </row>
    <row r="469">
      <c r="A469" s="20"/>
      <c r="B469" s="24"/>
      <c r="C469" s="24"/>
      <c r="D469" s="20"/>
      <c r="E469" s="20"/>
      <c r="F469" s="24"/>
      <c r="G469" s="20"/>
      <c r="H469" s="20"/>
      <c r="I469" s="20"/>
      <c r="J469" s="20"/>
      <c r="K469" s="20"/>
      <c r="L469" s="20"/>
      <c r="M469" s="20"/>
      <c r="N469" s="20"/>
      <c r="O469" s="20"/>
      <c r="P469" s="20"/>
      <c r="Q469" s="20"/>
      <c r="R469" s="20"/>
      <c r="S469" s="20"/>
      <c r="T469" s="20"/>
      <c r="U469" s="20"/>
      <c r="V469" s="20"/>
      <c r="W469" s="20"/>
      <c r="X469" s="20"/>
      <c r="Y469" s="20"/>
      <c r="Z469" s="20"/>
      <c r="AA469" s="20"/>
    </row>
    <row r="470">
      <c r="A470" s="20"/>
      <c r="B470" s="24"/>
      <c r="C470" s="24"/>
      <c r="D470" s="20"/>
      <c r="E470" s="20"/>
      <c r="F470" s="24"/>
      <c r="G470" s="20"/>
      <c r="H470" s="20"/>
      <c r="I470" s="20"/>
      <c r="J470" s="20"/>
      <c r="K470" s="20"/>
      <c r="L470" s="20"/>
      <c r="M470" s="20"/>
      <c r="N470" s="20"/>
      <c r="O470" s="20"/>
      <c r="P470" s="20"/>
      <c r="Q470" s="20"/>
      <c r="R470" s="20"/>
      <c r="S470" s="20"/>
      <c r="T470" s="20"/>
      <c r="U470" s="20"/>
      <c r="V470" s="20"/>
      <c r="W470" s="20"/>
      <c r="X470" s="20"/>
      <c r="Y470" s="20"/>
      <c r="Z470" s="20"/>
      <c r="AA470" s="20"/>
    </row>
    <row r="471">
      <c r="A471" s="20"/>
      <c r="B471" s="24"/>
      <c r="C471" s="24"/>
      <c r="D471" s="20"/>
      <c r="E471" s="20"/>
      <c r="F471" s="24"/>
      <c r="G471" s="20"/>
      <c r="H471" s="20"/>
      <c r="I471" s="20"/>
      <c r="J471" s="20"/>
      <c r="K471" s="20"/>
      <c r="L471" s="20"/>
      <c r="M471" s="20"/>
      <c r="N471" s="20"/>
      <c r="O471" s="20"/>
      <c r="P471" s="20"/>
      <c r="Q471" s="20"/>
      <c r="R471" s="20"/>
      <c r="S471" s="20"/>
      <c r="T471" s="20"/>
      <c r="U471" s="20"/>
      <c r="V471" s="20"/>
      <c r="W471" s="20"/>
      <c r="X471" s="20"/>
      <c r="Y471" s="20"/>
      <c r="Z471" s="20"/>
      <c r="AA471" s="20"/>
    </row>
    <row r="472">
      <c r="A472" s="20"/>
      <c r="B472" s="24"/>
      <c r="C472" s="24"/>
      <c r="D472" s="20"/>
      <c r="E472" s="20"/>
      <c r="F472" s="24"/>
      <c r="G472" s="20"/>
      <c r="H472" s="20"/>
      <c r="I472" s="20"/>
      <c r="J472" s="20"/>
      <c r="K472" s="20"/>
      <c r="L472" s="20"/>
      <c r="M472" s="20"/>
      <c r="N472" s="20"/>
      <c r="O472" s="20"/>
      <c r="P472" s="20"/>
      <c r="Q472" s="20"/>
      <c r="R472" s="20"/>
      <c r="S472" s="20"/>
      <c r="T472" s="20"/>
      <c r="U472" s="20"/>
      <c r="V472" s="20"/>
      <c r="W472" s="20"/>
      <c r="X472" s="20"/>
      <c r="Y472" s="20"/>
      <c r="Z472" s="20"/>
      <c r="AA472" s="20"/>
    </row>
    <row r="473">
      <c r="A473" s="20"/>
      <c r="B473" s="24"/>
      <c r="C473" s="24"/>
      <c r="D473" s="20"/>
      <c r="E473" s="20"/>
      <c r="F473" s="24"/>
      <c r="G473" s="20"/>
      <c r="H473" s="20"/>
      <c r="I473" s="20"/>
      <c r="J473" s="20"/>
      <c r="K473" s="20"/>
      <c r="L473" s="20"/>
      <c r="M473" s="20"/>
      <c r="N473" s="20"/>
      <c r="O473" s="20"/>
      <c r="P473" s="20"/>
      <c r="Q473" s="20"/>
      <c r="R473" s="20"/>
      <c r="S473" s="20"/>
      <c r="T473" s="20"/>
      <c r="U473" s="20"/>
      <c r="V473" s="20"/>
      <c r="W473" s="20"/>
      <c r="X473" s="20"/>
      <c r="Y473" s="20"/>
      <c r="Z473" s="20"/>
      <c r="AA473" s="20"/>
    </row>
    <row r="474">
      <c r="A474" s="20"/>
      <c r="B474" s="24"/>
      <c r="C474" s="24"/>
      <c r="D474" s="20"/>
      <c r="E474" s="20"/>
      <c r="F474" s="24"/>
      <c r="G474" s="20"/>
      <c r="H474" s="20"/>
      <c r="I474" s="20"/>
      <c r="J474" s="20"/>
      <c r="K474" s="20"/>
      <c r="L474" s="20"/>
      <c r="M474" s="20"/>
      <c r="N474" s="20"/>
      <c r="O474" s="20"/>
      <c r="P474" s="20"/>
      <c r="Q474" s="20"/>
      <c r="R474" s="20"/>
      <c r="S474" s="20"/>
      <c r="T474" s="20"/>
      <c r="U474" s="20"/>
      <c r="V474" s="20"/>
      <c r="W474" s="20"/>
      <c r="X474" s="20"/>
      <c r="Y474" s="20"/>
      <c r="Z474" s="20"/>
      <c r="AA474" s="20"/>
    </row>
    <row r="475">
      <c r="A475" s="20"/>
      <c r="B475" s="24"/>
      <c r="C475" s="24"/>
      <c r="D475" s="20"/>
      <c r="E475" s="20"/>
      <c r="F475" s="24"/>
      <c r="G475" s="20"/>
      <c r="H475" s="20"/>
      <c r="I475" s="20"/>
      <c r="J475" s="20"/>
      <c r="K475" s="20"/>
      <c r="L475" s="20"/>
      <c r="M475" s="20"/>
      <c r="N475" s="20"/>
      <c r="O475" s="20"/>
      <c r="P475" s="20"/>
      <c r="Q475" s="20"/>
      <c r="R475" s="20"/>
      <c r="S475" s="20"/>
      <c r="T475" s="20"/>
      <c r="U475" s="20"/>
      <c r="V475" s="20"/>
      <c r="W475" s="20"/>
      <c r="X475" s="20"/>
      <c r="Y475" s="20"/>
      <c r="Z475" s="20"/>
      <c r="AA475" s="20"/>
    </row>
    <row r="476">
      <c r="A476" s="20"/>
      <c r="B476" s="24"/>
      <c r="C476" s="24"/>
      <c r="D476" s="20"/>
      <c r="E476" s="20"/>
      <c r="F476" s="24"/>
      <c r="G476" s="20"/>
      <c r="H476" s="20"/>
      <c r="I476" s="20"/>
      <c r="J476" s="20"/>
      <c r="K476" s="20"/>
      <c r="L476" s="20"/>
      <c r="M476" s="20"/>
      <c r="N476" s="20"/>
      <c r="O476" s="20"/>
      <c r="P476" s="20"/>
      <c r="Q476" s="20"/>
      <c r="R476" s="20"/>
      <c r="S476" s="20"/>
      <c r="T476" s="20"/>
      <c r="U476" s="20"/>
      <c r="V476" s="20"/>
      <c r="W476" s="20"/>
      <c r="X476" s="20"/>
      <c r="Y476" s="20"/>
      <c r="Z476" s="20"/>
      <c r="AA476" s="20"/>
    </row>
    <row r="477">
      <c r="A477" s="20"/>
      <c r="B477" s="24"/>
      <c r="C477" s="24"/>
      <c r="D477" s="20"/>
      <c r="E477" s="20"/>
      <c r="F477" s="24"/>
      <c r="G477" s="20"/>
      <c r="H477" s="20"/>
      <c r="I477" s="20"/>
      <c r="J477" s="20"/>
      <c r="K477" s="20"/>
      <c r="L477" s="20"/>
      <c r="M477" s="20"/>
      <c r="N477" s="20"/>
      <c r="O477" s="20"/>
      <c r="P477" s="20"/>
      <c r="Q477" s="20"/>
      <c r="R477" s="20"/>
      <c r="S477" s="20"/>
      <c r="T477" s="20"/>
      <c r="U477" s="20"/>
      <c r="V477" s="20"/>
      <c r="W477" s="20"/>
      <c r="X477" s="20"/>
      <c r="Y477" s="20"/>
      <c r="Z477" s="20"/>
      <c r="AA477" s="20"/>
    </row>
    <row r="478">
      <c r="A478" s="20"/>
      <c r="B478" s="24"/>
      <c r="C478" s="24"/>
      <c r="D478" s="20"/>
      <c r="E478" s="20"/>
      <c r="F478" s="24"/>
      <c r="G478" s="20"/>
      <c r="H478" s="20"/>
      <c r="I478" s="20"/>
      <c r="J478" s="20"/>
      <c r="K478" s="20"/>
      <c r="L478" s="20"/>
      <c r="M478" s="20"/>
      <c r="N478" s="20"/>
      <c r="O478" s="20"/>
      <c r="P478" s="20"/>
      <c r="Q478" s="20"/>
      <c r="R478" s="20"/>
      <c r="S478" s="20"/>
      <c r="T478" s="20"/>
      <c r="U478" s="20"/>
      <c r="V478" s="20"/>
      <c r="W478" s="20"/>
      <c r="X478" s="20"/>
      <c r="Y478" s="20"/>
      <c r="Z478" s="20"/>
      <c r="AA478" s="20"/>
    </row>
    <row r="479">
      <c r="A479" s="20"/>
      <c r="B479" s="24"/>
      <c r="C479" s="24"/>
      <c r="D479" s="20"/>
      <c r="E479" s="20"/>
      <c r="F479" s="24"/>
      <c r="G479" s="20"/>
      <c r="H479" s="20"/>
      <c r="I479" s="20"/>
      <c r="J479" s="20"/>
      <c r="K479" s="20"/>
      <c r="L479" s="20"/>
      <c r="M479" s="20"/>
      <c r="N479" s="20"/>
      <c r="O479" s="20"/>
      <c r="P479" s="20"/>
      <c r="Q479" s="20"/>
      <c r="R479" s="20"/>
      <c r="S479" s="20"/>
      <c r="T479" s="20"/>
      <c r="U479" s="20"/>
      <c r="V479" s="20"/>
      <c r="W479" s="20"/>
      <c r="X479" s="20"/>
      <c r="Y479" s="20"/>
      <c r="Z479" s="20"/>
      <c r="AA479" s="20"/>
    </row>
    <row r="480">
      <c r="A480" s="20"/>
      <c r="B480" s="24"/>
      <c r="C480" s="24"/>
      <c r="D480" s="20"/>
      <c r="E480" s="20"/>
      <c r="F480" s="24"/>
      <c r="G480" s="20"/>
      <c r="H480" s="20"/>
      <c r="I480" s="20"/>
      <c r="J480" s="20"/>
      <c r="K480" s="20"/>
      <c r="L480" s="20"/>
      <c r="M480" s="20"/>
      <c r="N480" s="20"/>
      <c r="O480" s="20"/>
      <c r="P480" s="20"/>
      <c r="Q480" s="20"/>
      <c r="R480" s="20"/>
      <c r="S480" s="20"/>
      <c r="T480" s="20"/>
      <c r="U480" s="20"/>
      <c r="V480" s="20"/>
      <c r="W480" s="20"/>
      <c r="X480" s="20"/>
      <c r="Y480" s="20"/>
      <c r="Z480" s="20"/>
      <c r="AA480" s="20"/>
    </row>
    <row r="481">
      <c r="A481" s="20"/>
      <c r="B481" s="24"/>
      <c r="C481" s="24"/>
      <c r="D481" s="20"/>
      <c r="E481" s="20"/>
      <c r="F481" s="24"/>
      <c r="G481" s="20"/>
      <c r="H481" s="20"/>
      <c r="I481" s="20"/>
      <c r="J481" s="20"/>
      <c r="K481" s="20"/>
      <c r="L481" s="20"/>
      <c r="M481" s="20"/>
      <c r="N481" s="20"/>
      <c r="O481" s="20"/>
      <c r="P481" s="20"/>
      <c r="Q481" s="20"/>
      <c r="R481" s="20"/>
      <c r="S481" s="20"/>
      <c r="T481" s="20"/>
      <c r="U481" s="20"/>
      <c r="V481" s="20"/>
      <c r="W481" s="20"/>
      <c r="X481" s="20"/>
      <c r="Y481" s="20"/>
      <c r="Z481" s="20"/>
      <c r="AA481" s="20"/>
    </row>
    <row r="482">
      <c r="A482" s="20"/>
      <c r="B482" s="24"/>
      <c r="C482" s="24"/>
      <c r="D482" s="20"/>
      <c r="E482" s="20"/>
      <c r="F482" s="24"/>
      <c r="G482" s="20"/>
      <c r="H482" s="20"/>
      <c r="I482" s="20"/>
      <c r="J482" s="20"/>
      <c r="K482" s="20"/>
      <c r="L482" s="20"/>
      <c r="M482" s="20"/>
      <c r="N482" s="20"/>
      <c r="O482" s="20"/>
      <c r="P482" s="20"/>
      <c r="Q482" s="20"/>
      <c r="R482" s="20"/>
      <c r="S482" s="20"/>
      <c r="T482" s="20"/>
      <c r="U482" s="20"/>
      <c r="V482" s="20"/>
      <c r="W482" s="20"/>
      <c r="X482" s="20"/>
      <c r="Y482" s="20"/>
      <c r="Z482" s="20"/>
      <c r="AA482" s="20"/>
    </row>
    <row r="483">
      <c r="A483" s="20"/>
      <c r="B483" s="24"/>
      <c r="C483" s="24"/>
      <c r="D483" s="20"/>
      <c r="E483" s="20"/>
      <c r="F483" s="24"/>
      <c r="G483" s="20"/>
      <c r="H483" s="20"/>
      <c r="I483" s="20"/>
      <c r="J483" s="20"/>
      <c r="K483" s="20"/>
      <c r="L483" s="20"/>
      <c r="M483" s="20"/>
      <c r="N483" s="20"/>
      <c r="O483" s="20"/>
      <c r="P483" s="20"/>
      <c r="Q483" s="20"/>
      <c r="R483" s="20"/>
      <c r="S483" s="20"/>
      <c r="T483" s="20"/>
      <c r="U483" s="20"/>
      <c r="V483" s="20"/>
      <c r="W483" s="20"/>
      <c r="X483" s="20"/>
      <c r="Y483" s="20"/>
      <c r="Z483" s="20"/>
      <c r="AA483" s="20"/>
    </row>
    <row r="484">
      <c r="A484" s="20"/>
      <c r="B484" s="24"/>
      <c r="C484" s="24"/>
      <c r="D484" s="20"/>
      <c r="E484" s="20"/>
      <c r="F484" s="24"/>
      <c r="G484" s="20"/>
      <c r="H484" s="20"/>
      <c r="I484" s="20"/>
      <c r="J484" s="20"/>
      <c r="K484" s="20"/>
      <c r="L484" s="20"/>
      <c r="M484" s="20"/>
      <c r="N484" s="20"/>
      <c r="O484" s="20"/>
      <c r="P484" s="20"/>
      <c r="Q484" s="20"/>
      <c r="R484" s="20"/>
      <c r="S484" s="20"/>
      <c r="T484" s="20"/>
      <c r="U484" s="20"/>
      <c r="V484" s="20"/>
      <c r="W484" s="20"/>
      <c r="X484" s="20"/>
      <c r="Y484" s="20"/>
      <c r="Z484" s="20"/>
      <c r="AA484" s="20"/>
    </row>
    <row r="485">
      <c r="A485" s="20"/>
      <c r="B485" s="24"/>
      <c r="C485" s="24"/>
      <c r="D485" s="20"/>
      <c r="E485" s="20"/>
      <c r="F485" s="24"/>
      <c r="G485" s="20"/>
      <c r="H485" s="20"/>
      <c r="I485" s="20"/>
      <c r="J485" s="20"/>
      <c r="K485" s="20"/>
      <c r="L485" s="20"/>
      <c r="M485" s="20"/>
      <c r="N485" s="20"/>
      <c r="O485" s="20"/>
      <c r="P485" s="20"/>
      <c r="Q485" s="20"/>
      <c r="R485" s="20"/>
      <c r="S485" s="20"/>
      <c r="T485" s="20"/>
      <c r="U485" s="20"/>
      <c r="V485" s="20"/>
      <c r="W485" s="20"/>
      <c r="X485" s="20"/>
      <c r="Y485" s="20"/>
      <c r="Z485" s="20"/>
      <c r="AA485" s="20"/>
    </row>
    <row r="486">
      <c r="A486" s="20"/>
      <c r="B486" s="24"/>
      <c r="C486" s="24"/>
      <c r="D486" s="20"/>
      <c r="E486" s="20"/>
      <c r="F486" s="24"/>
      <c r="G486" s="20"/>
      <c r="H486" s="20"/>
      <c r="I486" s="20"/>
      <c r="J486" s="20"/>
      <c r="K486" s="20"/>
      <c r="L486" s="20"/>
      <c r="M486" s="20"/>
      <c r="N486" s="20"/>
      <c r="O486" s="20"/>
      <c r="P486" s="20"/>
      <c r="Q486" s="20"/>
      <c r="R486" s="20"/>
      <c r="S486" s="20"/>
      <c r="T486" s="20"/>
      <c r="U486" s="20"/>
      <c r="V486" s="20"/>
      <c r="W486" s="20"/>
      <c r="X486" s="20"/>
      <c r="Y486" s="20"/>
      <c r="Z486" s="20"/>
      <c r="AA486" s="20"/>
    </row>
    <row r="487">
      <c r="A487" s="20"/>
      <c r="B487" s="24"/>
      <c r="C487" s="24"/>
      <c r="D487" s="20"/>
      <c r="E487" s="20"/>
      <c r="F487" s="24"/>
      <c r="G487" s="20"/>
      <c r="H487" s="20"/>
      <c r="I487" s="20"/>
      <c r="J487" s="20"/>
      <c r="K487" s="20"/>
      <c r="L487" s="20"/>
      <c r="M487" s="20"/>
      <c r="N487" s="20"/>
      <c r="O487" s="20"/>
      <c r="P487" s="20"/>
      <c r="Q487" s="20"/>
      <c r="R487" s="20"/>
      <c r="S487" s="20"/>
      <c r="T487" s="20"/>
      <c r="U487" s="20"/>
      <c r="V487" s="20"/>
      <c r="W487" s="20"/>
      <c r="X487" s="20"/>
      <c r="Y487" s="20"/>
      <c r="Z487" s="20"/>
      <c r="AA487" s="20"/>
    </row>
    <row r="488">
      <c r="A488" s="20"/>
      <c r="B488" s="24"/>
      <c r="C488" s="24"/>
      <c r="D488" s="20"/>
      <c r="E488" s="20"/>
      <c r="F488" s="24"/>
      <c r="G488" s="20"/>
      <c r="H488" s="20"/>
      <c r="I488" s="20"/>
      <c r="J488" s="20"/>
      <c r="K488" s="20"/>
      <c r="L488" s="20"/>
      <c r="M488" s="20"/>
      <c r="N488" s="20"/>
      <c r="O488" s="20"/>
      <c r="P488" s="20"/>
      <c r="Q488" s="20"/>
      <c r="R488" s="20"/>
      <c r="S488" s="20"/>
      <c r="T488" s="20"/>
      <c r="U488" s="20"/>
      <c r="V488" s="20"/>
      <c r="W488" s="20"/>
      <c r="X488" s="20"/>
      <c r="Y488" s="20"/>
      <c r="Z488" s="20"/>
      <c r="AA488" s="20"/>
    </row>
    <row r="489">
      <c r="A489" s="20"/>
      <c r="B489" s="24"/>
      <c r="C489" s="24"/>
      <c r="D489" s="20"/>
      <c r="E489" s="20"/>
      <c r="F489" s="24"/>
      <c r="G489" s="20"/>
      <c r="H489" s="20"/>
      <c r="I489" s="20"/>
      <c r="J489" s="20"/>
      <c r="K489" s="20"/>
      <c r="L489" s="20"/>
      <c r="M489" s="20"/>
      <c r="N489" s="20"/>
      <c r="O489" s="20"/>
      <c r="P489" s="20"/>
      <c r="Q489" s="20"/>
      <c r="R489" s="20"/>
      <c r="S489" s="20"/>
      <c r="T489" s="20"/>
      <c r="U489" s="20"/>
      <c r="V489" s="20"/>
      <c r="W489" s="20"/>
      <c r="X489" s="20"/>
      <c r="Y489" s="20"/>
      <c r="Z489" s="20"/>
      <c r="AA489" s="20"/>
    </row>
    <row r="490">
      <c r="A490" s="20"/>
      <c r="B490" s="24"/>
      <c r="C490" s="24"/>
      <c r="D490" s="20"/>
      <c r="E490" s="20"/>
      <c r="F490" s="24"/>
      <c r="G490" s="20"/>
      <c r="H490" s="20"/>
      <c r="I490" s="20"/>
      <c r="J490" s="20"/>
      <c r="K490" s="20"/>
      <c r="L490" s="20"/>
      <c r="M490" s="20"/>
      <c r="N490" s="20"/>
      <c r="O490" s="20"/>
      <c r="P490" s="20"/>
      <c r="Q490" s="20"/>
      <c r="R490" s="20"/>
      <c r="S490" s="20"/>
      <c r="T490" s="20"/>
      <c r="U490" s="20"/>
      <c r="V490" s="20"/>
      <c r="W490" s="20"/>
      <c r="X490" s="20"/>
      <c r="Y490" s="20"/>
      <c r="Z490" s="20"/>
      <c r="AA490" s="20"/>
    </row>
    <row r="491">
      <c r="A491" s="20"/>
      <c r="B491" s="24"/>
      <c r="C491" s="24"/>
      <c r="D491" s="20"/>
      <c r="E491" s="20"/>
      <c r="F491" s="24"/>
      <c r="G491" s="20"/>
      <c r="H491" s="20"/>
      <c r="I491" s="20"/>
      <c r="J491" s="20"/>
      <c r="K491" s="20"/>
      <c r="L491" s="20"/>
      <c r="M491" s="20"/>
      <c r="N491" s="20"/>
      <c r="O491" s="20"/>
      <c r="P491" s="20"/>
      <c r="Q491" s="20"/>
      <c r="R491" s="20"/>
      <c r="S491" s="20"/>
      <c r="T491" s="20"/>
      <c r="U491" s="20"/>
      <c r="V491" s="20"/>
      <c r="W491" s="20"/>
      <c r="X491" s="20"/>
      <c r="Y491" s="20"/>
      <c r="Z491" s="20"/>
      <c r="AA491" s="20"/>
    </row>
    <row r="492">
      <c r="A492" s="20"/>
      <c r="B492" s="24"/>
      <c r="C492" s="24"/>
      <c r="D492" s="20"/>
      <c r="E492" s="20"/>
      <c r="F492" s="24"/>
      <c r="G492" s="20"/>
      <c r="H492" s="20"/>
      <c r="I492" s="20"/>
      <c r="J492" s="20"/>
      <c r="K492" s="20"/>
      <c r="L492" s="20"/>
      <c r="M492" s="20"/>
      <c r="N492" s="20"/>
      <c r="O492" s="20"/>
      <c r="P492" s="20"/>
      <c r="Q492" s="20"/>
      <c r="R492" s="20"/>
      <c r="S492" s="20"/>
      <c r="T492" s="20"/>
      <c r="U492" s="20"/>
      <c r="V492" s="20"/>
      <c r="W492" s="20"/>
      <c r="X492" s="20"/>
      <c r="Y492" s="20"/>
      <c r="Z492" s="20"/>
      <c r="AA492" s="20"/>
    </row>
    <row r="493">
      <c r="A493" s="20"/>
      <c r="B493" s="24"/>
      <c r="C493" s="24"/>
      <c r="D493" s="20"/>
      <c r="E493" s="20"/>
      <c r="F493" s="24"/>
      <c r="G493" s="20"/>
      <c r="H493" s="20"/>
      <c r="I493" s="20"/>
      <c r="J493" s="20"/>
      <c r="K493" s="20"/>
      <c r="L493" s="20"/>
      <c r="M493" s="20"/>
      <c r="N493" s="20"/>
      <c r="O493" s="20"/>
      <c r="P493" s="20"/>
      <c r="Q493" s="20"/>
      <c r="R493" s="20"/>
      <c r="S493" s="20"/>
      <c r="T493" s="20"/>
      <c r="U493" s="20"/>
      <c r="V493" s="20"/>
      <c r="W493" s="20"/>
      <c r="X493" s="20"/>
      <c r="Y493" s="20"/>
      <c r="Z493" s="20"/>
      <c r="AA493" s="20"/>
    </row>
    <row r="494">
      <c r="A494" s="20"/>
      <c r="B494" s="24"/>
      <c r="C494" s="24"/>
      <c r="D494" s="20"/>
      <c r="E494" s="20"/>
      <c r="F494" s="24"/>
      <c r="G494" s="20"/>
      <c r="H494" s="20"/>
      <c r="I494" s="20"/>
      <c r="J494" s="20"/>
      <c r="K494" s="20"/>
      <c r="L494" s="20"/>
      <c r="M494" s="20"/>
      <c r="N494" s="20"/>
      <c r="O494" s="20"/>
      <c r="P494" s="20"/>
      <c r="Q494" s="20"/>
      <c r="R494" s="20"/>
      <c r="S494" s="20"/>
      <c r="T494" s="20"/>
      <c r="U494" s="20"/>
      <c r="V494" s="20"/>
      <c r="W494" s="20"/>
      <c r="X494" s="20"/>
      <c r="Y494" s="20"/>
      <c r="Z494" s="20"/>
      <c r="AA494" s="20"/>
    </row>
    <row r="495">
      <c r="A495" s="20"/>
      <c r="B495" s="24"/>
      <c r="C495" s="24"/>
      <c r="D495" s="20"/>
      <c r="E495" s="20"/>
      <c r="F495" s="24"/>
      <c r="G495" s="20"/>
      <c r="H495" s="20"/>
      <c r="I495" s="20"/>
      <c r="J495" s="20"/>
      <c r="K495" s="20"/>
      <c r="L495" s="20"/>
      <c r="M495" s="20"/>
      <c r="N495" s="20"/>
      <c r="O495" s="20"/>
      <c r="P495" s="20"/>
      <c r="Q495" s="20"/>
      <c r="R495" s="20"/>
      <c r="S495" s="20"/>
      <c r="T495" s="20"/>
      <c r="U495" s="20"/>
      <c r="V495" s="20"/>
      <c r="W495" s="20"/>
      <c r="X495" s="20"/>
      <c r="Y495" s="20"/>
      <c r="Z495" s="20"/>
      <c r="AA495" s="20"/>
    </row>
    <row r="496">
      <c r="A496" s="20"/>
      <c r="B496" s="24"/>
      <c r="C496" s="24"/>
      <c r="D496" s="20"/>
      <c r="E496" s="20"/>
      <c r="F496" s="24"/>
      <c r="G496" s="20"/>
      <c r="H496" s="20"/>
      <c r="I496" s="20"/>
      <c r="J496" s="20"/>
      <c r="K496" s="20"/>
      <c r="L496" s="20"/>
      <c r="M496" s="20"/>
      <c r="N496" s="20"/>
      <c r="O496" s="20"/>
      <c r="P496" s="20"/>
      <c r="Q496" s="20"/>
      <c r="R496" s="20"/>
      <c r="S496" s="20"/>
      <c r="T496" s="20"/>
      <c r="U496" s="20"/>
      <c r="V496" s="20"/>
      <c r="W496" s="20"/>
      <c r="X496" s="20"/>
      <c r="Y496" s="20"/>
      <c r="Z496" s="20"/>
      <c r="AA496" s="20"/>
    </row>
    <row r="497">
      <c r="A497" s="20"/>
      <c r="B497" s="24"/>
      <c r="C497" s="24"/>
      <c r="D497" s="20"/>
      <c r="E497" s="20"/>
      <c r="F497" s="24"/>
      <c r="G497" s="20"/>
      <c r="H497" s="20"/>
      <c r="I497" s="20"/>
      <c r="J497" s="20"/>
      <c r="K497" s="20"/>
      <c r="L497" s="20"/>
      <c r="M497" s="20"/>
      <c r="N497" s="20"/>
      <c r="O497" s="20"/>
      <c r="P497" s="20"/>
      <c r="Q497" s="20"/>
      <c r="R497" s="20"/>
      <c r="S497" s="20"/>
      <c r="T497" s="20"/>
      <c r="U497" s="20"/>
      <c r="V497" s="20"/>
      <c r="W497" s="20"/>
      <c r="X497" s="20"/>
      <c r="Y497" s="20"/>
      <c r="Z497" s="20"/>
      <c r="AA497" s="20"/>
    </row>
    <row r="498">
      <c r="A498" s="20"/>
      <c r="B498" s="24"/>
      <c r="C498" s="24"/>
      <c r="D498" s="20"/>
      <c r="E498" s="20"/>
      <c r="F498" s="24"/>
      <c r="G498" s="20"/>
      <c r="H498" s="20"/>
      <c r="I498" s="20"/>
      <c r="J498" s="20"/>
      <c r="K498" s="20"/>
      <c r="L498" s="20"/>
      <c r="M498" s="20"/>
      <c r="N498" s="20"/>
      <c r="O498" s="20"/>
      <c r="P498" s="20"/>
      <c r="Q498" s="20"/>
      <c r="R498" s="20"/>
      <c r="S498" s="20"/>
      <c r="T498" s="20"/>
      <c r="U498" s="20"/>
      <c r="V498" s="20"/>
      <c r="W498" s="20"/>
      <c r="X498" s="20"/>
      <c r="Y498" s="20"/>
      <c r="Z498" s="20"/>
      <c r="AA498" s="20"/>
    </row>
    <row r="499">
      <c r="A499" s="20"/>
      <c r="B499" s="24"/>
      <c r="C499" s="24"/>
      <c r="D499" s="20"/>
      <c r="E499" s="20"/>
      <c r="F499" s="24"/>
      <c r="G499" s="20"/>
      <c r="H499" s="20"/>
      <c r="I499" s="20"/>
      <c r="J499" s="20"/>
      <c r="K499" s="20"/>
      <c r="L499" s="20"/>
      <c r="M499" s="20"/>
      <c r="N499" s="20"/>
      <c r="O499" s="20"/>
      <c r="P499" s="20"/>
      <c r="Q499" s="20"/>
      <c r="R499" s="20"/>
      <c r="S499" s="20"/>
      <c r="T499" s="20"/>
      <c r="U499" s="20"/>
      <c r="V499" s="20"/>
      <c r="W499" s="20"/>
      <c r="X499" s="20"/>
      <c r="Y499" s="20"/>
      <c r="Z499" s="20"/>
      <c r="AA499" s="20"/>
    </row>
    <row r="500">
      <c r="A500" s="20"/>
      <c r="B500" s="24"/>
      <c r="C500" s="24"/>
      <c r="D500" s="20"/>
      <c r="E500" s="20"/>
      <c r="F500" s="24"/>
      <c r="G500" s="20"/>
      <c r="H500" s="20"/>
      <c r="I500" s="20"/>
      <c r="J500" s="20"/>
      <c r="K500" s="20"/>
      <c r="L500" s="20"/>
      <c r="M500" s="20"/>
      <c r="N500" s="20"/>
      <c r="O500" s="20"/>
      <c r="P500" s="20"/>
      <c r="Q500" s="20"/>
      <c r="R500" s="20"/>
      <c r="S500" s="20"/>
      <c r="T500" s="20"/>
      <c r="U500" s="20"/>
      <c r="V500" s="20"/>
      <c r="W500" s="20"/>
      <c r="X500" s="20"/>
      <c r="Y500" s="20"/>
      <c r="Z500" s="20"/>
      <c r="AA500" s="20"/>
    </row>
    <row r="501">
      <c r="A501" s="20"/>
      <c r="B501" s="24"/>
      <c r="C501" s="24"/>
      <c r="D501" s="20"/>
      <c r="E501" s="20"/>
      <c r="F501" s="24"/>
      <c r="G501" s="20"/>
      <c r="H501" s="20"/>
      <c r="I501" s="20"/>
      <c r="J501" s="20"/>
      <c r="K501" s="20"/>
      <c r="L501" s="20"/>
      <c r="M501" s="20"/>
      <c r="N501" s="20"/>
      <c r="O501" s="20"/>
      <c r="P501" s="20"/>
      <c r="Q501" s="20"/>
      <c r="R501" s="20"/>
      <c r="S501" s="20"/>
      <c r="T501" s="20"/>
      <c r="U501" s="20"/>
      <c r="V501" s="20"/>
      <c r="W501" s="20"/>
      <c r="X501" s="20"/>
      <c r="Y501" s="20"/>
      <c r="Z501" s="20"/>
      <c r="AA501" s="20"/>
    </row>
    <row r="502">
      <c r="A502" s="20"/>
      <c r="B502" s="24"/>
      <c r="C502" s="24"/>
      <c r="D502" s="20"/>
      <c r="E502" s="20"/>
      <c r="F502" s="24"/>
      <c r="G502" s="20"/>
      <c r="H502" s="20"/>
      <c r="I502" s="20"/>
      <c r="J502" s="20"/>
      <c r="K502" s="20"/>
      <c r="L502" s="20"/>
      <c r="M502" s="20"/>
      <c r="N502" s="20"/>
      <c r="O502" s="20"/>
      <c r="P502" s="20"/>
      <c r="Q502" s="20"/>
      <c r="R502" s="20"/>
      <c r="S502" s="20"/>
      <c r="T502" s="20"/>
      <c r="U502" s="20"/>
      <c r="V502" s="20"/>
      <c r="W502" s="20"/>
      <c r="X502" s="20"/>
      <c r="Y502" s="20"/>
      <c r="Z502" s="20"/>
      <c r="AA502" s="20"/>
    </row>
    <row r="503">
      <c r="A503" s="20"/>
      <c r="B503" s="24"/>
      <c r="C503" s="24"/>
      <c r="D503" s="20"/>
      <c r="E503" s="20"/>
      <c r="F503" s="24"/>
      <c r="G503" s="20"/>
      <c r="H503" s="20"/>
      <c r="I503" s="20"/>
      <c r="J503" s="20"/>
      <c r="K503" s="20"/>
      <c r="L503" s="20"/>
      <c r="M503" s="20"/>
      <c r="N503" s="20"/>
      <c r="O503" s="20"/>
      <c r="P503" s="20"/>
      <c r="Q503" s="20"/>
      <c r="R503" s="20"/>
      <c r="S503" s="20"/>
      <c r="T503" s="20"/>
      <c r="U503" s="20"/>
      <c r="V503" s="20"/>
      <c r="W503" s="20"/>
      <c r="X503" s="20"/>
      <c r="Y503" s="20"/>
      <c r="Z503" s="20"/>
      <c r="AA503" s="20"/>
    </row>
    <row r="504">
      <c r="A504" s="20"/>
      <c r="B504" s="24"/>
      <c r="C504" s="24"/>
      <c r="D504" s="20"/>
      <c r="E504" s="20"/>
      <c r="F504" s="24"/>
      <c r="G504" s="20"/>
      <c r="H504" s="20"/>
      <c r="I504" s="20"/>
      <c r="J504" s="20"/>
      <c r="K504" s="20"/>
      <c r="L504" s="20"/>
      <c r="M504" s="20"/>
      <c r="N504" s="20"/>
      <c r="O504" s="20"/>
      <c r="P504" s="20"/>
      <c r="Q504" s="20"/>
      <c r="R504" s="20"/>
      <c r="S504" s="20"/>
      <c r="T504" s="20"/>
      <c r="U504" s="20"/>
      <c r="V504" s="20"/>
      <c r="W504" s="20"/>
      <c r="X504" s="20"/>
      <c r="Y504" s="20"/>
      <c r="Z504" s="20"/>
      <c r="AA504" s="20"/>
    </row>
    <row r="505">
      <c r="A505" s="20"/>
      <c r="B505" s="24"/>
      <c r="C505" s="24"/>
      <c r="D505" s="20"/>
      <c r="E505" s="20"/>
      <c r="F505" s="24"/>
      <c r="G505" s="20"/>
      <c r="H505" s="20"/>
      <c r="I505" s="20"/>
      <c r="J505" s="20"/>
      <c r="K505" s="20"/>
      <c r="L505" s="20"/>
      <c r="M505" s="20"/>
      <c r="N505" s="20"/>
      <c r="O505" s="20"/>
      <c r="P505" s="20"/>
      <c r="Q505" s="20"/>
      <c r="R505" s="20"/>
      <c r="S505" s="20"/>
      <c r="T505" s="20"/>
      <c r="U505" s="20"/>
      <c r="V505" s="20"/>
      <c r="W505" s="20"/>
      <c r="X505" s="20"/>
      <c r="Y505" s="20"/>
      <c r="Z505" s="20"/>
      <c r="AA505" s="20"/>
    </row>
    <row r="506">
      <c r="A506" s="20"/>
      <c r="B506" s="24"/>
      <c r="C506" s="24"/>
      <c r="D506" s="20"/>
      <c r="E506" s="20"/>
      <c r="F506" s="24"/>
      <c r="G506" s="20"/>
      <c r="H506" s="20"/>
      <c r="I506" s="20"/>
      <c r="J506" s="20"/>
      <c r="K506" s="20"/>
      <c r="L506" s="20"/>
      <c r="M506" s="20"/>
      <c r="N506" s="20"/>
      <c r="O506" s="20"/>
      <c r="P506" s="20"/>
      <c r="Q506" s="20"/>
      <c r="R506" s="20"/>
      <c r="S506" s="20"/>
      <c r="T506" s="20"/>
      <c r="U506" s="20"/>
      <c r="V506" s="20"/>
      <c r="W506" s="20"/>
      <c r="X506" s="20"/>
      <c r="Y506" s="20"/>
      <c r="Z506" s="20"/>
      <c r="AA506" s="20"/>
    </row>
    <row r="507">
      <c r="A507" s="20"/>
      <c r="B507" s="24"/>
      <c r="C507" s="24"/>
      <c r="D507" s="20"/>
      <c r="E507" s="20"/>
      <c r="F507" s="24"/>
      <c r="G507" s="20"/>
      <c r="H507" s="20"/>
      <c r="I507" s="20"/>
      <c r="J507" s="20"/>
      <c r="K507" s="20"/>
      <c r="L507" s="20"/>
      <c r="M507" s="20"/>
      <c r="N507" s="20"/>
      <c r="O507" s="20"/>
      <c r="P507" s="20"/>
      <c r="Q507" s="20"/>
      <c r="R507" s="20"/>
      <c r="S507" s="20"/>
      <c r="T507" s="20"/>
      <c r="U507" s="20"/>
      <c r="V507" s="20"/>
      <c r="W507" s="20"/>
      <c r="X507" s="20"/>
      <c r="Y507" s="20"/>
      <c r="Z507" s="20"/>
      <c r="AA507" s="20"/>
    </row>
    <row r="508">
      <c r="A508" s="20"/>
      <c r="B508" s="24"/>
      <c r="C508" s="24"/>
      <c r="D508" s="20"/>
      <c r="E508" s="20"/>
      <c r="F508" s="24"/>
      <c r="G508" s="20"/>
      <c r="H508" s="20"/>
      <c r="I508" s="20"/>
      <c r="J508" s="20"/>
      <c r="K508" s="20"/>
      <c r="L508" s="20"/>
      <c r="M508" s="20"/>
      <c r="N508" s="20"/>
      <c r="O508" s="20"/>
      <c r="P508" s="20"/>
      <c r="Q508" s="20"/>
      <c r="R508" s="20"/>
      <c r="S508" s="20"/>
      <c r="T508" s="20"/>
      <c r="U508" s="20"/>
      <c r="V508" s="20"/>
      <c r="W508" s="20"/>
      <c r="X508" s="20"/>
      <c r="Y508" s="20"/>
      <c r="Z508" s="20"/>
      <c r="AA508" s="20"/>
    </row>
    <row r="509">
      <c r="A509" s="20"/>
      <c r="B509" s="24"/>
      <c r="C509" s="24"/>
      <c r="D509" s="20"/>
      <c r="E509" s="20"/>
      <c r="F509" s="24"/>
      <c r="G509" s="20"/>
      <c r="H509" s="20"/>
      <c r="I509" s="20"/>
      <c r="J509" s="20"/>
      <c r="K509" s="20"/>
      <c r="L509" s="20"/>
      <c r="M509" s="20"/>
      <c r="N509" s="20"/>
      <c r="O509" s="20"/>
      <c r="P509" s="20"/>
      <c r="Q509" s="20"/>
      <c r="R509" s="20"/>
      <c r="S509" s="20"/>
      <c r="T509" s="20"/>
      <c r="U509" s="20"/>
      <c r="V509" s="20"/>
      <c r="W509" s="20"/>
      <c r="X509" s="20"/>
      <c r="Y509" s="20"/>
      <c r="Z509" s="20"/>
      <c r="AA509" s="20"/>
    </row>
    <row r="510">
      <c r="A510" s="20"/>
      <c r="B510" s="24"/>
      <c r="C510" s="24"/>
      <c r="D510" s="20"/>
      <c r="E510" s="20"/>
      <c r="F510" s="24"/>
      <c r="G510" s="20"/>
      <c r="H510" s="20"/>
      <c r="I510" s="20"/>
      <c r="J510" s="20"/>
      <c r="K510" s="20"/>
      <c r="L510" s="20"/>
      <c r="M510" s="20"/>
      <c r="N510" s="20"/>
      <c r="O510" s="20"/>
      <c r="P510" s="20"/>
      <c r="Q510" s="20"/>
      <c r="R510" s="20"/>
      <c r="S510" s="20"/>
      <c r="T510" s="20"/>
      <c r="U510" s="20"/>
      <c r="V510" s="20"/>
      <c r="W510" s="20"/>
      <c r="X510" s="20"/>
      <c r="Y510" s="20"/>
      <c r="Z510" s="20"/>
      <c r="AA510" s="20"/>
    </row>
    <row r="511">
      <c r="A511" s="20"/>
      <c r="B511" s="24"/>
      <c r="C511" s="24"/>
      <c r="D511" s="20"/>
      <c r="E511" s="20"/>
      <c r="F511" s="24"/>
      <c r="G511" s="20"/>
      <c r="H511" s="20"/>
      <c r="I511" s="20"/>
      <c r="J511" s="20"/>
      <c r="K511" s="20"/>
      <c r="L511" s="20"/>
      <c r="M511" s="20"/>
      <c r="N511" s="20"/>
      <c r="O511" s="20"/>
      <c r="P511" s="20"/>
      <c r="Q511" s="20"/>
      <c r="R511" s="20"/>
      <c r="S511" s="20"/>
      <c r="T511" s="20"/>
      <c r="U511" s="20"/>
      <c r="V511" s="20"/>
      <c r="W511" s="20"/>
      <c r="X511" s="20"/>
      <c r="Y511" s="20"/>
      <c r="Z511" s="20"/>
      <c r="AA511" s="20"/>
    </row>
    <row r="512">
      <c r="A512" s="20"/>
      <c r="B512" s="24"/>
      <c r="C512" s="24"/>
      <c r="D512" s="20"/>
      <c r="E512" s="20"/>
      <c r="F512" s="24"/>
      <c r="G512" s="20"/>
      <c r="H512" s="20"/>
      <c r="I512" s="20"/>
      <c r="J512" s="20"/>
      <c r="K512" s="20"/>
      <c r="L512" s="20"/>
      <c r="M512" s="20"/>
      <c r="N512" s="20"/>
      <c r="O512" s="20"/>
      <c r="P512" s="20"/>
      <c r="Q512" s="20"/>
      <c r="R512" s="20"/>
      <c r="S512" s="20"/>
      <c r="T512" s="20"/>
      <c r="U512" s="20"/>
      <c r="V512" s="20"/>
      <c r="W512" s="20"/>
      <c r="X512" s="20"/>
      <c r="Y512" s="20"/>
      <c r="Z512" s="20"/>
      <c r="AA512" s="20"/>
    </row>
    <row r="513">
      <c r="A513" s="20"/>
      <c r="B513" s="24"/>
      <c r="C513" s="24"/>
      <c r="D513" s="20"/>
      <c r="E513" s="20"/>
      <c r="F513" s="24"/>
      <c r="G513" s="20"/>
      <c r="H513" s="20"/>
      <c r="I513" s="20"/>
      <c r="J513" s="20"/>
      <c r="K513" s="20"/>
      <c r="L513" s="20"/>
      <c r="M513" s="20"/>
      <c r="N513" s="20"/>
      <c r="O513" s="20"/>
      <c r="P513" s="20"/>
      <c r="Q513" s="20"/>
      <c r="R513" s="20"/>
      <c r="S513" s="20"/>
      <c r="T513" s="20"/>
      <c r="U513" s="20"/>
      <c r="V513" s="20"/>
      <c r="W513" s="20"/>
      <c r="X513" s="20"/>
      <c r="Y513" s="20"/>
      <c r="Z513" s="20"/>
      <c r="AA513" s="20"/>
    </row>
    <row r="514">
      <c r="A514" s="20"/>
      <c r="B514" s="24"/>
      <c r="C514" s="24"/>
      <c r="D514" s="20"/>
      <c r="E514" s="20"/>
      <c r="F514" s="24"/>
      <c r="G514" s="20"/>
      <c r="H514" s="20"/>
      <c r="I514" s="20"/>
      <c r="J514" s="20"/>
      <c r="K514" s="20"/>
      <c r="L514" s="20"/>
      <c r="M514" s="20"/>
      <c r="N514" s="20"/>
      <c r="O514" s="20"/>
      <c r="P514" s="20"/>
      <c r="Q514" s="20"/>
      <c r="R514" s="20"/>
      <c r="S514" s="20"/>
      <c r="T514" s="20"/>
      <c r="U514" s="20"/>
      <c r="V514" s="20"/>
      <c r="W514" s="20"/>
      <c r="X514" s="20"/>
      <c r="Y514" s="20"/>
      <c r="Z514" s="20"/>
      <c r="AA514" s="20"/>
    </row>
    <row r="515">
      <c r="A515" s="20"/>
      <c r="B515" s="24"/>
      <c r="C515" s="24"/>
      <c r="D515" s="20"/>
      <c r="E515" s="20"/>
      <c r="F515" s="24"/>
      <c r="G515" s="20"/>
      <c r="H515" s="20"/>
      <c r="I515" s="20"/>
      <c r="J515" s="20"/>
      <c r="K515" s="20"/>
      <c r="L515" s="20"/>
      <c r="M515" s="20"/>
      <c r="N515" s="20"/>
      <c r="O515" s="20"/>
      <c r="P515" s="20"/>
      <c r="Q515" s="20"/>
      <c r="R515" s="20"/>
      <c r="S515" s="20"/>
      <c r="T515" s="20"/>
      <c r="U515" s="20"/>
      <c r="V515" s="20"/>
      <c r="W515" s="20"/>
      <c r="X515" s="20"/>
      <c r="Y515" s="20"/>
      <c r="Z515" s="20"/>
      <c r="AA515" s="20"/>
    </row>
    <row r="516">
      <c r="A516" s="20"/>
      <c r="B516" s="24"/>
      <c r="C516" s="24"/>
      <c r="D516" s="20"/>
      <c r="E516" s="20"/>
      <c r="F516" s="24"/>
      <c r="G516" s="20"/>
      <c r="H516" s="20"/>
      <c r="I516" s="20"/>
      <c r="J516" s="20"/>
      <c r="K516" s="20"/>
      <c r="L516" s="20"/>
      <c r="M516" s="20"/>
      <c r="N516" s="20"/>
      <c r="O516" s="20"/>
      <c r="P516" s="20"/>
      <c r="Q516" s="20"/>
      <c r="R516" s="20"/>
      <c r="S516" s="20"/>
      <c r="T516" s="20"/>
      <c r="U516" s="20"/>
      <c r="V516" s="20"/>
      <c r="W516" s="20"/>
      <c r="X516" s="20"/>
      <c r="Y516" s="20"/>
      <c r="Z516" s="20"/>
      <c r="AA516" s="20"/>
    </row>
    <row r="517">
      <c r="A517" s="20"/>
      <c r="B517" s="24"/>
      <c r="C517" s="24"/>
      <c r="D517" s="20"/>
      <c r="E517" s="20"/>
      <c r="F517" s="24"/>
      <c r="G517" s="20"/>
      <c r="H517" s="20"/>
      <c r="I517" s="20"/>
      <c r="J517" s="20"/>
      <c r="K517" s="20"/>
      <c r="L517" s="20"/>
      <c r="M517" s="20"/>
      <c r="N517" s="20"/>
      <c r="O517" s="20"/>
      <c r="P517" s="20"/>
      <c r="Q517" s="20"/>
      <c r="R517" s="20"/>
      <c r="S517" s="20"/>
      <c r="T517" s="20"/>
      <c r="U517" s="20"/>
      <c r="V517" s="20"/>
      <c r="W517" s="20"/>
      <c r="X517" s="20"/>
      <c r="Y517" s="20"/>
      <c r="Z517" s="20"/>
      <c r="AA517" s="20"/>
    </row>
    <row r="518">
      <c r="A518" s="20"/>
      <c r="B518" s="24"/>
      <c r="C518" s="24"/>
      <c r="D518" s="20"/>
      <c r="E518" s="20"/>
      <c r="F518" s="24"/>
      <c r="G518" s="20"/>
      <c r="H518" s="20"/>
      <c r="I518" s="20"/>
      <c r="J518" s="20"/>
      <c r="K518" s="20"/>
      <c r="L518" s="20"/>
      <c r="M518" s="20"/>
      <c r="N518" s="20"/>
      <c r="O518" s="20"/>
      <c r="P518" s="20"/>
      <c r="Q518" s="20"/>
      <c r="R518" s="20"/>
      <c r="S518" s="20"/>
      <c r="T518" s="20"/>
      <c r="U518" s="20"/>
      <c r="V518" s="20"/>
      <c r="W518" s="20"/>
      <c r="X518" s="20"/>
      <c r="Y518" s="20"/>
      <c r="Z518" s="20"/>
      <c r="AA518" s="20"/>
    </row>
    <row r="519">
      <c r="A519" s="20"/>
      <c r="B519" s="24"/>
      <c r="C519" s="24"/>
      <c r="D519" s="20"/>
      <c r="E519" s="20"/>
      <c r="F519" s="24"/>
      <c r="G519" s="20"/>
      <c r="H519" s="20"/>
      <c r="I519" s="20"/>
      <c r="J519" s="20"/>
      <c r="K519" s="20"/>
      <c r="L519" s="20"/>
      <c r="M519" s="20"/>
      <c r="N519" s="20"/>
      <c r="O519" s="20"/>
      <c r="P519" s="20"/>
      <c r="Q519" s="20"/>
      <c r="R519" s="20"/>
      <c r="S519" s="20"/>
      <c r="T519" s="20"/>
      <c r="U519" s="20"/>
      <c r="V519" s="20"/>
      <c r="W519" s="20"/>
      <c r="X519" s="20"/>
      <c r="Y519" s="20"/>
      <c r="Z519" s="20"/>
      <c r="AA519" s="20"/>
    </row>
    <row r="520">
      <c r="A520" s="20"/>
      <c r="B520" s="24"/>
      <c r="C520" s="24"/>
      <c r="D520" s="20"/>
      <c r="E520" s="20"/>
      <c r="F520" s="24"/>
      <c r="G520" s="20"/>
      <c r="H520" s="20"/>
      <c r="I520" s="20"/>
      <c r="J520" s="20"/>
      <c r="K520" s="20"/>
      <c r="L520" s="20"/>
      <c r="M520" s="20"/>
      <c r="N520" s="20"/>
      <c r="O520" s="20"/>
      <c r="P520" s="20"/>
      <c r="Q520" s="20"/>
      <c r="R520" s="20"/>
      <c r="S520" s="20"/>
      <c r="T520" s="20"/>
      <c r="U520" s="20"/>
      <c r="V520" s="20"/>
      <c r="W520" s="20"/>
      <c r="X520" s="20"/>
      <c r="Y520" s="20"/>
      <c r="Z520" s="20"/>
      <c r="AA520" s="20"/>
    </row>
    <row r="521">
      <c r="A521" s="20"/>
      <c r="B521" s="24"/>
      <c r="C521" s="24"/>
      <c r="D521" s="20"/>
      <c r="E521" s="20"/>
      <c r="F521" s="24"/>
      <c r="G521" s="20"/>
      <c r="H521" s="20"/>
      <c r="I521" s="20"/>
      <c r="J521" s="20"/>
      <c r="K521" s="20"/>
      <c r="L521" s="20"/>
      <c r="M521" s="20"/>
      <c r="N521" s="20"/>
      <c r="O521" s="20"/>
      <c r="P521" s="20"/>
      <c r="Q521" s="20"/>
      <c r="R521" s="20"/>
      <c r="S521" s="20"/>
      <c r="T521" s="20"/>
      <c r="U521" s="20"/>
      <c r="V521" s="20"/>
      <c r="W521" s="20"/>
      <c r="X521" s="20"/>
      <c r="Y521" s="20"/>
      <c r="Z521" s="20"/>
      <c r="AA521" s="20"/>
    </row>
    <row r="522">
      <c r="A522" s="20"/>
      <c r="B522" s="24"/>
      <c r="C522" s="24"/>
      <c r="D522" s="20"/>
      <c r="E522" s="20"/>
      <c r="F522" s="24"/>
      <c r="G522" s="20"/>
      <c r="H522" s="20"/>
      <c r="I522" s="20"/>
      <c r="J522" s="20"/>
      <c r="K522" s="20"/>
      <c r="L522" s="20"/>
      <c r="M522" s="20"/>
      <c r="N522" s="20"/>
      <c r="O522" s="20"/>
      <c r="P522" s="20"/>
      <c r="Q522" s="20"/>
      <c r="R522" s="20"/>
      <c r="S522" s="20"/>
      <c r="T522" s="20"/>
      <c r="U522" s="20"/>
      <c r="V522" s="20"/>
      <c r="W522" s="20"/>
      <c r="X522" s="20"/>
      <c r="Y522" s="20"/>
      <c r="Z522" s="20"/>
      <c r="AA522" s="20"/>
    </row>
    <row r="523">
      <c r="A523" s="20"/>
      <c r="B523" s="24"/>
      <c r="C523" s="24"/>
      <c r="D523" s="20"/>
      <c r="E523" s="20"/>
      <c r="F523" s="24"/>
      <c r="G523" s="20"/>
      <c r="H523" s="20"/>
      <c r="I523" s="20"/>
      <c r="J523" s="20"/>
      <c r="K523" s="20"/>
      <c r="L523" s="20"/>
      <c r="M523" s="20"/>
      <c r="N523" s="20"/>
      <c r="O523" s="20"/>
      <c r="P523" s="20"/>
      <c r="Q523" s="20"/>
      <c r="R523" s="20"/>
      <c r="S523" s="20"/>
      <c r="T523" s="20"/>
      <c r="U523" s="20"/>
      <c r="V523" s="20"/>
      <c r="W523" s="20"/>
      <c r="X523" s="20"/>
      <c r="Y523" s="20"/>
      <c r="Z523" s="20"/>
      <c r="AA523" s="20"/>
    </row>
    <row r="524">
      <c r="A524" s="20"/>
      <c r="B524" s="24"/>
      <c r="C524" s="24"/>
      <c r="D524" s="20"/>
      <c r="E524" s="20"/>
      <c r="F524" s="24"/>
      <c r="G524" s="20"/>
      <c r="H524" s="20"/>
      <c r="I524" s="20"/>
      <c r="J524" s="20"/>
      <c r="K524" s="20"/>
      <c r="L524" s="20"/>
      <c r="M524" s="20"/>
      <c r="N524" s="20"/>
      <c r="O524" s="20"/>
      <c r="P524" s="20"/>
      <c r="Q524" s="20"/>
      <c r="R524" s="20"/>
      <c r="S524" s="20"/>
      <c r="T524" s="20"/>
      <c r="U524" s="20"/>
      <c r="V524" s="20"/>
      <c r="W524" s="20"/>
      <c r="X524" s="20"/>
      <c r="Y524" s="20"/>
      <c r="Z524" s="20"/>
      <c r="AA524" s="20"/>
    </row>
    <row r="525">
      <c r="A525" s="20"/>
      <c r="B525" s="24"/>
      <c r="C525" s="24"/>
      <c r="D525" s="20"/>
      <c r="E525" s="20"/>
      <c r="F525" s="24"/>
      <c r="G525" s="20"/>
      <c r="H525" s="20"/>
      <c r="I525" s="20"/>
      <c r="J525" s="20"/>
      <c r="K525" s="20"/>
      <c r="L525" s="20"/>
      <c r="M525" s="20"/>
      <c r="N525" s="20"/>
      <c r="O525" s="20"/>
      <c r="P525" s="20"/>
      <c r="Q525" s="20"/>
      <c r="R525" s="20"/>
      <c r="S525" s="20"/>
      <c r="T525" s="20"/>
      <c r="U525" s="20"/>
      <c r="V525" s="20"/>
      <c r="W525" s="20"/>
      <c r="X525" s="20"/>
      <c r="Y525" s="20"/>
      <c r="Z525" s="20"/>
      <c r="AA525" s="20"/>
    </row>
    <row r="526">
      <c r="A526" s="20"/>
      <c r="B526" s="24"/>
      <c r="C526" s="24"/>
      <c r="D526" s="20"/>
      <c r="E526" s="20"/>
      <c r="F526" s="24"/>
      <c r="G526" s="20"/>
      <c r="H526" s="20"/>
      <c r="I526" s="20"/>
      <c r="J526" s="20"/>
      <c r="K526" s="20"/>
      <c r="L526" s="20"/>
      <c r="M526" s="20"/>
      <c r="N526" s="20"/>
      <c r="O526" s="20"/>
      <c r="P526" s="20"/>
      <c r="Q526" s="20"/>
      <c r="R526" s="20"/>
      <c r="S526" s="20"/>
      <c r="T526" s="20"/>
      <c r="U526" s="20"/>
      <c r="V526" s="20"/>
      <c r="W526" s="20"/>
      <c r="X526" s="20"/>
      <c r="Y526" s="20"/>
      <c r="Z526" s="20"/>
      <c r="AA526" s="20"/>
    </row>
    <row r="527">
      <c r="A527" s="20"/>
      <c r="B527" s="24"/>
      <c r="C527" s="24"/>
      <c r="D527" s="20"/>
      <c r="E527" s="20"/>
      <c r="F527" s="24"/>
      <c r="G527" s="20"/>
      <c r="H527" s="20"/>
      <c r="I527" s="20"/>
      <c r="J527" s="20"/>
      <c r="K527" s="20"/>
      <c r="L527" s="20"/>
      <c r="M527" s="20"/>
      <c r="N527" s="20"/>
      <c r="O527" s="20"/>
      <c r="P527" s="20"/>
      <c r="Q527" s="20"/>
      <c r="R527" s="20"/>
      <c r="S527" s="20"/>
      <c r="T527" s="20"/>
      <c r="U527" s="20"/>
      <c r="V527" s="20"/>
      <c r="W527" s="20"/>
      <c r="X527" s="20"/>
      <c r="Y527" s="20"/>
      <c r="Z527" s="20"/>
      <c r="AA527" s="20"/>
    </row>
    <row r="528">
      <c r="A528" s="20"/>
      <c r="B528" s="24"/>
      <c r="C528" s="24"/>
      <c r="D528" s="20"/>
      <c r="E528" s="20"/>
      <c r="F528" s="24"/>
      <c r="G528" s="20"/>
      <c r="H528" s="20"/>
      <c r="I528" s="20"/>
      <c r="J528" s="20"/>
      <c r="K528" s="20"/>
      <c r="L528" s="20"/>
      <c r="M528" s="20"/>
      <c r="N528" s="20"/>
      <c r="O528" s="20"/>
      <c r="P528" s="20"/>
      <c r="Q528" s="20"/>
      <c r="R528" s="20"/>
      <c r="S528" s="20"/>
      <c r="T528" s="20"/>
      <c r="U528" s="20"/>
      <c r="V528" s="20"/>
      <c r="W528" s="20"/>
      <c r="X528" s="20"/>
      <c r="Y528" s="20"/>
      <c r="Z528" s="20"/>
      <c r="AA528" s="20"/>
    </row>
    <row r="529">
      <c r="A529" s="20"/>
      <c r="B529" s="24"/>
      <c r="C529" s="24"/>
      <c r="D529" s="20"/>
      <c r="E529" s="20"/>
      <c r="F529" s="24"/>
      <c r="G529" s="20"/>
      <c r="H529" s="20"/>
      <c r="I529" s="20"/>
      <c r="J529" s="20"/>
      <c r="K529" s="20"/>
      <c r="L529" s="20"/>
      <c r="M529" s="20"/>
      <c r="N529" s="20"/>
      <c r="O529" s="20"/>
      <c r="P529" s="20"/>
      <c r="Q529" s="20"/>
      <c r="R529" s="20"/>
      <c r="S529" s="20"/>
      <c r="T529" s="20"/>
      <c r="U529" s="20"/>
      <c r="V529" s="20"/>
      <c r="W529" s="20"/>
      <c r="X529" s="20"/>
      <c r="Y529" s="20"/>
      <c r="Z529" s="20"/>
      <c r="AA529" s="20"/>
    </row>
    <row r="530">
      <c r="A530" s="20"/>
      <c r="B530" s="24"/>
      <c r="C530" s="24"/>
      <c r="D530" s="20"/>
      <c r="E530" s="20"/>
      <c r="F530" s="24"/>
      <c r="G530" s="20"/>
      <c r="H530" s="20"/>
      <c r="I530" s="20"/>
      <c r="J530" s="20"/>
      <c r="K530" s="20"/>
      <c r="L530" s="20"/>
      <c r="M530" s="20"/>
      <c r="N530" s="20"/>
      <c r="O530" s="20"/>
      <c r="P530" s="20"/>
      <c r="Q530" s="20"/>
      <c r="R530" s="20"/>
      <c r="S530" s="20"/>
      <c r="T530" s="20"/>
      <c r="U530" s="20"/>
      <c r="V530" s="20"/>
      <c r="W530" s="20"/>
      <c r="X530" s="20"/>
      <c r="Y530" s="20"/>
      <c r="Z530" s="20"/>
      <c r="AA530" s="20"/>
    </row>
    <row r="531">
      <c r="A531" s="20"/>
      <c r="B531" s="24"/>
      <c r="C531" s="24"/>
      <c r="D531" s="20"/>
      <c r="E531" s="20"/>
      <c r="F531" s="24"/>
      <c r="G531" s="20"/>
      <c r="H531" s="20"/>
      <c r="I531" s="20"/>
      <c r="J531" s="20"/>
      <c r="K531" s="20"/>
      <c r="L531" s="20"/>
      <c r="M531" s="20"/>
      <c r="N531" s="20"/>
      <c r="O531" s="20"/>
      <c r="P531" s="20"/>
      <c r="Q531" s="20"/>
      <c r="R531" s="20"/>
      <c r="S531" s="20"/>
      <c r="T531" s="20"/>
      <c r="U531" s="20"/>
      <c r="V531" s="20"/>
      <c r="W531" s="20"/>
      <c r="X531" s="20"/>
      <c r="Y531" s="20"/>
      <c r="Z531" s="20"/>
      <c r="AA531" s="20"/>
    </row>
    <row r="532">
      <c r="A532" s="20"/>
      <c r="B532" s="24"/>
      <c r="C532" s="24"/>
      <c r="D532" s="20"/>
      <c r="E532" s="20"/>
      <c r="F532" s="24"/>
      <c r="G532" s="20"/>
      <c r="H532" s="20"/>
      <c r="I532" s="20"/>
      <c r="J532" s="20"/>
      <c r="K532" s="20"/>
      <c r="L532" s="20"/>
      <c r="M532" s="20"/>
      <c r="N532" s="20"/>
      <c r="O532" s="20"/>
      <c r="P532" s="20"/>
      <c r="Q532" s="20"/>
      <c r="R532" s="20"/>
      <c r="S532" s="20"/>
      <c r="T532" s="20"/>
      <c r="U532" s="20"/>
      <c r="V532" s="20"/>
      <c r="W532" s="20"/>
      <c r="X532" s="20"/>
      <c r="Y532" s="20"/>
      <c r="Z532" s="20"/>
      <c r="AA532" s="20"/>
    </row>
    <row r="533">
      <c r="A533" s="20"/>
      <c r="B533" s="24"/>
      <c r="C533" s="24"/>
      <c r="D533" s="20"/>
      <c r="E533" s="20"/>
      <c r="F533" s="24"/>
      <c r="G533" s="20"/>
      <c r="H533" s="20"/>
      <c r="I533" s="20"/>
      <c r="J533" s="20"/>
      <c r="K533" s="20"/>
      <c r="L533" s="20"/>
      <c r="M533" s="20"/>
      <c r="N533" s="20"/>
      <c r="O533" s="20"/>
      <c r="P533" s="20"/>
      <c r="Q533" s="20"/>
      <c r="R533" s="20"/>
      <c r="S533" s="20"/>
      <c r="T533" s="20"/>
      <c r="U533" s="20"/>
      <c r="V533" s="20"/>
      <c r="W533" s="20"/>
      <c r="X533" s="20"/>
      <c r="Y533" s="20"/>
      <c r="Z533" s="20"/>
      <c r="AA533" s="20"/>
    </row>
    <row r="534">
      <c r="A534" s="20"/>
      <c r="B534" s="24"/>
      <c r="C534" s="24"/>
      <c r="D534" s="20"/>
      <c r="E534" s="20"/>
      <c r="F534" s="24"/>
      <c r="G534" s="20"/>
      <c r="H534" s="20"/>
      <c r="I534" s="20"/>
      <c r="J534" s="20"/>
      <c r="K534" s="20"/>
      <c r="L534" s="20"/>
      <c r="M534" s="20"/>
      <c r="N534" s="20"/>
      <c r="O534" s="20"/>
      <c r="P534" s="20"/>
      <c r="Q534" s="20"/>
      <c r="R534" s="20"/>
      <c r="S534" s="20"/>
      <c r="T534" s="20"/>
      <c r="U534" s="20"/>
      <c r="V534" s="20"/>
      <c r="W534" s="20"/>
      <c r="X534" s="20"/>
      <c r="Y534" s="20"/>
      <c r="Z534" s="20"/>
      <c r="AA534" s="20"/>
    </row>
    <row r="535">
      <c r="A535" s="20"/>
      <c r="B535" s="24"/>
      <c r="C535" s="24"/>
      <c r="D535" s="20"/>
      <c r="E535" s="20"/>
      <c r="F535" s="24"/>
      <c r="G535" s="20"/>
      <c r="H535" s="20"/>
      <c r="I535" s="20"/>
      <c r="J535" s="20"/>
      <c r="K535" s="20"/>
      <c r="L535" s="20"/>
      <c r="M535" s="20"/>
      <c r="N535" s="20"/>
      <c r="O535" s="20"/>
      <c r="P535" s="20"/>
      <c r="Q535" s="20"/>
      <c r="R535" s="20"/>
      <c r="S535" s="20"/>
      <c r="T535" s="20"/>
      <c r="U535" s="20"/>
      <c r="V535" s="20"/>
      <c r="W535" s="20"/>
      <c r="X535" s="20"/>
      <c r="Y535" s="20"/>
      <c r="Z535" s="20"/>
      <c r="AA535" s="20"/>
    </row>
    <row r="536">
      <c r="A536" s="20"/>
      <c r="B536" s="24"/>
      <c r="C536" s="24"/>
      <c r="D536" s="20"/>
      <c r="E536" s="20"/>
      <c r="F536" s="24"/>
      <c r="G536" s="20"/>
      <c r="H536" s="20"/>
      <c r="I536" s="20"/>
      <c r="J536" s="20"/>
      <c r="K536" s="20"/>
      <c r="L536" s="20"/>
      <c r="M536" s="20"/>
      <c r="N536" s="20"/>
      <c r="O536" s="20"/>
      <c r="P536" s="20"/>
      <c r="Q536" s="20"/>
      <c r="R536" s="20"/>
      <c r="S536" s="20"/>
      <c r="T536" s="20"/>
      <c r="U536" s="20"/>
      <c r="V536" s="20"/>
      <c r="W536" s="20"/>
      <c r="X536" s="20"/>
      <c r="Y536" s="20"/>
      <c r="Z536" s="20"/>
      <c r="AA536" s="20"/>
    </row>
    <row r="537">
      <c r="A537" s="20"/>
      <c r="B537" s="24"/>
      <c r="C537" s="24"/>
      <c r="D537" s="20"/>
      <c r="E537" s="20"/>
      <c r="F537" s="24"/>
      <c r="G537" s="20"/>
      <c r="H537" s="20"/>
      <c r="I537" s="20"/>
      <c r="J537" s="20"/>
      <c r="K537" s="20"/>
      <c r="L537" s="20"/>
      <c r="M537" s="20"/>
      <c r="N537" s="20"/>
      <c r="O537" s="20"/>
      <c r="P537" s="20"/>
      <c r="Q537" s="20"/>
      <c r="R537" s="20"/>
      <c r="S537" s="20"/>
      <c r="T537" s="20"/>
      <c r="U537" s="20"/>
      <c r="V537" s="20"/>
      <c r="W537" s="20"/>
      <c r="X537" s="20"/>
      <c r="Y537" s="20"/>
      <c r="Z537" s="20"/>
      <c r="AA537" s="20"/>
    </row>
    <row r="538">
      <c r="A538" s="20"/>
      <c r="B538" s="24"/>
      <c r="C538" s="24"/>
      <c r="D538" s="20"/>
      <c r="E538" s="20"/>
      <c r="F538" s="24"/>
      <c r="G538" s="20"/>
      <c r="H538" s="20"/>
      <c r="I538" s="20"/>
      <c r="J538" s="20"/>
      <c r="K538" s="20"/>
      <c r="L538" s="20"/>
      <c r="M538" s="20"/>
      <c r="N538" s="20"/>
      <c r="O538" s="20"/>
      <c r="P538" s="20"/>
      <c r="Q538" s="20"/>
      <c r="R538" s="20"/>
      <c r="S538" s="20"/>
      <c r="T538" s="20"/>
      <c r="U538" s="20"/>
      <c r="V538" s="20"/>
      <c r="W538" s="20"/>
      <c r="X538" s="20"/>
      <c r="Y538" s="20"/>
      <c r="Z538" s="20"/>
      <c r="AA538" s="20"/>
    </row>
    <row r="539">
      <c r="A539" s="20"/>
      <c r="B539" s="24"/>
      <c r="C539" s="24"/>
      <c r="D539" s="20"/>
      <c r="E539" s="20"/>
      <c r="F539" s="24"/>
      <c r="G539" s="20"/>
      <c r="H539" s="20"/>
      <c r="I539" s="20"/>
      <c r="J539" s="20"/>
      <c r="K539" s="20"/>
      <c r="L539" s="20"/>
      <c r="M539" s="20"/>
      <c r="N539" s="20"/>
      <c r="O539" s="20"/>
      <c r="P539" s="20"/>
      <c r="Q539" s="20"/>
      <c r="R539" s="20"/>
      <c r="S539" s="20"/>
      <c r="T539" s="20"/>
      <c r="U539" s="20"/>
      <c r="V539" s="20"/>
      <c r="W539" s="20"/>
      <c r="X539" s="20"/>
      <c r="Y539" s="20"/>
      <c r="Z539" s="20"/>
      <c r="AA539" s="20"/>
    </row>
    <row r="540">
      <c r="A540" s="20"/>
      <c r="B540" s="24"/>
      <c r="C540" s="24"/>
      <c r="D540" s="20"/>
      <c r="E540" s="20"/>
      <c r="F540" s="24"/>
      <c r="G540" s="20"/>
      <c r="H540" s="20"/>
      <c r="I540" s="20"/>
      <c r="J540" s="20"/>
      <c r="K540" s="20"/>
      <c r="L540" s="20"/>
      <c r="M540" s="20"/>
      <c r="N540" s="20"/>
      <c r="O540" s="20"/>
      <c r="P540" s="20"/>
      <c r="Q540" s="20"/>
      <c r="R540" s="20"/>
      <c r="S540" s="20"/>
      <c r="T540" s="20"/>
      <c r="U540" s="20"/>
      <c r="V540" s="20"/>
      <c r="W540" s="20"/>
      <c r="X540" s="20"/>
      <c r="Y540" s="20"/>
      <c r="Z540" s="20"/>
      <c r="AA540" s="20"/>
    </row>
    <row r="541">
      <c r="A541" s="20"/>
      <c r="B541" s="24"/>
      <c r="C541" s="24"/>
      <c r="D541" s="20"/>
      <c r="E541" s="20"/>
      <c r="F541" s="24"/>
      <c r="G541" s="20"/>
      <c r="H541" s="20"/>
      <c r="I541" s="20"/>
      <c r="J541" s="20"/>
      <c r="K541" s="20"/>
      <c r="L541" s="20"/>
      <c r="M541" s="20"/>
      <c r="N541" s="20"/>
      <c r="O541" s="20"/>
      <c r="P541" s="20"/>
      <c r="Q541" s="20"/>
      <c r="R541" s="20"/>
      <c r="S541" s="20"/>
      <c r="T541" s="20"/>
      <c r="U541" s="20"/>
      <c r="V541" s="20"/>
      <c r="W541" s="20"/>
      <c r="X541" s="20"/>
      <c r="Y541" s="20"/>
      <c r="Z541" s="20"/>
      <c r="AA541" s="20"/>
    </row>
    <row r="542">
      <c r="A542" s="20"/>
      <c r="B542" s="24"/>
      <c r="C542" s="24"/>
      <c r="D542" s="20"/>
      <c r="E542" s="20"/>
      <c r="F542" s="24"/>
      <c r="G542" s="20"/>
      <c r="H542" s="20"/>
      <c r="I542" s="20"/>
      <c r="J542" s="20"/>
      <c r="K542" s="20"/>
      <c r="L542" s="20"/>
      <c r="M542" s="20"/>
      <c r="N542" s="20"/>
      <c r="O542" s="20"/>
      <c r="P542" s="20"/>
      <c r="Q542" s="20"/>
      <c r="R542" s="20"/>
      <c r="S542" s="20"/>
      <c r="T542" s="20"/>
      <c r="U542" s="20"/>
      <c r="V542" s="20"/>
      <c r="W542" s="20"/>
      <c r="X542" s="20"/>
      <c r="Y542" s="20"/>
      <c r="Z542" s="20"/>
      <c r="AA542" s="20"/>
    </row>
    <row r="543">
      <c r="A543" s="20"/>
      <c r="B543" s="24"/>
      <c r="C543" s="24"/>
      <c r="D543" s="20"/>
      <c r="E543" s="20"/>
      <c r="F543" s="24"/>
      <c r="G543" s="20"/>
      <c r="H543" s="20"/>
      <c r="I543" s="20"/>
      <c r="J543" s="20"/>
      <c r="K543" s="20"/>
      <c r="L543" s="20"/>
      <c r="M543" s="20"/>
      <c r="N543" s="20"/>
      <c r="O543" s="20"/>
      <c r="P543" s="20"/>
      <c r="Q543" s="20"/>
      <c r="R543" s="20"/>
      <c r="S543" s="20"/>
      <c r="T543" s="20"/>
      <c r="U543" s="20"/>
      <c r="V543" s="20"/>
      <c r="W543" s="20"/>
      <c r="X543" s="20"/>
      <c r="Y543" s="20"/>
      <c r="Z543" s="20"/>
      <c r="AA543" s="20"/>
    </row>
    <row r="544">
      <c r="A544" s="20"/>
      <c r="B544" s="24"/>
      <c r="C544" s="24"/>
      <c r="D544" s="20"/>
      <c r="E544" s="20"/>
      <c r="F544" s="24"/>
      <c r="G544" s="20"/>
      <c r="H544" s="20"/>
      <c r="I544" s="20"/>
      <c r="J544" s="20"/>
      <c r="K544" s="20"/>
      <c r="L544" s="20"/>
      <c r="M544" s="20"/>
      <c r="N544" s="20"/>
      <c r="O544" s="20"/>
      <c r="P544" s="20"/>
      <c r="Q544" s="20"/>
      <c r="R544" s="20"/>
      <c r="S544" s="20"/>
      <c r="T544" s="20"/>
      <c r="U544" s="20"/>
      <c r="V544" s="20"/>
      <c r="W544" s="20"/>
      <c r="X544" s="20"/>
      <c r="Y544" s="20"/>
      <c r="Z544" s="20"/>
      <c r="AA544" s="20"/>
    </row>
    <row r="545">
      <c r="A545" s="20"/>
      <c r="B545" s="24"/>
      <c r="C545" s="24"/>
      <c r="D545" s="20"/>
      <c r="E545" s="20"/>
      <c r="F545" s="24"/>
      <c r="G545" s="20"/>
      <c r="H545" s="20"/>
      <c r="I545" s="20"/>
      <c r="J545" s="20"/>
      <c r="K545" s="20"/>
      <c r="L545" s="20"/>
      <c r="M545" s="20"/>
      <c r="N545" s="20"/>
      <c r="O545" s="20"/>
      <c r="P545" s="20"/>
      <c r="Q545" s="20"/>
      <c r="R545" s="20"/>
      <c r="S545" s="20"/>
      <c r="T545" s="20"/>
      <c r="U545" s="20"/>
      <c r="V545" s="20"/>
      <c r="W545" s="20"/>
      <c r="X545" s="20"/>
      <c r="Y545" s="20"/>
      <c r="Z545" s="20"/>
      <c r="AA545" s="20"/>
    </row>
    <row r="546">
      <c r="A546" s="20"/>
      <c r="B546" s="24"/>
      <c r="C546" s="24"/>
      <c r="D546" s="20"/>
      <c r="E546" s="20"/>
      <c r="F546" s="24"/>
      <c r="G546" s="20"/>
      <c r="H546" s="20"/>
      <c r="I546" s="20"/>
      <c r="J546" s="20"/>
      <c r="K546" s="20"/>
      <c r="L546" s="20"/>
      <c r="M546" s="20"/>
      <c r="N546" s="20"/>
      <c r="O546" s="20"/>
      <c r="P546" s="20"/>
      <c r="Q546" s="20"/>
      <c r="R546" s="20"/>
      <c r="S546" s="20"/>
      <c r="T546" s="20"/>
      <c r="U546" s="20"/>
      <c r="V546" s="20"/>
      <c r="W546" s="20"/>
      <c r="X546" s="20"/>
      <c r="Y546" s="20"/>
      <c r="Z546" s="20"/>
      <c r="AA546" s="20"/>
    </row>
    <row r="547">
      <c r="A547" s="20"/>
      <c r="B547" s="24"/>
      <c r="C547" s="24"/>
      <c r="D547" s="20"/>
      <c r="E547" s="20"/>
      <c r="F547" s="24"/>
      <c r="G547" s="20"/>
      <c r="H547" s="20"/>
      <c r="I547" s="20"/>
      <c r="J547" s="20"/>
      <c r="K547" s="20"/>
      <c r="L547" s="20"/>
      <c r="M547" s="20"/>
      <c r="N547" s="20"/>
      <c r="O547" s="20"/>
      <c r="P547" s="20"/>
      <c r="Q547" s="20"/>
      <c r="R547" s="20"/>
      <c r="S547" s="20"/>
      <c r="T547" s="20"/>
      <c r="U547" s="20"/>
      <c r="V547" s="20"/>
      <c r="W547" s="20"/>
      <c r="X547" s="20"/>
      <c r="Y547" s="20"/>
      <c r="Z547" s="20"/>
      <c r="AA547" s="20"/>
    </row>
    <row r="548">
      <c r="A548" s="20"/>
      <c r="B548" s="24"/>
      <c r="C548" s="24"/>
      <c r="D548" s="20"/>
      <c r="E548" s="20"/>
      <c r="F548" s="24"/>
      <c r="G548" s="20"/>
      <c r="H548" s="20"/>
      <c r="I548" s="20"/>
      <c r="J548" s="20"/>
      <c r="K548" s="20"/>
      <c r="L548" s="20"/>
      <c r="M548" s="20"/>
      <c r="N548" s="20"/>
      <c r="O548" s="20"/>
      <c r="P548" s="20"/>
      <c r="Q548" s="20"/>
      <c r="R548" s="20"/>
      <c r="S548" s="20"/>
      <c r="T548" s="20"/>
      <c r="U548" s="20"/>
      <c r="V548" s="20"/>
      <c r="W548" s="20"/>
      <c r="X548" s="20"/>
      <c r="Y548" s="20"/>
      <c r="Z548" s="20"/>
      <c r="AA548" s="20"/>
    </row>
    <row r="549">
      <c r="A549" s="20"/>
      <c r="B549" s="24"/>
      <c r="C549" s="24"/>
      <c r="D549" s="20"/>
      <c r="E549" s="20"/>
      <c r="F549" s="24"/>
      <c r="G549" s="20"/>
      <c r="H549" s="20"/>
      <c r="I549" s="20"/>
      <c r="J549" s="20"/>
      <c r="K549" s="20"/>
      <c r="L549" s="20"/>
      <c r="M549" s="20"/>
      <c r="N549" s="20"/>
      <c r="O549" s="20"/>
      <c r="P549" s="20"/>
      <c r="Q549" s="20"/>
      <c r="R549" s="20"/>
      <c r="S549" s="20"/>
      <c r="T549" s="20"/>
      <c r="U549" s="20"/>
      <c r="V549" s="20"/>
      <c r="W549" s="20"/>
      <c r="X549" s="20"/>
      <c r="Y549" s="20"/>
      <c r="Z549" s="20"/>
      <c r="AA549" s="20"/>
    </row>
    <row r="550">
      <c r="A550" s="20"/>
      <c r="B550" s="24"/>
      <c r="C550" s="24"/>
      <c r="D550" s="20"/>
      <c r="E550" s="20"/>
      <c r="F550" s="24"/>
      <c r="G550" s="20"/>
      <c r="H550" s="20"/>
      <c r="I550" s="20"/>
      <c r="J550" s="20"/>
      <c r="K550" s="20"/>
      <c r="L550" s="20"/>
      <c r="M550" s="20"/>
      <c r="N550" s="20"/>
      <c r="O550" s="20"/>
      <c r="P550" s="20"/>
      <c r="Q550" s="20"/>
      <c r="R550" s="20"/>
      <c r="S550" s="20"/>
      <c r="T550" s="20"/>
      <c r="U550" s="20"/>
      <c r="V550" s="20"/>
      <c r="W550" s="20"/>
      <c r="X550" s="20"/>
      <c r="Y550" s="20"/>
      <c r="Z550" s="20"/>
      <c r="AA550" s="20"/>
    </row>
    <row r="551">
      <c r="A551" s="20"/>
      <c r="B551" s="24"/>
      <c r="C551" s="24"/>
      <c r="D551" s="20"/>
      <c r="E551" s="20"/>
      <c r="F551" s="24"/>
      <c r="G551" s="20"/>
      <c r="H551" s="20"/>
      <c r="I551" s="20"/>
      <c r="J551" s="20"/>
      <c r="K551" s="20"/>
      <c r="L551" s="20"/>
      <c r="M551" s="20"/>
      <c r="N551" s="20"/>
      <c r="O551" s="20"/>
      <c r="P551" s="20"/>
      <c r="Q551" s="20"/>
      <c r="R551" s="20"/>
      <c r="S551" s="20"/>
      <c r="T551" s="20"/>
      <c r="U551" s="20"/>
      <c r="V551" s="20"/>
      <c r="W551" s="20"/>
      <c r="X551" s="20"/>
      <c r="Y551" s="20"/>
      <c r="Z551" s="20"/>
      <c r="AA551" s="20"/>
    </row>
    <row r="552">
      <c r="A552" s="20"/>
      <c r="B552" s="24"/>
      <c r="C552" s="24"/>
      <c r="D552" s="20"/>
      <c r="E552" s="20"/>
      <c r="F552" s="24"/>
      <c r="G552" s="20"/>
      <c r="H552" s="20"/>
      <c r="I552" s="20"/>
      <c r="J552" s="20"/>
      <c r="K552" s="20"/>
      <c r="L552" s="20"/>
      <c r="M552" s="20"/>
      <c r="N552" s="20"/>
      <c r="O552" s="20"/>
      <c r="P552" s="20"/>
      <c r="Q552" s="20"/>
      <c r="R552" s="20"/>
      <c r="S552" s="20"/>
      <c r="T552" s="20"/>
      <c r="U552" s="20"/>
      <c r="V552" s="20"/>
      <c r="W552" s="20"/>
      <c r="X552" s="20"/>
      <c r="Y552" s="20"/>
      <c r="Z552" s="20"/>
      <c r="AA552" s="20"/>
    </row>
    <row r="553">
      <c r="A553" s="20"/>
      <c r="B553" s="24"/>
      <c r="C553" s="24"/>
      <c r="D553" s="20"/>
      <c r="E553" s="20"/>
      <c r="F553" s="24"/>
      <c r="G553" s="20"/>
      <c r="H553" s="20"/>
      <c r="I553" s="20"/>
      <c r="J553" s="20"/>
      <c r="K553" s="20"/>
      <c r="L553" s="20"/>
      <c r="M553" s="20"/>
      <c r="N553" s="20"/>
      <c r="O553" s="20"/>
      <c r="P553" s="20"/>
      <c r="Q553" s="20"/>
      <c r="R553" s="20"/>
      <c r="S553" s="20"/>
      <c r="T553" s="20"/>
      <c r="U553" s="20"/>
      <c r="V553" s="20"/>
      <c r="W553" s="20"/>
      <c r="X553" s="20"/>
      <c r="Y553" s="20"/>
      <c r="Z553" s="20"/>
      <c r="AA553" s="20"/>
    </row>
    <row r="554">
      <c r="A554" s="20"/>
      <c r="B554" s="24"/>
      <c r="C554" s="24"/>
      <c r="D554" s="20"/>
      <c r="E554" s="20"/>
      <c r="F554" s="24"/>
      <c r="G554" s="20"/>
      <c r="H554" s="20"/>
      <c r="I554" s="20"/>
      <c r="J554" s="20"/>
      <c r="K554" s="20"/>
      <c r="L554" s="20"/>
      <c r="M554" s="20"/>
      <c r="N554" s="20"/>
      <c r="O554" s="20"/>
      <c r="P554" s="20"/>
      <c r="Q554" s="20"/>
      <c r="R554" s="20"/>
      <c r="S554" s="20"/>
      <c r="T554" s="20"/>
      <c r="U554" s="20"/>
      <c r="V554" s="20"/>
      <c r="W554" s="20"/>
      <c r="X554" s="20"/>
      <c r="Y554" s="20"/>
      <c r="Z554" s="20"/>
      <c r="AA554" s="20"/>
    </row>
    <row r="555">
      <c r="A555" s="20"/>
      <c r="B555" s="24"/>
      <c r="C555" s="24"/>
      <c r="D555" s="20"/>
      <c r="E555" s="20"/>
      <c r="F555" s="24"/>
      <c r="G555" s="20"/>
      <c r="H555" s="20"/>
      <c r="I555" s="20"/>
      <c r="J555" s="20"/>
      <c r="K555" s="20"/>
      <c r="L555" s="20"/>
      <c r="M555" s="20"/>
      <c r="N555" s="20"/>
      <c r="O555" s="20"/>
      <c r="P555" s="20"/>
      <c r="Q555" s="20"/>
      <c r="R555" s="20"/>
      <c r="S555" s="20"/>
      <c r="T555" s="20"/>
      <c r="U555" s="20"/>
      <c r="V555" s="20"/>
      <c r="W555" s="20"/>
      <c r="X555" s="20"/>
      <c r="Y555" s="20"/>
      <c r="Z555" s="20"/>
      <c r="AA555" s="20"/>
    </row>
    <row r="556">
      <c r="A556" s="20"/>
      <c r="B556" s="24"/>
      <c r="C556" s="24"/>
      <c r="D556" s="20"/>
      <c r="E556" s="20"/>
      <c r="F556" s="24"/>
      <c r="G556" s="20"/>
      <c r="H556" s="20"/>
      <c r="I556" s="20"/>
      <c r="J556" s="20"/>
      <c r="K556" s="20"/>
      <c r="L556" s="20"/>
      <c r="M556" s="20"/>
      <c r="N556" s="20"/>
      <c r="O556" s="20"/>
      <c r="P556" s="20"/>
      <c r="Q556" s="20"/>
      <c r="R556" s="20"/>
      <c r="S556" s="20"/>
      <c r="T556" s="20"/>
      <c r="U556" s="20"/>
      <c r="V556" s="20"/>
      <c r="W556" s="20"/>
      <c r="X556" s="20"/>
      <c r="Y556" s="20"/>
      <c r="Z556" s="20"/>
      <c r="AA556" s="20"/>
    </row>
    <row r="557">
      <c r="A557" s="20"/>
      <c r="B557" s="24"/>
      <c r="C557" s="24"/>
      <c r="D557" s="20"/>
      <c r="E557" s="20"/>
      <c r="F557" s="24"/>
      <c r="G557" s="20"/>
      <c r="H557" s="20"/>
      <c r="I557" s="20"/>
      <c r="J557" s="20"/>
      <c r="K557" s="20"/>
      <c r="L557" s="20"/>
      <c r="M557" s="20"/>
      <c r="N557" s="20"/>
      <c r="O557" s="20"/>
      <c r="P557" s="20"/>
      <c r="Q557" s="20"/>
      <c r="R557" s="20"/>
      <c r="S557" s="20"/>
      <c r="T557" s="20"/>
      <c r="U557" s="20"/>
      <c r="V557" s="20"/>
      <c r="W557" s="20"/>
      <c r="X557" s="20"/>
      <c r="Y557" s="20"/>
      <c r="Z557" s="20"/>
      <c r="AA557" s="20"/>
    </row>
    <row r="558">
      <c r="A558" s="20"/>
      <c r="B558" s="24"/>
      <c r="C558" s="24"/>
      <c r="D558" s="20"/>
      <c r="E558" s="20"/>
      <c r="F558" s="24"/>
      <c r="G558" s="20"/>
      <c r="H558" s="20"/>
      <c r="I558" s="20"/>
      <c r="J558" s="20"/>
      <c r="K558" s="20"/>
      <c r="L558" s="20"/>
      <c r="M558" s="20"/>
      <c r="N558" s="20"/>
      <c r="O558" s="20"/>
      <c r="P558" s="20"/>
      <c r="Q558" s="20"/>
      <c r="R558" s="20"/>
      <c r="S558" s="20"/>
      <c r="T558" s="20"/>
      <c r="U558" s="20"/>
      <c r="V558" s="20"/>
      <c r="W558" s="20"/>
      <c r="X558" s="20"/>
      <c r="Y558" s="20"/>
      <c r="Z558" s="20"/>
      <c r="AA558" s="20"/>
    </row>
    <row r="559">
      <c r="A559" s="20"/>
      <c r="B559" s="24"/>
      <c r="C559" s="24"/>
      <c r="D559" s="20"/>
      <c r="E559" s="20"/>
      <c r="F559" s="24"/>
      <c r="G559" s="20"/>
      <c r="H559" s="20"/>
      <c r="I559" s="20"/>
      <c r="J559" s="20"/>
      <c r="K559" s="20"/>
      <c r="L559" s="20"/>
      <c r="M559" s="20"/>
      <c r="N559" s="20"/>
      <c r="O559" s="20"/>
      <c r="P559" s="20"/>
      <c r="Q559" s="20"/>
      <c r="R559" s="20"/>
      <c r="S559" s="20"/>
      <c r="T559" s="20"/>
      <c r="U559" s="20"/>
      <c r="V559" s="20"/>
      <c r="W559" s="20"/>
      <c r="X559" s="20"/>
      <c r="Y559" s="20"/>
      <c r="Z559" s="20"/>
      <c r="AA559" s="20"/>
    </row>
    <row r="560">
      <c r="A560" s="20"/>
      <c r="B560" s="24"/>
      <c r="C560" s="24"/>
      <c r="D560" s="20"/>
      <c r="E560" s="20"/>
      <c r="F560" s="24"/>
      <c r="G560" s="20"/>
      <c r="H560" s="20"/>
      <c r="I560" s="20"/>
      <c r="J560" s="20"/>
      <c r="K560" s="20"/>
      <c r="L560" s="20"/>
      <c r="M560" s="20"/>
      <c r="N560" s="20"/>
      <c r="O560" s="20"/>
      <c r="P560" s="20"/>
      <c r="Q560" s="20"/>
      <c r="R560" s="20"/>
      <c r="S560" s="20"/>
      <c r="T560" s="20"/>
      <c r="U560" s="20"/>
      <c r="V560" s="20"/>
      <c r="W560" s="20"/>
      <c r="X560" s="20"/>
      <c r="Y560" s="20"/>
      <c r="Z560" s="20"/>
      <c r="AA560" s="20"/>
    </row>
    <row r="561">
      <c r="A561" s="20"/>
      <c r="B561" s="24"/>
      <c r="C561" s="24"/>
      <c r="D561" s="20"/>
      <c r="E561" s="20"/>
      <c r="F561" s="24"/>
      <c r="G561" s="20"/>
      <c r="H561" s="20"/>
      <c r="I561" s="20"/>
      <c r="J561" s="20"/>
      <c r="K561" s="20"/>
      <c r="L561" s="20"/>
      <c r="M561" s="20"/>
      <c r="N561" s="20"/>
      <c r="O561" s="20"/>
      <c r="P561" s="20"/>
      <c r="Q561" s="20"/>
      <c r="R561" s="20"/>
      <c r="S561" s="20"/>
      <c r="T561" s="20"/>
      <c r="U561" s="20"/>
      <c r="V561" s="20"/>
      <c r="W561" s="20"/>
      <c r="X561" s="20"/>
      <c r="Y561" s="20"/>
      <c r="Z561" s="20"/>
      <c r="AA561" s="20"/>
    </row>
    <row r="562">
      <c r="A562" s="20"/>
      <c r="B562" s="24"/>
      <c r="C562" s="24"/>
      <c r="D562" s="20"/>
      <c r="E562" s="20"/>
      <c r="F562" s="24"/>
      <c r="G562" s="20"/>
      <c r="H562" s="20"/>
      <c r="I562" s="20"/>
      <c r="J562" s="20"/>
      <c r="K562" s="20"/>
      <c r="L562" s="20"/>
      <c r="M562" s="20"/>
      <c r="N562" s="20"/>
      <c r="O562" s="20"/>
      <c r="P562" s="20"/>
      <c r="Q562" s="20"/>
      <c r="R562" s="20"/>
      <c r="S562" s="20"/>
      <c r="T562" s="20"/>
      <c r="U562" s="20"/>
      <c r="V562" s="20"/>
      <c r="W562" s="20"/>
      <c r="X562" s="20"/>
      <c r="Y562" s="20"/>
      <c r="Z562" s="20"/>
      <c r="AA562" s="20"/>
    </row>
    <row r="563">
      <c r="A563" s="20"/>
      <c r="B563" s="24"/>
      <c r="C563" s="24"/>
      <c r="D563" s="20"/>
      <c r="E563" s="20"/>
      <c r="F563" s="24"/>
      <c r="G563" s="20"/>
      <c r="H563" s="20"/>
      <c r="I563" s="20"/>
      <c r="J563" s="20"/>
      <c r="K563" s="20"/>
      <c r="L563" s="20"/>
      <c r="M563" s="20"/>
      <c r="N563" s="20"/>
      <c r="O563" s="20"/>
      <c r="P563" s="20"/>
      <c r="Q563" s="20"/>
      <c r="R563" s="20"/>
      <c r="S563" s="20"/>
      <c r="T563" s="20"/>
      <c r="U563" s="20"/>
      <c r="V563" s="20"/>
      <c r="W563" s="20"/>
      <c r="X563" s="20"/>
      <c r="Y563" s="20"/>
      <c r="Z563" s="20"/>
      <c r="AA563" s="20"/>
    </row>
    <row r="564">
      <c r="A564" s="20"/>
      <c r="B564" s="24"/>
      <c r="C564" s="24"/>
      <c r="D564" s="20"/>
      <c r="E564" s="20"/>
      <c r="F564" s="24"/>
      <c r="G564" s="20"/>
      <c r="H564" s="20"/>
      <c r="I564" s="20"/>
      <c r="J564" s="20"/>
      <c r="K564" s="20"/>
      <c r="L564" s="20"/>
      <c r="M564" s="20"/>
      <c r="N564" s="20"/>
      <c r="O564" s="20"/>
      <c r="P564" s="20"/>
      <c r="Q564" s="20"/>
      <c r="R564" s="20"/>
      <c r="S564" s="20"/>
      <c r="T564" s="20"/>
      <c r="U564" s="20"/>
      <c r="V564" s="20"/>
      <c r="W564" s="20"/>
      <c r="X564" s="20"/>
      <c r="Y564" s="20"/>
      <c r="Z564" s="20"/>
      <c r="AA564" s="20"/>
    </row>
    <row r="565">
      <c r="A565" s="20"/>
      <c r="B565" s="24"/>
      <c r="C565" s="24"/>
      <c r="D565" s="20"/>
      <c r="E565" s="20"/>
      <c r="F565" s="24"/>
      <c r="G565" s="20"/>
      <c r="H565" s="20"/>
      <c r="I565" s="20"/>
      <c r="J565" s="20"/>
      <c r="K565" s="20"/>
      <c r="L565" s="20"/>
      <c r="M565" s="20"/>
      <c r="N565" s="20"/>
      <c r="O565" s="20"/>
      <c r="P565" s="20"/>
      <c r="Q565" s="20"/>
      <c r="R565" s="20"/>
      <c r="S565" s="20"/>
      <c r="T565" s="20"/>
      <c r="U565" s="20"/>
      <c r="V565" s="20"/>
      <c r="W565" s="20"/>
      <c r="X565" s="20"/>
      <c r="Y565" s="20"/>
      <c r="Z565" s="20"/>
      <c r="AA565" s="20"/>
    </row>
    <row r="566">
      <c r="A566" s="20"/>
      <c r="B566" s="24"/>
      <c r="C566" s="24"/>
      <c r="D566" s="20"/>
      <c r="E566" s="20"/>
      <c r="F566" s="24"/>
      <c r="G566" s="20"/>
      <c r="H566" s="20"/>
      <c r="I566" s="20"/>
      <c r="J566" s="20"/>
      <c r="K566" s="20"/>
      <c r="L566" s="20"/>
      <c r="M566" s="20"/>
      <c r="N566" s="20"/>
      <c r="O566" s="20"/>
      <c r="P566" s="20"/>
      <c r="Q566" s="20"/>
      <c r="R566" s="20"/>
      <c r="S566" s="20"/>
      <c r="T566" s="20"/>
      <c r="U566" s="20"/>
      <c r="V566" s="20"/>
      <c r="W566" s="20"/>
      <c r="X566" s="20"/>
      <c r="Y566" s="20"/>
      <c r="Z566" s="20"/>
      <c r="AA566" s="20"/>
    </row>
    <row r="567">
      <c r="A567" s="20"/>
      <c r="B567" s="24"/>
      <c r="C567" s="24"/>
      <c r="D567" s="20"/>
      <c r="E567" s="20"/>
      <c r="F567" s="24"/>
      <c r="G567" s="20"/>
      <c r="H567" s="20"/>
      <c r="I567" s="20"/>
      <c r="J567" s="20"/>
      <c r="K567" s="20"/>
      <c r="L567" s="20"/>
      <c r="M567" s="20"/>
      <c r="N567" s="20"/>
      <c r="O567" s="20"/>
      <c r="P567" s="20"/>
      <c r="Q567" s="20"/>
      <c r="R567" s="20"/>
      <c r="S567" s="20"/>
      <c r="T567" s="20"/>
      <c r="U567" s="20"/>
      <c r="V567" s="20"/>
      <c r="W567" s="20"/>
      <c r="X567" s="20"/>
      <c r="Y567" s="20"/>
      <c r="Z567" s="20"/>
      <c r="AA567" s="20"/>
    </row>
    <row r="568">
      <c r="A568" s="20"/>
      <c r="B568" s="24"/>
      <c r="C568" s="24"/>
      <c r="D568" s="20"/>
      <c r="E568" s="20"/>
      <c r="F568" s="24"/>
      <c r="G568" s="20"/>
      <c r="H568" s="20"/>
      <c r="I568" s="20"/>
      <c r="J568" s="20"/>
      <c r="K568" s="20"/>
      <c r="L568" s="20"/>
      <c r="M568" s="20"/>
      <c r="N568" s="20"/>
      <c r="O568" s="20"/>
      <c r="P568" s="20"/>
      <c r="Q568" s="20"/>
      <c r="R568" s="20"/>
      <c r="S568" s="20"/>
      <c r="T568" s="20"/>
      <c r="U568" s="20"/>
      <c r="V568" s="20"/>
      <c r="W568" s="20"/>
      <c r="X568" s="20"/>
      <c r="Y568" s="20"/>
      <c r="Z568" s="20"/>
      <c r="AA568" s="20"/>
    </row>
    <row r="569">
      <c r="A569" s="20"/>
      <c r="B569" s="24"/>
      <c r="C569" s="24"/>
      <c r="D569" s="20"/>
      <c r="E569" s="20"/>
      <c r="F569" s="24"/>
      <c r="G569" s="20"/>
      <c r="H569" s="20"/>
      <c r="I569" s="20"/>
      <c r="J569" s="20"/>
      <c r="K569" s="20"/>
      <c r="L569" s="20"/>
      <c r="M569" s="20"/>
      <c r="N569" s="20"/>
      <c r="O569" s="20"/>
      <c r="P569" s="20"/>
      <c r="Q569" s="20"/>
      <c r="R569" s="20"/>
      <c r="S569" s="20"/>
      <c r="T569" s="20"/>
      <c r="U569" s="20"/>
      <c r="V569" s="20"/>
      <c r="W569" s="20"/>
      <c r="X569" s="20"/>
      <c r="Y569" s="20"/>
      <c r="Z569" s="20"/>
      <c r="AA569" s="20"/>
    </row>
    <row r="570">
      <c r="A570" s="20"/>
      <c r="B570" s="24"/>
      <c r="C570" s="24"/>
      <c r="D570" s="20"/>
      <c r="E570" s="20"/>
      <c r="F570" s="24"/>
      <c r="G570" s="20"/>
      <c r="H570" s="20"/>
      <c r="I570" s="20"/>
      <c r="J570" s="20"/>
      <c r="K570" s="20"/>
      <c r="L570" s="20"/>
      <c r="M570" s="20"/>
      <c r="N570" s="20"/>
      <c r="O570" s="20"/>
      <c r="P570" s="20"/>
      <c r="Q570" s="20"/>
      <c r="R570" s="20"/>
      <c r="S570" s="20"/>
      <c r="T570" s="20"/>
      <c r="U570" s="20"/>
      <c r="V570" s="20"/>
      <c r="W570" s="20"/>
      <c r="X570" s="20"/>
      <c r="Y570" s="20"/>
      <c r="Z570" s="20"/>
      <c r="AA570" s="20"/>
    </row>
    <row r="571">
      <c r="A571" s="20"/>
      <c r="B571" s="24"/>
      <c r="C571" s="24"/>
      <c r="D571" s="20"/>
      <c r="E571" s="20"/>
      <c r="F571" s="24"/>
      <c r="G571" s="20"/>
      <c r="H571" s="20"/>
      <c r="I571" s="20"/>
      <c r="J571" s="20"/>
      <c r="K571" s="20"/>
      <c r="L571" s="20"/>
      <c r="M571" s="20"/>
      <c r="N571" s="20"/>
      <c r="O571" s="20"/>
      <c r="P571" s="20"/>
      <c r="Q571" s="20"/>
      <c r="R571" s="20"/>
      <c r="S571" s="20"/>
      <c r="T571" s="20"/>
      <c r="U571" s="20"/>
      <c r="V571" s="20"/>
      <c r="W571" s="20"/>
      <c r="X571" s="20"/>
      <c r="Y571" s="20"/>
      <c r="Z571" s="20"/>
      <c r="AA571" s="20"/>
    </row>
    <row r="572">
      <c r="A572" s="20"/>
      <c r="B572" s="24"/>
      <c r="C572" s="24"/>
      <c r="D572" s="20"/>
      <c r="E572" s="20"/>
      <c r="F572" s="24"/>
      <c r="G572" s="20"/>
      <c r="H572" s="20"/>
      <c r="I572" s="20"/>
      <c r="J572" s="20"/>
      <c r="K572" s="20"/>
      <c r="L572" s="20"/>
      <c r="M572" s="20"/>
      <c r="N572" s="20"/>
      <c r="O572" s="20"/>
      <c r="P572" s="20"/>
      <c r="Q572" s="20"/>
      <c r="R572" s="20"/>
      <c r="S572" s="20"/>
      <c r="T572" s="20"/>
      <c r="U572" s="20"/>
      <c r="V572" s="20"/>
      <c r="W572" s="20"/>
      <c r="X572" s="20"/>
      <c r="Y572" s="20"/>
      <c r="Z572" s="20"/>
      <c r="AA572" s="20"/>
    </row>
    <row r="573">
      <c r="A573" s="20"/>
      <c r="B573" s="24"/>
      <c r="C573" s="24"/>
      <c r="D573" s="20"/>
      <c r="E573" s="20"/>
      <c r="F573" s="24"/>
      <c r="G573" s="20"/>
      <c r="H573" s="20"/>
      <c r="I573" s="20"/>
      <c r="J573" s="20"/>
      <c r="K573" s="20"/>
      <c r="L573" s="20"/>
      <c r="M573" s="20"/>
      <c r="N573" s="20"/>
      <c r="O573" s="20"/>
      <c r="P573" s="20"/>
      <c r="Q573" s="20"/>
      <c r="R573" s="20"/>
      <c r="S573" s="20"/>
      <c r="T573" s="20"/>
      <c r="U573" s="20"/>
      <c r="V573" s="20"/>
      <c r="W573" s="20"/>
      <c r="X573" s="20"/>
      <c r="Y573" s="20"/>
      <c r="Z573" s="20"/>
      <c r="AA573" s="20"/>
    </row>
    <row r="574">
      <c r="A574" s="20"/>
      <c r="B574" s="24"/>
      <c r="C574" s="24"/>
      <c r="D574" s="20"/>
      <c r="E574" s="20"/>
      <c r="F574" s="24"/>
      <c r="G574" s="20"/>
      <c r="H574" s="20"/>
      <c r="I574" s="20"/>
      <c r="J574" s="20"/>
      <c r="K574" s="20"/>
      <c r="L574" s="20"/>
      <c r="M574" s="20"/>
      <c r="N574" s="20"/>
      <c r="O574" s="20"/>
      <c r="P574" s="20"/>
      <c r="Q574" s="20"/>
      <c r="R574" s="20"/>
      <c r="S574" s="20"/>
      <c r="T574" s="20"/>
      <c r="U574" s="20"/>
      <c r="V574" s="20"/>
      <c r="W574" s="20"/>
      <c r="X574" s="20"/>
      <c r="Y574" s="20"/>
      <c r="Z574" s="20"/>
      <c r="AA574" s="20"/>
    </row>
    <row r="575">
      <c r="A575" s="20"/>
      <c r="B575" s="24"/>
      <c r="C575" s="24"/>
      <c r="D575" s="20"/>
      <c r="E575" s="20"/>
      <c r="F575" s="24"/>
      <c r="G575" s="20"/>
      <c r="H575" s="20"/>
      <c r="I575" s="20"/>
      <c r="J575" s="20"/>
      <c r="K575" s="20"/>
      <c r="L575" s="20"/>
      <c r="M575" s="20"/>
      <c r="N575" s="20"/>
      <c r="O575" s="20"/>
      <c r="P575" s="20"/>
      <c r="Q575" s="20"/>
      <c r="R575" s="20"/>
      <c r="S575" s="20"/>
      <c r="T575" s="20"/>
      <c r="U575" s="20"/>
      <c r="V575" s="20"/>
      <c r="W575" s="20"/>
      <c r="X575" s="20"/>
      <c r="Y575" s="20"/>
      <c r="Z575" s="20"/>
      <c r="AA575" s="20"/>
    </row>
    <row r="576">
      <c r="A576" s="20"/>
      <c r="B576" s="24"/>
      <c r="C576" s="24"/>
      <c r="D576" s="20"/>
      <c r="E576" s="20"/>
      <c r="F576" s="24"/>
      <c r="G576" s="20"/>
      <c r="H576" s="20"/>
      <c r="I576" s="20"/>
      <c r="J576" s="20"/>
      <c r="K576" s="20"/>
      <c r="L576" s="20"/>
      <c r="M576" s="20"/>
      <c r="N576" s="20"/>
      <c r="O576" s="20"/>
      <c r="P576" s="20"/>
      <c r="Q576" s="20"/>
      <c r="R576" s="20"/>
      <c r="S576" s="20"/>
      <c r="T576" s="20"/>
      <c r="U576" s="20"/>
      <c r="V576" s="20"/>
      <c r="W576" s="20"/>
      <c r="X576" s="20"/>
      <c r="Y576" s="20"/>
      <c r="Z576" s="20"/>
      <c r="AA576" s="20"/>
    </row>
    <row r="577">
      <c r="A577" s="20"/>
      <c r="B577" s="24"/>
      <c r="C577" s="24"/>
      <c r="D577" s="20"/>
      <c r="E577" s="20"/>
      <c r="F577" s="24"/>
      <c r="G577" s="20"/>
      <c r="H577" s="20"/>
      <c r="I577" s="20"/>
      <c r="J577" s="20"/>
      <c r="K577" s="20"/>
      <c r="L577" s="20"/>
      <c r="M577" s="20"/>
      <c r="N577" s="20"/>
      <c r="O577" s="20"/>
      <c r="P577" s="20"/>
      <c r="Q577" s="20"/>
      <c r="R577" s="20"/>
      <c r="S577" s="20"/>
      <c r="T577" s="20"/>
      <c r="U577" s="20"/>
      <c r="V577" s="20"/>
      <c r="W577" s="20"/>
      <c r="X577" s="20"/>
      <c r="Y577" s="20"/>
      <c r="Z577" s="20"/>
      <c r="AA577" s="20"/>
    </row>
    <row r="578">
      <c r="A578" s="20"/>
      <c r="B578" s="24"/>
      <c r="C578" s="24"/>
      <c r="D578" s="20"/>
      <c r="E578" s="20"/>
      <c r="F578" s="24"/>
      <c r="G578" s="20"/>
      <c r="H578" s="20"/>
      <c r="I578" s="20"/>
      <c r="J578" s="20"/>
      <c r="K578" s="20"/>
      <c r="L578" s="20"/>
      <c r="M578" s="20"/>
      <c r="N578" s="20"/>
      <c r="O578" s="20"/>
      <c r="P578" s="20"/>
      <c r="Q578" s="20"/>
      <c r="R578" s="20"/>
      <c r="S578" s="20"/>
      <c r="T578" s="20"/>
      <c r="U578" s="20"/>
      <c r="V578" s="20"/>
      <c r="W578" s="20"/>
      <c r="X578" s="20"/>
      <c r="Y578" s="20"/>
      <c r="Z578" s="20"/>
      <c r="AA578" s="20"/>
    </row>
    <row r="579">
      <c r="A579" s="20"/>
      <c r="B579" s="24"/>
      <c r="C579" s="24"/>
      <c r="D579" s="20"/>
      <c r="E579" s="20"/>
      <c r="F579" s="24"/>
      <c r="G579" s="20"/>
      <c r="H579" s="20"/>
      <c r="I579" s="20"/>
      <c r="J579" s="20"/>
      <c r="K579" s="20"/>
      <c r="L579" s="20"/>
      <c r="M579" s="20"/>
      <c r="N579" s="20"/>
      <c r="O579" s="20"/>
      <c r="P579" s="20"/>
      <c r="Q579" s="20"/>
      <c r="R579" s="20"/>
      <c r="S579" s="20"/>
      <c r="T579" s="20"/>
      <c r="U579" s="20"/>
      <c r="V579" s="20"/>
      <c r="W579" s="20"/>
      <c r="X579" s="20"/>
      <c r="Y579" s="20"/>
      <c r="Z579" s="20"/>
      <c r="AA579" s="20"/>
    </row>
    <row r="580">
      <c r="A580" s="20"/>
      <c r="B580" s="24"/>
      <c r="C580" s="24"/>
      <c r="D580" s="20"/>
      <c r="E580" s="20"/>
      <c r="F580" s="24"/>
      <c r="G580" s="20"/>
      <c r="H580" s="20"/>
      <c r="I580" s="20"/>
      <c r="J580" s="20"/>
      <c r="K580" s="20"/>
      <c r="L580" s="20"/>
      <c r="M580" s="20"/>
      <c r="N580" s="20"/>
      <c r="O580" s="20"/>
      <c r="P580" s="20"/>
      <c r="Q580" s="20"/>
      <c r="R580" s="20"/>
      <c r="S580" s="20"/>
      <c r="T580" s="20"/>
      <c r="U580" s="20"/>
      <c r="V580" s="20"/>
      <c r="W580" s="20"/>
      <c r="X580" s="20"/>
      <c r="Y580" s="20"/>
      <c r="Z580" s="20"/>
      <c r="AA580" s="20"/>
    </row>
    <row r="581">
      <c r="A581" s="20"/>
      <c r="B581" s="24"/>
      <c r="C581" s="24"/>
      <c r="D581" s="20"/>
      <c r="E581" s="20"/>
      <c r="F581" s="24"/>
      <c r="G581" s="20"/>
      <c r="H581" s="20"/>
      <c r="I581" s="20"/>
      <c r="J581" s="20"/>
      <c r="K581" s="20"/>
      <c r="L581" s="20"/>
      <c r="M581" s="20"/>
      <c r="N581" s="20"/>
      <c r="O581" s="20"/>
      <c r="P581" s="20"/>
      <c r="Q581" s="20"/>
      <c r="R581" s="20"/>
      <c r="S581" s="20"/>
      <c r="T581" s="20"/>
      <c r="U581" s="20"/>
      <c r="V581" s="20"/>
      <c r="W581" s="20"/>
      <c r="X581" s="20"/>
      <c r="Y581" s="20"/>
      <c r="Z581" s="20"/>
      <c r="AA581" s="20"/>
    </row>
    <row r="582">
      <c r="A582" s="20"/>
      <c r="B582" s="24"/>
      <c r="C582" s="24"/>
      <c r="D582" s="20"/>
      <c r="E582" s="20"/>
      <c r="F582" s="24"/>
      <c r="G582" s="20"/>
      <c r="H582" s="20"/>
      <c r="I582" s="20"/>
      <c r="J582" s="20"/>
      <c r="K582" s="20"/>
      <c r="L582" s="20"/>
      <c r="M582" s="20"/>
      <c r="N582" s="20"/>
      <c r="O582" s="20"/>
      <c r="P582" s="20"/>
      <c r="Q582" s="20"/>
      <c r="R582" s="20"/>
      <c r="S582" s="20"/>
      <c r="T582" s="20"/>
      <c r="U582" s="20"/>
      <c r="V582" s="20"/>
      <c r="W582" s="20"/>
      <c r="X582" s="20"/>
      <c r="Y582" s="20"/>
      <c r="Z582" s="20"/>
      <c r="AA582" s="20"/>
    </row>
    <row r="583">
      <c r="A583" s="20"/>
      <c r="B583" s="24"/>
      <c r="C583" s="24"/>
      <c r="D583" s="20"/>
      <c r="E583" s="20"/>
      <c r="F583" s="24"/>
      <c r="G583" s="20"/>
      <c r="H583" s="20"/>
      <c r="I583" s="20"/>
      <c r="J583" s="20"/>
      <c r="K583" s="20"/>
      <c r="L583" s="20"/>
      <c r="M583" s="20"/>
      <c r="N583" s="20"/>
      <c r="O583" s="20"/>
      <c r="P583" s="20"/>
      <c r="Q583" s="20"/>
      <c r="R583" s="20"/>
      <c r="S583" s="20"/>
      <c r="T583" s="20"/>
      <c r="U583" s="20"/>
      <c r="V583" s="20"/>
      <c r="W583" s="20"/>
      <c r="X583" s="20"/>
      <c r="Y583" s="20"/>
      <c r="Z583" s="20"/>
      <c r="AA583" s="20"/>
    </row>
    <row r="584">
      <c r="A584" s="20"/>
      <c r="B584" s="24"/>
      <c r="C584" s="24"/>
      <c r="D584" s="20"/>
      <c r="E584" s="20"/>
      <c r="F584" s="24"/>
      <c r="G584" s="20"/>
      <c r="H584" s="20"/>
      <c r="I584" s="20"/>
      <c r="J584" s="20"/>
      <c r="K584" s="20"/>
      <c r="L584" s="20"/>
      <c r="M584" s="20"/>
      <c r="N584" s="20"/>
      <c r="O584" s="20"/>
      <c r="P584" s="20"/>
      <c r="Q584" s="20"/>
      <c r="R584" s="20"/>
      <c r="S584" s="20"/>
      <c r="T584" s="20"/>
      <c r="U584" s="20"/>
      <c r="V584" s="20"/>
      <c r="W584" s="20"/>
      <c r="X584" s="20"/>
      <c r="Y584" s="20"/>
      <c r="Z584" s="20"/>
      <c r="AA584" s="20"/>
    </row>
    <row r="585">
      <c r="A585" s="20"/>
      <c r="B585" s="24"/>
      <c r="C585" s="24"/>
      <c r="D585" s="20"/>
      <c r="E585" s="20"/>
      <c r="F585" s="24"/>
      <c r="G585" s="20"/>
      <c r="H585" s="20"/>
      <c r="I585" s="20"/>
      <c r="J585" s="20"/>
      <c r="K585" s="20"/>
      <c r="L585" s="20"/>
      <c r="M585" s="20"/>
      <c r="N585" s="20"/>
      <c r="O585" s="20"/>
      <c r="P585" s="20"/>
      <c r="Q585" s="20"/>
      <c r="R585" s="20"/>
      <c r="S585" s="20"/>
      <c r="T585" s="20"/>
      <c r="U585" s="20"/>
      <c r="V585" s="20"/>
      <c r="W585" s="20"/>
      <c r="X585" s="20"/>
      <c r="Y585" s="20"/>
      <c r="Z585" s="20"/>
      <c r="AA585" s="20"/>
    </row>
    <row r="586">
      <c r="A586" s="20"/>
      <c r="B586" s="24"/>
      <c r="C586" s="24"/>
      <c r="D586" s="20"/>
      <c r="E586" s="20"/>
      <c r="F586" s="24"/>
      <c r="G586" s="20"/>
      <c r="H586" s="20"/>
      <c r="I586" s="20"/>
      <c r="J586" s="20"/>
      <c r="K586" s="20"/>
      <c r="L586" s="20"/>
      <c r="M586" s="20"/>
      <c r="N586" s="20"/>
      <c r="O586" s="20"/>
      <c r="P586" s="20"/>
      <c r="Q586" s="20"/>
      <c r="R586" s="20"/>
      <c r="S586" s="20"/>
      <c r="T586" s="20"/>
      <c r="U586" s="20"/>
      <c r="V586" s="20"/>
      <c r="W586" s="20"/>
      <c r="X586" s="20"/>
      <c r="Y586" s="20"/>
      <c r="Z586" s="20"/>
      <c r="AA586" s="20"/>
    </row>
    <row r="587">
      <c r="A587" s="20"/>
      <c r="B587" s="24"/>
      <c r="C587" s="24"/>
      <c r="D587" s="20"/>
      <c r="E587" s="20"/>
      <c r="F587" s="24"/>
      <c r="G587" s="20"/>
      <c r="H587" s="20"/>
      <c r="I587" s="20"/>
      <c r="J587" s="20"/>
      <c r="K587" s="20"/>
      <c r="L587" s="20"/>
      <c r="M587" s="20"/>
      <c r="N587" s="20"/>
      <c r="O587" s="20"/>
      <c r="P587" s="20"/>
      <c r="Q587" s="20"/>
      <c r="R587" s="20"/>
      <c r="S587" s="20"/>
      <c r="T587" s="20"/>
      <c r="U587" s="20"/>
      <c r="V587" s="20"/>
      <c r="W587" s="20"/>
      <c r="X587" s="20"/>
      <c r="Y587" s="20"/>
      <c r="Z587" s="20"/>
      <c r="AA587" s="20"/>
    </row>
    <row r="588">
      <c r="A588" s="20"/>
      <c r="B588" s="24"/>
      <c r="C588" s="24"/>
      <c r="D588" s="20"/>
      <c r="E588" s="20"/>
      <c r="F588" s="24"/>
      <c r="G588" s="20"/>
      <c r="H588" s="20"/>
      <c r="I588" s="20"/>
      <c r="J588" s="20"/>
      <c r="K588" s="20"/>
      <c r="L588" s="20"/>
      <c r="M588" s="20"/>
      <c r="N588" s="20"/>
      <c r="O588" s="20"/>
      <c r="P588" s="20"/>
      <c r="Q588" s="20"/>
      <c r="R588" s="20"/>
      <c r="S588" s="20"/>
      <c r="T588" s="20"/>
      <c r="U588" s="20"/>
      <c r="V588" s="20"/>
      <c r="W588" s="20"/>
      <c r="X588" s="20"/>
      <c r="Y588" s="20"/>
      <c r="Z588" s="20"/>
      <c r="AA588" s="20"/>
    </row>
    <row r="589">
      <c r="A589" s="20"/>
      <c r="B589" s="24"/>
      <c r="C589" s="24"/>
      <c r="D589" s="20"/>
      <c r="E589" s="20"/>
      <c r="F589" s="24"/>
      <c r="G589" s="20"/>
      <c r="H589" s="20"/>
      <c r="I589" s="20"/>
      <c r="J589" s="20"/>
      <c r="K589" s="20"/>
      <c r="L589" s="20"/>
      <c r="M589" s="20"/>
      <c r="N589" s="20"/>
      <c r="O589" s="20"/>
      <c r="P589" s="20"/>
      <c r="Q589" s="20"/>
      <c r="R589" s="20"/>
      <c r="S589" s="20"/>
      <c r="T589" s="20"/>
      <c r="U589" s="20"/>
      <c r="V589" s="20"/>
      <c r="W589" s="20"/>
      <c r="X589" s="20"/>
      <c r="Y589" s="20"/>
      <c r="Z589" s="20"/>
      <c r="AA589" s="20"/>
    </row>
    <row r="590">
      <c r="A590" s="20"/>
      <c r="B590" s="24"/>
      <c r="C590" s="24"/>
      <c r="D590" s="20"/>
      <c r="E590" s="20"/>
      <c r="F590" s="24"/>
      <c r="G590" s="20"/>
      <c r="H590" s="20"/>
      <c r="I590" s="20"/>
      <c r="J590" s="20"/>
      <c r="K590" s="20"/>
      <c r="L590" s="20"/>
      <c r="M590" s="20"/>
      <c r="N590" s="20"/>
      <c r="O590" s="20"/>
      <c r="P590" s="20"/>
      <c r="Q590" s="20"/>
      <c r="R590" s="20"/>
      <c r="S590" s="20"/>
      <c r="T590" s="20"/>
      <c r="U590" s="20"/>
      <c r="V590" s="20"/>
      <c r="W590" s="20"/>
      <c r="X590" s="20"/>
      <c r="Y590" s="20"/>
      <c r="Z590" s="20"/>
      <c r="AA590" s="20"/>
    </row>
    <row r="591">
      <c r="A591" s="20"/>
      <c r="B591" s="24"/>
      <c r="C591" s="24"/>
      <c r="D591" s="20"/>
      <c r="E591" s="20"/>
      <c r="F591" s="24"/>
      <c r="G591" s="20"/>
      <c r="H591" s="20"/>
      <c r="I591" s="20"/>
      <c r="J591" s="20"/>
      <c r="K591" s="20"/>
      <c r="L591" s="20"/>
      <c r="M591" s="20"/>
      <c r="N591" s="20"/>
      <c r="O591" s="20"/>
      <c r="P591" s="20"/>
      <c r="Q591" s="20"/>
      <c r="R591" s="20"/>
      <c r="S591" s="20"/>
      <c r="T591" s="20"/>
      <c r="U591" s="20"/>
      <c r="V591" s="20"/>
      <c r="W591" s="20"/>
      <c r="X591" s="20"/>
      <c r="Y591" s="20"/>
      <c r="Z591" s="20"/>
      <c r="AA591" s="20"/>
    </row>
    <row r="592">
      <c r="A592" s="20"/>
      <c r="B592" s="24"/>
      <c r="C592" s="24"/>
      <c r="D592" s="20"/>
      <c r="E592" s="20"/>
      <c r="F592" s="24"/>
      <c r="G592" s="20"/>
      <c r="H592" s="20"/>
      <c r="I592" s="20"/>
      <c r="J592" s="20"/>
      <c r="K592" s="20"/>
      <c r="L592" s="20"/>
      <c r="M592" s="20"/>
      <c r="N592" s="20"/>
      <c r="O592" s="20"/>
      <c r="P592" s="20"/>
      <c r="Q592" s="20"/>
      <c r="R592" s="20"/>
      <c r="S592" s="20"/>
      <c r="T592" s="20"/>
      <c r="U592" s="20"/>
      <c r="V592" s="20"/>
      <c r="W592" s="20"/>
      <c r="X592" s="20"/>
      <c r="Y592" s="20"/>
      <c r="Z592" s="20"/>
      <c r="AA592" s="20"/>
    </row>
    <row r="593">
      <c r="A593" s="20"/>
      <c r="B593" s="24"/>
      <c r="C593" s="24"/>
      <c r="D593" s="20"/>
      <c r="E593" s="20"/>
      <c r="F593" s="24"/>
      <c r="G593" s="20"/>
      <c r="H593" s="20"/>
      <c r="I593" s="20"/>
      <c r="J593" s="20"/>
      <c r="K593" s="20"/>
      <c r="L593" s="20"/>
      <c r="M593" s="20"/>
      <c r="N593" s="20"/>
      <c r="O593" s="20"/>
      <c r="P593" s="20"/>
      <c r="Q593" s="20"/>
      <c r="R593" s="20"/>
      <c r="S593" s="20"/>
      <c r="T593" s="20"/>
      <c r="U593" s="20"/>
      <c r="V593" s="20"/>
      <c r="W593" s="20"/>
      <c r="X593" s="20"/>
      <c r="Y593" s="20"/>
      <c r="Z593" s="20"/>
      <c r="AA593" s="20"/>
    </row>
    <row r="594">
      <c r="A594" s="20"/>
      <c r="B594" s="24"/>
      <c r="C594" s="24"/>
      <c r="D594" s="20"/>
      <c r="E594" s="20"/>
      <c r="F594" s="24"/>
      <c r="G594" s="20"/>
      <c r="H594" s="20"/>
      <c r="I594" s="20"/>
      <c r="J594" s="20"/>
      <c r="K594" s="20"/>
      <c r="L594" s="20"/>
      <c r="M594" s="20"/>
      <c r="N594" s="20"/>
      <c r="O594" s="20"/>
      <c r="P594" s="20"/>
      <c r="Q594" s="20"/>
      <c r="R594" s="20"/>
      <c r="S594" s="20"/>
      <c r="T594" s="20"/>
      <c r="U594" s="20"/>
      <c r="V594" s="20"/>
      <c r="W594" s="20"/>
      <c r="X594" s="20"/>
      <c r="Y594" s="20"/>
      <c r="Z594" s="20"/>
      <c r="AA594" s="20"/>
    </row>
    <row r="595">
      <c r="A595" s="20"/>
      <c r="B595" s="24"/>
      <c r="C595" s="24"/>
      <c r="D595" s="20"/>
      <c r="E595" s="20"/>
      <c r="F595" s="24"/>
      <c r="G595" s="20"/>
      <c r="H595" s="20"/>
      <c r="I595" s="20"/>
      <c r="J595" s="20"/>
      <c r="K595" s="20"/>
      <c r="L595" s="20"/>
      <c r="M595" s="20"/>
      <c r="N595" s="20"/>
      <c r="O595" s="20"/>
      <c r="P595" s="20"/>
      <c r="Q595" s="20"/>
      <c r="R595" s="20"/>
      <c r="S595" s="20"/>
      <c r="T595" s="20"/>
      <c r="U595" s="20"/>
      <c r="V595" s="20"/>
      <c r="W595" s="20"/>
      <c r="X595" s="20"/>
      <c r="Y595" s="20"/>
      <c r="Z595" s="20"/>
      <c r="AA595" s="20"/>
    </row>
    <row r="596">
      <c r="A596" s="20"/>
      <c r="B596" s="24"/>
      <c r="C596" s="24"/>
      <c r="D596" s="20"/>
      <c r="E596" s="20"/>
      <c r="F596" s="24"/>
      <c r="G596" s="20"/>
      <c r="H596" s="20"/>
      <c r="I596" s="20"/>
      <c r="J596" s="20"/>
      <c r="K596" s="20"/>
      <c r="L596" s="20"/>
      <c r="M596" s="20"/>
      <c r="N596" s="20"/>
      <c r="O596" s="20"/>
      <c r="P596" s="20"/>
      <c r="Q596" s="20"/>
      <c r="R596" s="20"/>
      <c r="S596" s="20"/>
      <c r="T596" s="20"/>
      <c r="U596" s="20"/>
      <c r="V596" s="20"/>
      <c r="W596" s="20"/>
      <c r="X596" s="20"/>
      <c r="Y596" s="20"/>
      <c r="Z596" s="20"/>
      <c r="AA596" s="20"/>
    </row>
    <row r="597">
      <c r="A597" s="20"/>
      <c r="B597" s="24"/>
      <c r="C597" s="24"/>
      <c r="D597" s="20"/>
      <c r="E597" s="20"/>
      <c r="F597" s="24"/>
      <c r="G597" s="20"/>
      <c r="H597" s="20"/>
      <c r="I597" s="20"/>
      <c r="J597" s="20"/>
      <c r="K597" s="20"/>
      <c r="L597" s="20"/>
      <c r="M597" s="20"/>
      <c r="N597" s="20"/>
      <c r="O597" s="20"/>
      <c r="P597" s="20"/>
      <c r="Q597" s="20"/>
      <c r="R597" s="20"/>
      <c r="S597" s="20"/>
      <c r="T597" s="20"/>
      <c r="U597" s="20"/>
      <c r="V597" s="20"/>
      <c r="W597" s="20"/>
      <c r="X597" s="20"/>
      <c r="Y597" s="20"/>
      <c r="Z597" s="20"/>
      <c r="AA597" s="20"/>
    </row>
    <row r="598">
      <c r="A598" s="20"/>
      <c r="B598" s="24"/>
      <c r="C598" s="24"/>
      <c r="D598" s="20"/>
      <c r="E598" s="20"/>
      <c r="F598" s="24"/>
      <c r="G598" s="20"/>
      <c r="H598" s="20"/>
      <c r="I598" s="20"/>
      <c r="J598" s="20"/>
      <c r="K598" s="20"/>
      <c r="L598" s="20"/>
      <c r="M598" s="20"/>
      <c r="N598" s="20"/>
      <c r="O598" s="20"/>
      <c r="P598" s="20"/>
      <c r="Q598" s="20"/>
      <c r="R598" s="20"/>
      <c r="S598" s="20"/>
      <c r="T598" s="20"/>
      <c r="U598" s="20"/>
      <c r="V598" s="20"/>
      <c r="W598" s="20"/>
      <c r="X598" s="20"/>
      <c r="Y598" s="20"/>
      <c r="Z598" s="20"/>
      <c r="AA598" s="20"/>
    </row>
    <row r="599">
      <c r="A599" s="20"/>
      <c r="B599" s="24"/>
      <c r="C599" s="24"/>
      <c r="D599" s="20"/>
      <c r="E599" s="20"/>
      <c r="F599" s="24"/>
      <c r="G599" s="20"/>
      <c r="H599" s="20"/>
      <c r="I599" s="20"/>
      <c r="J599" s="20"/>
      <c r="K599" s="20"/>
      <c r="L599" s="20"/>
      <c r="M599" s="20"/>
      <c r="N599" s="20"/>
      <c r="O599" s="20"/>
      <c r="P599" s="20"/>
      <c r="Q599" s="20"/>
      <c r="R599" s="20"/>
      <c r="S599" s="20"/>
      <c r="T599" s="20"/>
      <c r="U599" s="20"/>
      <c r="V599" s="20"/>
      <c r="W599" s="20"/>
      <c r="X599" s="20"/>
      <c r="Y599" s="20"/>
      <c r="Z599" s="20"/>
      <c r="AA599" s="20"/>
    </row>
    <row r="600">
      <c r="A600" s="20"/>
      <c r="B600" s="24"/>
      <c r="C600" s="24"/>
      <c r="D600" s="20"/>
      <c r="E600" s="20"/>
      <c r="F600" s="24"/>
      <c r="G600" s="20"/>
      <c r="H600" s="20"/>
      <c r="I600" s="20"/>
      <c r="J600" s="20"/>
      <c r="K600" s="20"/>
      <c r="L600" s="20"/>
      <c r="M600" s="20"/>
      <c r="N600" s="20"/>
      <c r="O600" s="20"/>
      <c r="P600" s="20"/>
      <c r="Q600" s="20"/>
      <c r="R600" s="20"/>
      <c r="S600" s="20"/>
      <c r="T600" s="20"/>
      <c r="U600" s="20"/>
      <c r="V600" s="20"/>
      <c r="W600" s="20"/>
      <c r="X600" s="20"/>
      <c r="Y600" s="20"/>
      <c r="Z600" s="20"/>
      <c r="AA600" s="20"/>
    </row>
    <row r="601">
      <c r="A601" s="20"/>
      <c r="B601" s="24"/>
      <c r="C601" s="24"/>
      <c r="D601" s="20"/>
      <c r="E601" s="20"/>
      <c r="F601" s="24"/>
      <c r="G601" s="20"/>
      <c r="H601" s="20"/>
      <c r="I601" s="20"/>
      <c r="J601" s="20"/>
      <c r="K601" s="20"/>
      <c r="L601" s="20"/>
      <c r="M601" s="20"/>
      <c r="N601" s="20"/>
      <c r="O601" s="20"/>
      <c r="P601" s="20"/>
      <c r="Q601" s="20"/>
      <c r="R601" s="20"/>
      <c r="S601" s="20"/>
      <c r="T601" s="20"/>
      <c r="U601" s="20"/>
      <c r="V601" s="20"/>
      <c r="W601" s="20"/>
      <c r="X601" s="20"/>
      <c r="Y601" s="20"/>
      <c r="Z601" s="20"/>
      <c r="AA601" s="20"/>
    </row>
    <row r="602">
      <c r="A602" s="20"/>
      <c r="B602" s="24"/>
      <c r="C602" s="24"/>
      <c r="D602" s="20"/>
      <c r="E602" s="20"/>
      <c r="F602" s="24"/>
      <c r="G602" s="20"/>
      <c r="H602" s="20"/>
      <c r="I602" s="20"/>
      <c r="J602" s="20"/>
      <c r="K602" s="20"/>
      <c r="L602" s="20"/>
      <c r="M602" s="20"/>
      <c r="N602" s="20"/>
      <c r="O602" s="20"/>
      <c r="P602" s="20"/>
      <c r="Q602" s="20"/>
      <c r="R602" s="20"/>
      <c r="S602" s="20"/>
      <c r="T602" s="20"/>
      <c r="U602" s="20"/>
      <c r="V602" s="20"/>
      <c r="W602" s="20"/>
      <c r="X602" s="20"/>
      <c r="Y602" s="20"/>
      <c r="Z602" s="20"/>
      <c r="AA602" s="20"/>
    </row>
    <row r="603">
      <c r="A603" s="20"/>
      <c r="B603" s="24"/>
      <c r="C603" s="24"/>
      <c r="D603" s="20"/>
      <c r="E603" s="20"/>
      <c r="F603" s="24"/>
      <c r="G603" s="20"/>
      <c r="H603" s="20"/>
      <c r="I603" s="20"/>
      <c r="J603" s="20"/>
      <c r="K603" s="20"/>
      <c r="L603" s="20"/>
      <c r="M603" s="20"/>
      <c r="N603" s="20"/>
      <c r="O603" s="20"/>
      <c r="P603" s="20"/>
      <c r="Q603" s="20"/>
      <c r="R603" s="20"/>
      <c r="S603" s="20"/>
      <c r="T603" s="20"/>
      <c r="U603" s="20"/>
      <c r="V603" s="20"/>
      <c r="W603" s="20"/>
      <c r="X603" s="20"/>
      <c r="Y603" s="20"/>
      <c r="Z603" s="20"/>
      <c r="AA603" s="20"/>
    </row>
    <row r="604">
      <c r="A604" s="20"/>
      <c r="B604" s="24"/>
      <c r="C604" s="24"/>
      <c r="D604" s="20"/>
      <c r="E604" s="20"/>
      <c r="F604" s="24"/>
      <c r="G604" s="20"/>
      <c r="H604" s="20"/>
      <c r="I604" s="20"/>
      <c r="J604" s="20"/>
      <c r="K604" s="20"/>
      <c r="L604" s="20"/>
      <c r="M604" s="20"/>
      <c r="N604" s="20"/>
      <c r="O604" s="20"/>
      <c r="P604" s="20"/>
      <c r="Q604" s="20"/>
      <c r="R604" s="20"/>
      <c r="S604" s="20"/>
      <c r="T604" s="20"/>
      <c r="U604" s="20"/>
      <c r="V604" s="20"/>
      <c r="W604" s="20"/>
      <c r="X604" s="20"/>
      <c r="Y604" s="20"/>
      <c r="Z604" s="20"/>
      <c r="AA604" s="20"/>
    </row>
    <row r="605">
      <c r="A605" s="20"/>
      <c r="B605" s="24"/>
      <c r="C605" s="24"/>
      <c r="D605" s="20"/>
      <c r="E605" s="20"/>
      <c r="F605" s="24"/>
      <c r="G605" s="20"/>
      <c r="H605" s="20"/>
      <c r="I605" s="20"/>
      <c r="J605" s="20"/>
      <c r="K605" s="20"/>
      <c r="L605" s="20"/>
      <c r="M605" s="20"/>
      <c r="N605" s="20"/>
      <c r="O605" s="20"/>
      <c r="P605" s="20"/>
      <c r="Q605" s="20"/>
      <c r="R605" s="20"/>
      <c r="S605" s="20"/>
      <c r="T605" s="20"/>
      <c r="U605" s="20"/>
      <c r="V605" s="20"/>
      <c r="W605" s="20"/>
      <c r="X605" s="20"/>
      <c r="Y605" s="20"/>
      <c r="Z605" s="20"/>
      <c r="AA605" s="20"/>
    </row>
    <row r="606">
      <c r="A606" s="20"/>
      <c r="B606" s="24"/>
      <c r="C606" s="24"/>
      <c r="D606" s="20"/>
      <c r="E606" s="20"/>
      <c r="F606" s="24"/>
      <c r="G606" s="20"/>
      <c r="H606" s="20"/>
      <c r="I606" s="20"/>
      <c r="J606" s="20"/>
      <c r="K606" s="20"/>
      <c r="L606" s="20"/>
      <c r="M606" s="20"/>
      <c r="N606" s="20"/>
      <c r="O606" s="20"/>
      <c r="P606" s="20"/>
      <c r="Q606" s="20"/>
      <c r="R606" s="20"/>
      <c r="S606" s="20"/>
      <c r="T606" s="20"/>
      <c r="U606" s="20"/>
      <c r="V606" s="20"/>
      <c r="W606" s="20"/>
      <c r="X606" s="20"/>
      <c r="Y606" s="20"/>
      <c r="Z606" s="20"/>
      <c r="AA606" s="20"/>
    </row>
    <row r="607">
      <c r="A607" s="20"/>
      <c r="B607" s="24"/>
      <c r="C607" s="24"/>
      <c r="D607" s="20"/>
      <c r="E607" s="20"/>
      <c r="F607" s="24"/>
      <c r="G607" s="20"/>
      <c r="H607" s="20"/>
      <c r="I607" s="20"/>
      <c r="J607" s="20"/>
      <c r="K607" s="20"/>
      <c r="L607" s="20"/>
      <c r="M607" s="20"/>
      <c r="N607" s="20"/>
      <c r="O607" s="20"/>
      <c r="P607" s="20"/>
      <c r="Q607" s="20"/>
      <c r="R607" s="20"/>
      <c r="S607" s="20"/>
      <c r="T607" s="20"/>
      <c r="U607" s="20"/>
      <c r="V607" s="20"/>
      <c r="W607" s="20"/>
      <c r="X607" s="20"/>
      <c r="Y607" s="20"/>
      <c r="Z607" s="20"/>
      <c r="AA607" s="20"/>
    </row>
    <row r="608">
      <c r="A608" s="20"/>
      <c r="B608" s="24"/>
      <c r="C608" s="24"/>
      <c r="D608" s="20"/>
      <c r="E608" s="20"/>
      <c r="F608" s="24"/>
      <c r="G608" s="20"/>
      <c r="H608" s="20"/>
      <c r="I608" s="20"/>
      <c r="J608" s="20"/>
      <c r="K608" s="20"/>
      <c r="L608" s="20"/>
      <c r="M608" s="20"/>
      <c r="N608" s="20"/>
      <c r="O608" s="20"/>
      <c r="P608" s="20"/>
      <c r="Q608" s="20"/>
      <c r="R608" s="20"/>
      <c r="S608" s="20"/>
      <c r="T608" s="20"/>
      <c r="U608" s="20"/>
      <c r="V608" s="20"/>
      <c r="W608" s="20"/>
      <c r="X608" s="20"/>
      <c r="Y608" s="20"/>
      <c r="Z608" s="20"/>
      <c r="AA608" s="20"/>
    </row>
    <row r="609">
      <c r="A609" s="20"/>
      <c r="B609" s="24"/>
      <c r="C609" s="24"/>
      <c r="D609" s="20"/>
      <c r="E609" s="20"/>
      <c r="F609" s="24"/>
      <c r="G609" s="20"/>
      <c r="H609" s="20"/>
      <c r="I609" s="20"/>
      <c r="J609" s="20"/>
      <c r="K609" s="20"/>
      <c r="L609" s="20"/>
      <c r="M609" s="20"/>
      <c r="N609" s="20"/>
      <c r="O609" s="20"/>
      <c r="P609" s="20"/>
      <c r="Q609" s="20"/>
      <c r="R609" s="20"/>
      <c r="S609" s="20"/>
      <c r="T609" s="20"/>
      <c r="U609" s="20"/>
      <c r="V609" s="20"/>
      <c r="W609" s="20"/>
      <c r="X609" s="20"/>
      <c r="Y609" s="20"/>
      <c r="Z609" s="20"/>
      <c r="AA609" s="20"/>
    </row>
    <row r="610">
      <c r="A610" s="20"/>
      <c r="B610" s="24"/>
      <c r="C610" s="24"/>
      <c r="D610" s="20"/>
      <c r="E610" s="20"/>
      <c r="F610" s="24"/>
      <c r="G610" s="20"/>
      <c r="H610" s="20"/>
      <c r="I610" s="20"/>
      <c r="J610" s="20"/>
      <c r="K610" s="20"/>
      <c r="L610" s="20"/>
      <c r="M610" s="20"/>
      <c r="N610" s="20"/>
      <c r="O610" s="20"/>
      <c r="P610" s="20"/>
      <c r="Q610" s="20"/>
      <c r="R610" s="20"/>
      <c r="S610" s="20"/>
      <c r="T610" s="20"/>
      <c r="U610" s="20"/>
      <c r="V610" s="20"/>
      <c r="W610" s="20"/>
      <c r="X610" s="20"/>
      <c r="Y610" s="20"/>
      <c r="Z610" s="20"/>
      <c r="AA610" s="20"/>
    </row>
    <row r="611">
      <c r="A611" s="20"/>
      <c r="B611" s="24"/>
      <c r="C611" s="24"/>
      <c r="D611" s="20"/>
      <c r="E611" s="20"/>
      <c r="F611" s="24"/>
      <c r="G611" s="20"/>
      <c r="H611" s="20"/>
      <c r="I611" s="20"/>
      <c r="J611" s="20"/>
      <c r="K611" s="20"/>
      <c r="L611" s="20"/>
      <c r="M611" s="20"/>
      <c r="N611" s="20"/>
      <c r="O611" s="20"/>
      <c r="P611" s="20"/>
      <c r="Q611" s="20"/>
      <c r="R611" s="20"/>
      <c r="S611" s="20"/>
      <c r="T611" s="20"/>
      <c r="U611" s="20"/>
      <c r="V611" s="20"/>
      <c r="W611" s="20"/>
      <c r="X611" s="20"/>
      <c r="Y611" s="20"/>
      <c r="Z611" s="20"/>
      <c r="AA611" s="20"/>
    </row>
    <row r="612">
      <c r="A612" s="20"/>
      <c r="B612" s="24"/>
      <c r="C612" s="24"/>
      <c r="D612" s="20"/>
      <c r="E612" s="20"/>
      <c r="F612" s="24"/>
      <c r="G612" s="20"/>
      <c r="H612" s="20"/>
      <c r="I612" s="20"/>
      <c r="J612" s="20"/>
      <c r="K612" s="20"/>
      <c r="L612" s="20"/>
      <c r="M612" s="20"/>
      <c r="N612" s="20"/>
      <c r="O612" s="20"/>
      <c r="P612" s="20"/>
      <c r="Q612" s="20"/>
      <c r="R612" s="20"/>
      <c r="S612" s="20"/>
      <c r="T612" s="20"/>
      <c r="U612" s="20"/>
      <c r="V612" s="20"/>
      <c r="W612" s="20"/>
      <c r="X612" s="20"/>
      <c r="Y612" s="20"/>
      <c r="Z612" s="20"/>
      <c r="AA612" s="20"/>
    </row>
    <row r="613">
      <c r="A613" s="20"/>
      <c r="B613" s="24"/>
      <c r="C613" s="24"/>
      <c r="D613" s="20"/>
      <c r="E613" s="20"/>
      <c r="F613" s="24"/>
      <c r="G613" s="20"/>
      <c r="H613" s="20"/>
      <c r="I613" s="20"/>
      <c r="J613" s="20"/>
      <c r="K613" s="20"/>
      <c r="L613" s="20"/>
      <c r="M613" s="20"/>
      <c r="N613" s="20"/>
      <c r="O613" s="20"/>
      <c r="P613" s="20"/>
      <c r="Q613" s="20"/>
      <c r="R613" s="20"/>
      <c r="S613" s="20"/>
      <c r="T613" s="20"/>
      <c r="U613" s="20"/>
      <c r="V613" s="20"/>
      <c r="W613" s="20"/>
      <c r="X613" s="20"/>
      <c r="Y613" s="20"/>
      <c r="Z613" s="20"/>
      <c r="AA613" s="20"/>
    </row>
    <row r="614">
      <c r="A614" s="20"/>
      <c r="B614" s="24"/>
      <c r="C614" s="24"/>
      <c r="D614" s="20"/>
      <c r="E614" s="20"/>
      <c r="F614" s="24"/>
      <c r="G614" s="20"/>
      <c r="H614" s="20"/>
      <c r="I614" s="20"/>
      <c r="J614" s="20"/>
      <c r="K614" s="20"/>
      <c r="L614" s="20"/>
      <c r="M614" s="20"/>
      <c r="N614" s="20"/>
      <c r="O614" s="20"/>
      <c r="P614" s="20"/>
      <c r="Q614" s="20"/>
      <c r="R614" s="20"/>
      <c r="S614" s="20"/>
      <c r="T614" s="20"/>
      <c r="U614" s="20"/>
      <c r="V614" s="20"/>
      <c r="W614" s="20"/>
      <c r="X614" s="20"/>
      <c r="Y614" s="20"/>
      <c r="Z614" s="20"/>
      <c r="AA614" s="20"/>
    </row>
    <row r="615">
      <c r="A615" s="20"/>
      <c r="B615" s="24"/>
      <c r="C615" s="24"/>
      <c r="D615" s="20"/>
      <c r="E615" s="20"/>
      <c r="F615" s="24"/>
      <c r="G615" s="20"/>
      <c r="H615" s="20"/>
      <c r="I615" s="20"/>
      <c r="J615" s="20"/>
      <c r="K615" s="20"/>
      <c r="L615" s="20"/>
      <c r="M615" s="20"/>
      <c r="N615" s="20"/>
      <c r="O615" s="20"/>
      <c r="P615" s="20"/>
      <c r="Q615" s="20"/>
      <c r="R615" s="20"/>
      <c r="S615" s="20"/>
      <c r="T615" s="20"/>
      <c r="U615" s="20"/>
      <c r="V615" s="20"/>
      <c r="W615" s="20"/>
      <c r="X615" s="20"/>
      <c r="Y615" s="20"/>
      <c r="Z615" s="20"/>
      <c r="AA615" s="20"/>
    </row>
    <row r="616">
      <c r="A616" s="20"/>
      <c r="B616" s="24"/>
      <c r="C616" s="24"/>
      <c r="D616" s="20"/>
      <c r="E616" s="20"/>
      <c r="F616" s="24"/>
      <c r="G616" s="20"/>
      <c r="H616" s="20"/>
      <c r="I616" s="20"/>
      <c r="J616" s="20"/>
      <c r="K616" s="20"/>
      <c r="L616" s="20"/>
      <c r="M616" s="20"/>
      <c r="N616" s="20"/>
      <c r="O616" s="20"/>
      <c r="P616" s="20"/>
      <c r="Q616" s="20"/>
      <c r="R616" s="20"/>
      <c r="S616" s="20"/>
      <c r="T616" s="20"/>
      <c r="U616" s="20"/>
      <c r="V616" s="20"/>
      <c r="W616" s="20"/>
      <c r="X616" s="20"/>
      <c r="Y616" s="20"/>
      <c r="Z616" s="20"/>
      <c r="AA616" s="20"/>
    </row>
    <row r="617">
      <c r="A617" s="20"/>
      <c r="B617" s="24"/>
      <c r="C617" s="24"/>
      <c r="D617" s="20"/>
      <c r="E617" s="20"/>
      <c r="F617" s="24"/>
      <c r="G617" s="20"/>
      <c r="H617" s="20"/>
      <c r="I617" s="20"/>
      <c r="J617" s="20"/>
      <c r="K617" s="20"/>
      <c r="L617" s="20"/>
      <c r="M617" s="20"/>
      <c r="N617" s="20"/>
      <c r="O617" s="20"/>
      <c r="P617" s="20"/>
      <c r="Q617" s="20"/>
      <c r="R617" s="20"/>
      <c r="S617" s="20"/>
      <c r="T617" s="20"/>
      <c r="U617" s="20"/>
      <c r="V617" s="20"/>
      <c r="W617" s="20"/>
      <c r="X617" s="20"/>
      <c r="Y617" s="20"/>
      <c r="Z617" s="20"/>
      <c r="AA617" s="20"/>
    </row>
    <row r="618">
      <c r="A618" s="20"/>
      <c r="B618" s="24"/>
      <c r="C618" s="24"/>
      <c r="D618" s="20"/>
      <c r="E618" s="20"/>
      <c r="F618" s="24"/>
      <c r="G618" s="20"/>
      <c r="H618" s="20"/>
      <c r="I618" s="20"/>
      <c r="J618" s="20"/>
      <c r="K618" s="20"/>
      <c r="L618" s="20"/>
      <c r="M618" s="20"/>
      <c r="N618" s="20"/>
      <c r="O618" s="20"/>
      <c r="P618" s="20"/>
      <c r="Q618" s="20"/>
      <c r="R618" s="20"/>
      <c r="S618" s="20"/>
      <c r="T618" s="20"/>
      <c r="U618" s="20"/>
      <c r="V618" s="20"/>
      <c r="W618" s="20"/>
      <c r="X618" s="20"/>
      <c r="Y618" s="20"/>
      <c r="Z618" s="20"/>
      <c r="AA618" s="20"/>
    </row>
    <row r="619">
      <c r="A619" s="20"/>
      <c r="B619" s="24"/>
      <c r="C619" s="24"/>
      <c r="D619" s="20"/>
      <c r="E619" s="20"/>
      <c r="F619" s="24"/>
      <c r="G619" s="20"/>
      <c r="H619" s="20"/>
      <c r="I619" s="20"/>
      <c r="J619" s="20"/>
      <c r="K619" s="20"/>
      <c r="L619" s="20"/>
      <c r="M619" s="20"/>
      <c r="N619" s="20"/>
      <c r="O619" s="20"/>
      <c r="P619" s="20"/>
      <c r="Q619" s="20"/>
      <c r="R619" s="20"/>
      <c r="S619" s="20"/>
      <c r="T619" s="20"/>
      <c r="U619" s="20"/>
      <c r="V619" s="20"/>
      <c r="W619" s="20"/>
      <c r="X619" s="20"/>
      <c r="Y619" s="20"/>
      <c r="Z619" s="20"/>
      <c r="AA619" s="20"/>
    </row>
    <row r="620">
      <c r="A620" s="20"/>
      <c r="B620" s="24"/>
      <c r="C620" s="24"/>
      <c r="D620" s="20"/>
      <c r="E620" s="20"/>
      <c r="F620" s="24"/>
      <c r="G620" s="20"/>
      <c r="H620" s="20"/>
      <c r="I620" s="20"/>
      <c r="J620" s="20"/>
      <c r="K620" s="20"/>
      <c r="L620" s="20"/>
      <c r="M620" s="20"/>
      <c r="N620" s="20"/>
      <c r="O620" s="20"/>
      <c r="P620" s="20"/>
      <c r="Q620" s="20"/>
      <c r="R620" s="20"/>
      <c r="S620" s="20"/>
      <c r="T620" s="20"/>
      <c r="U620" s="20"/>
      <c r="V620" s="20"/>
      <c r="W620" s="20"/>
      <c r="X620" s="20"/>
      <c r="Y620" s="20"/>
      <c r="Z620" s="20"/>
      <c r="AA620" s="20"/>
    </row>
    <row r="621">
      <c r="A621" s="20"/>
      <c r="B621" s="24"/>
      <c r="C621" s="24"/>
      <c r="D621" s="20"/>
      <c r="E621" s="20"/>
      <c r="F621" s="24"/>
      <c r="G621" s="20"/>
      <c r="H621" s="20"/>
      <c r="I621" s="20"/>
      <c r="J621" s="20"/>
      <c r="K621" s="20"/>
      <c r="L621" s="20"/>
      <c r="M621" s="20"/>
      <c r="N621" s="20"/>
      <c r="O621" s="20"/>
      <c r="P621" s="20"/>
      <c r="Q621" s="20"/>
      <c r="R621" s="20"/>
      <c r="S621" s="20"/>
      <c r="T621" s="20"/>
      <c r="U621" s="20"/>
      <c r="V621" s="20"/>
      <c r="W621" s="20"/>
      <c r="X621" s="20"/>
      <c r="Y621" s="20"/>
      <c r="Z621" s="20"/>
      <c r="AA621" s="20"/>
    </row>
    <row r="622">
      <c r="A622" s="20"/>
      <c r="B622" s="24"/>
      <c r="C622" s="24"/>
      <c r="D622" s="20"/>
      <c r="E622" s="20"/>
      <c r="F622" s="24"/>
      <c r="G622" s="20"/>
      <c r="H622" s="20"/>
      <c r="I622" s="20"/>
      <c r="J622" s="20"/>
      <c r="K622" s="20"/>
      <c r="L622" s="20"/>
      <c r="M622" s="20"/>
      <c r="N622" s="20"/>
      <c r="O622" s="20"/>
      <c r="P622" s="20"/>
      <c r="Q622" s="20"/>
      <c r="R622" s="20"/>
      <c r="S622" s="20"/>
      <c r="T622" s="20"/>
      <c r="U622" s="20"/>
      <c r="V622" s="20"/>
      <c r="W622" s="20"/>
      <c r="X622" s="20"/>
      <c r="Y622" s="20"/>
      <c r="Z622" s="20"/>
      <c r="AA622" s="20"/>
    </row>
    <row r="623">
      <c r="A623" s="20"/>
      <c r="B623" s="24"/>
      <c r="C623" s="24"/>
      <c r="D623" s="20"/>
      <c r="E623" s="20"/>
      <c r="F623" s="24"/>
      <c r="G623" s="20"/>
      <c r="H623" s="20"/>
      <c r="I623" s="20"/>
      <c r="J623" s="20"/>
      <c r="K623" s="20"/>
      <c r="L623" s="20"/>
      <c r="M623" s="20"/>
      <c r="N623" s="20"/>
      <c r="O623" s="20"/>
      <c r="P623" s="20"/>
      <c r="Q623" s="20"/>
      <c r="R623" s="20"/>
      <c r="S623" s="20"/>
      <c r="T623" s="20"/>
      <c r="U623" s="20"/>
      <c r="V623" s="20"/>
      <c r="W623" s="20"/>
      <c r="X623" s="20"/>
      <c r="Y623" s="20"/>
      <c r="Z623" s="20"/>
      <c r="AA623" s="20"/>
    </row>
    <row r="624">
      <c r="A624" s="20"/>
      <c r="B624" s="24"/>
      <c r="C624" s="24"/>
      <c r="D624" s="20"/>
      <c r="E624" s="20"/>
      <c r="F624" s="24"/>
      <c r="G624" s="20"/>
      <c r="H624" s="20"/>
      <c r="I624" s="20"/>
      <c r="J624" s="20"/>
      <c r="K624" s="20"/>
      <c r="L624" s="20"/>
      <c r="M624" s="20"/>
      <c r="N624" s="20"/>
      <c r="O624" s="20"/>
      <c r="P624" s="20"/>
      <c r="Q624" s="20"/>
      <c r="R624" s="20"/>
      <c r="S624" s="20"/>
      <c r="T624" s="20"/>
      <c r="U624" s="20"/>
      <c r="V624" s="20"/>
      <c r="W624" s="20"/>
      <c r="X624" s="20"/>
      <c r="Y624" s="20"/>
      <c r="Z624" s="20"/>
      <c r="AA624" s="20"/>
    </row>
    <row r="625">
      <c r="A625" s="20"/>
      <c r="B625" s="24"/>
      <c r="C625" s="24"/>
      <c r="D625" s="20"/>
      <c r="E625" s="20"/>
      <c r="F625" s="24"/>
      <c r="G625" s="20"/>
      <c r="H625" s="20"/>
      <c r="I625" s="20"/>
      <c r="J625" s="20"/>
      <c r="K625" s="20"/>
      <c r="L625" s="20"/>
      <c r="M625" s="20"/>
      <c r="N625" s="20"/>
      <c r="O625" s="20"/>
      <c r="P625" s="20"/>
      <c r="Q625" s="20"/>
      <c r="R625" s="20"/>
      <c r="S625" s="20"/>
      <c r="T625" s="20"/>
      <c r="U625" s="20"/>
      <c r="V625" s="20"/>
      <c r="W625" s="20"/>
      <c r="X625" s="20"/>
      <c r="Y625" s="20"/>
      <c r="Z625" s="20"/>
      <c r="AA625" s="20"/>
    </row>
    <row r="626">
      <c r="A626" s="20"/>
      <c r="B626" s="24"/>
      <c r="C626" s="24"/>
      <c r="D626" s="20"/>
      <c r="E626" s="20"/>
      <c r="F626" s="24"/>
      <c r="G626" s="20"/>
      <c r="H626" s="20"/>
      <c r="I626" s="20"/>
      <c r="J626" s="20"/>
      <c r="K626" s="20"/>
      <c r="L626" s="20"/>
      <c r="M626" s="20"/>
      <c r="N626" s="20"/>
      <c r="O626" s="20"/>
      <c r="P626" s="20"/>
      <c r="Q626" s="20"/>
      <c r="R626" s="20"/>
      <c r="S626" s="20"/>
      <c r="T626" s="20"/>
      <c r="U626" s="20"/>
      <c r="V626" s="20"/>
      <c r="W626" s="20"/>
      <c r="X626" s="20"/>
      <c r="Y626" s="20"/>
      <c r="Z626" s="20"/>
      <c r="AA626" s="20"/>
    </row>
    <row r="627">
      <c r="A627" s="20"/>
      <c r="B627" s="24"/>
      <c r="C627" s="24"/>
      <c r="D627" s="20"/>
      <c r="E627" s="20"/>
      <c r="F627" s="24"/>
      <c r="G627" s="20"/>
      <c r="H627" s="20"/>
      <c r="I627" s="20"/>
      <c r="J627" s="20"/>
      <c r="K627" s="20"/>
      <c r="L627" s="20"/>
      <c r="M627" s="20"/>
      <c r="N627" s="20"/>
      <c r="O627" s="20"/>
      <c r="P627" s="20"/>
      <c r="Q627" s="20"/>
      <c r="R627" s="20"/>
      <c r="S627" s="20"/>
      <c r="T627" s="20"/>
      <c r="U627" s="20"/>
      <c r="V627" s="20"/>
      <c r="W627" s="20"/>
      <c r="X627" s="20"/>
      <c r="Y627" s="20"/>
      <c r="Z627" s="20"/>
      <c r="AA627" s="20"/>
    </row>
    <row r="628">
      <c r="A628" s="20"/>
      <c r="B628" s="24"/>
      <c r="C628" s="24"/>
      <c r="D628" s="20"/>
      <c r="E628" s="20"/>
      <c r="F628" s="24"/>
      <c r="G628" s="20"/>
      <c r="H628" s="20"/>
      <c r="I628" s="20"/>
      <c r="J628" s="20"/>
      <c r="K628" s="20"/>
      <c r="L628" s="20"/>
      <c r="M628" s="20"/>
      <c r="N628" s="20"/>
      <c r="O628" s="20"/>
      <c r="P628" s="20"/>
      <c r="Q628" s="20"/>
      <c r="R628" s="20"/>
      <c r="S628" s="20"/>
      <c r="T628" s="20"/>
      <c r="U628" s="20"/>
      <c r="V628" s="20"/>
      <c r="W628" s="20"/>
      <c r="X628" s="20"/>
      <c r="Y628" s="20"/>
      <c r="Z628" s="20"/>
      <c r="AA628" s="20"/>
    </row>
    <row r="629">
      <c r="A629" s="20"/>
      <c r="B629" s="24"/>
      <c r="C629" s="24"/>
      <c r="D629" s="20"/>
      <c r="E629" s="20"/>
      <c r="F629" s="24"/>
      <c r="G629" s="20"/>
      <c r="H629" s="20"/>
      <c r="I629" s="20"/>
      <c r="J629" s="20"/>
      <c r="K629" s="20"/>
      <c r="L629" s="20"/>
      <c r="M629" s="20"/>
      <c r="N629" s="20"/>
      <c r="O629" s="20"/>
      <c r="P629" s="20"/>
      <c r="Q629" s="20"/>
      <c r="R629" s="20"/>
      <c r="S629" s="20"/>
      <c r="T629" s="20"/>
      <c r="U629" s="20"/>
      <c r="V629" s="20"/>
      <c r="W629" s="20"/>
      <c r="X629" s="20"/>
      <c r="Y629" s="20"/>
      <c r="Z629" s="20"/>
      <c r="AA629" s="20"/>
    </row>
    <row r="630">
      <c r="A630" s="20"/>
      <c r="B630" s="24"/>
      <c r="C630" s="24"/>
      <c r="D630" s="20"/>
      <c r="E630" s="20"/>
      <c r="F630" s="24"/>
      <c r="G630" s="20"/>
      <c r="H630" s="20"/>
      <c r="I630" s="20"/>
      <c r="J630" s="20"/>
      <c r="K630" s="20"/>
      <c r="L630" s="20"/>
      <c r="M630" s="20"/>
      <c r="N630" s="20"/>
      <c r="O630" s="20"/>
      <c r="P630" s="20"/>
      <c r="Q630" s="20"/>
      <c r="R630" s="20"/>
      <c r="S630" s="20"/>
      <c r="T630" s="20"/>
      <c r="U630" s="20"/>
      <c r="V630" s="20"/>
      <c r="W630" s="20"/>
      <c r="X630" s="20"/>
      <c r="Y630" s="20"/>
      <c r="Z630" s="20"/>
      <c r="AA630" s="20"/>
    </row>
    <row r="631">
      <c r="A631" s="20"/>
      <c r="B631" s="24"/>
      <c r="C631" s="24"/>
      <c r="D631" s="20"/>
      <c r="E631" s="20"/>
      <c r="F631" s="24"/>
      <c r="G631" s="20"/>
      <c r="H631" s="20"/>
      <c r="I631" s="20"/>
      <c r="J631" s="20"/>
      <c r="K631" s="20"/>
      <c r="L631" s="20"/>
      <c r="M631" s="20"/>
      <c r="N631" s="20"/>
      <c r="O631" s="20"/>
      <c r="P631" s="20"/>
      <c r="Q631" s="20"/>
      <c r="R631" s="20"/>
      <c r="S631" s="20"/>
      <c r="T631" s="20"/>
      <c r="U631" s="20"/>
      <c r="V631" s="20"/>
      <c r="W631" s="20"/>
      <c r="X631" s="20"/>
      <c r="Y631" s="20"/>
      <c r="Z631" s="20"/>
      <c r="AA631" s="20"/>
    </row>
    <row r="632">
      <c r="A632" s="20"/>
      <c r="B632" s="24"/>
      <c r="C632" s="24"/>
      <c r="D632" s="20"/>
      <c r="E632" s="20"/>
      <c r="F632" s="24"/>
      <c r="G632" s="20"/>
      <c r="H632" s="20"/>
      <c r="I632" s="20"/>
      <c r="J632" s="20"/>
      <c r="K632" s="20"/>
      <c r="L632" s="20"/>
      <c r="M632" s="20"/>
      <c r="N632" s="20"/>
      <c r="O632" s="20"/>
      <c r="P632" s="20"/>
      <c r="Q632" s="20"/>
      <c r="R632" s="20"/>
      <c r="S632" s="20"/>
      <c r="T632" s="20"/>
      <c r="U632" s="20"/>
      <c r="V632" s="20"/>
      <c r="W632" s="20"/>
      <c r="X632" s="20"/>
      <c r="Y632" s="20"/>
      <c r="Z632" s="20"/>
      <c r="AA632" s="20"/>
    </row>
    <row r="633">
      <c r="A633" s="20"/>
      <c r="B633" s="24"/>
      <c r="C633" s="24"/>
      <c r="D633" s="20"/>
      <c r="E633" s="20"/>
      <c r="F633" s="24"/>
      <c r="G633" s="20"/>
      <c r="H633" s="20"/>
      <c r="I633" s="20"/>
      <c r="J633" s="20"/>
      <c r="K633" s="20"/>
      <c r="L633" s="20"/>
      <c r="M633" s="20"/>
      <c r="N633" s="20"/>
      <c r="O633" s="20"/>
      <c r="P633" s="20"/>
      <c r="Q633" s="20"/>
      <c r="R633" s="20"/>
      <c r="S633" s="20"/>
      <c r="T633" s="20"/>
      <c r="U633" s="20"/>
      <c r="V633" s="20"/>
      <c r="W633" s="20"/>
      <c r="X633" s="20"/>
      <c r="Y633" s="20"/>
      <c r="Z633" s="20"/>
      <c r="AA633" s="20"/>
    </row>
    <row r="634">
      <c r="A634" s="20"/>
      <c r="B634" s="24"/>
      <c r="C634" s="24"/>
      <c r="D634" s="20"/>
      <c r="E634" s="20"/>
      <c r="F634" s="24"/>
      <c r="G634" s="20"/>
      <c r="H634" s="20"/>
      <c r="I634" s="20"/>
      <c r="J634" s="20"/>
      <c r="K634" s="20"/>
      <c r="L634" s="20"/>
      <c r="M634" s="20"/>
      <c r="N634" s="20"/>
      <c r="O634" s="20"/>
      <c r="P634" s="20"/>
      <c r="Q634" s="20"/>
      <c r="R634" s="20"/>
      <c r="S634" s="20"/>
      <c r="T634" s="20"/>
      <c r="U634" s="20"/>
      <c r="V634" s="20"/>
      <c r="W634" s="20"/>
      <c r="X634" s="20"/>
      <c r="Y634" s="20"/>
      <c r="Z634" s="20"/>
      <c r="AA634" s="20"/>
    </row>
    <row r="635">
      <c r="A635" s="20"/>
      <c r="B635" s="24"/>
      <c r="C635" s="24"/>
      <c r="D635" s="20"/>
      <c r="E635" s="20"/>
      <c r="F635" s="24"/>
      <c r="G635" s="20"/>
      <c r="H635" s="20"/>
      <c r="I635" s="20"/>
      <c r="J635" s="20"/>
      <c r="K635" s="20"/>
      <c r="L635" s="20"/>
      <c r="M635" s="20"/>
      <c r="N635" s="20"/>
      <c r="O635" s="20"/>
      <c r="P635" s="20"/>
      <c r="Q635" s="20"/>
      <c r="R635" s="20"/>
      <c r="S635" s="20"/>
      <c r="T635" s="20"/>
      <c r="U635" s="20"/>
      <c r="V635" s="20"/>
      <c r="W635" s="20"/>
      <c r="X635" s="20"/>
      <c r="Y635" s="20"/>
      <c r="Z635" s="20"/>
      <c r="AA635" s="20"/>
    </row>
    <row r="636">
      <c r="A636" s="20"/>
      <c r="B636" s="24"/>
      <c r="C636" s="24"/>
      <c r="D636" s="20"/>
      <c r="E636" s="20"/>
      <c r="F636" s="24"/>
      <c r="G636" s="20"/>
      <c r="H636" s="20"/>
      <c r="I636" s="20"/>
      <c r="J636" s="20"/>
      <c r="K636" s="20"/>
      <c r="L636" s="20"/>
      <c r="M636" s="20"/>
      <c r="N636" s="20"/>
      <c r="O636" s="20"/>
      <c r="P636" s="20"/>
      <c r="Q636" s="20"/>
      <c r="R636" s="20"/>
      <c r="S636" s="20"/>
      <c r="T636" s="20"/>
      <c r="U636" s="20"/>
      <c r="V636" s="20"/>
      <c r="W636" s="20"/>
      <c r="X636" s="20"/>
      <c r="Y636" s="20"/>
      <c r="Z636" s="20"/>
      <c r="AA636" s="20"/>
    </row>
    <row r="637">
      <c r="A637" s="20"/>
      <c r="B637" s="24"/>
      <c r="C637" s="24"/>
      <c r="D637" s="20"/>
      <c r="E637" s="20"/>
      <c r="F637" s="24"/>
      <c r="G637" s="20"/>
      <c r="H637" s="20"/>
      <c r="I637" s="20"/>
      <c r="J637" s="20"/>
      <c r="K637" s="20"/>
      <c r="L637" s="20"/>
      <c r="M637" s="20"/>
      <c r="N637" s="20"/>
      <c r="O637" s="20"/>
      <c r="P637" s="20"/>
      <c r="Q637" s="20"/>
      <c r="R637" s="20"/>
      <c r="S637" s="20"/>
      <c r="T637" s="20"/>
      <c r="U637" s="20"/>
      <c r="V637" s="20"/>
      <c r="W637" s="20"/>
      <c r="X637" s="20"/>
      <c r="Y637" s="20"/>
      <c r="Z637" s="20"/>
      <c r="AA637" s="20"/>
    </row>
    <row r="638">
      <c r="A638" s="20"/>
      <c r="B638" s="24"/>
      <c r="C638" s="24"/>
      <c r="D638" s="20"/>
      <c r="E638" s="20"/>
      <c r="F638" s="24"/>
      <c r="G638" s="20"/>
      <c r="H638" s="20"/>
      <c r="I638" s="20"/>
      <c r="J638" s="20"/>
      <c r="K638" s="20"/>
      <c r="L638" s="20"/>
      <c r="M638" s="20"/>
      <c r="N638" s="20"/>
      <c r="O638" s="20"/>
      <c r="P638" s="20"/>
      <c r="Q638" s="20"/>
      <c r="R638" s="20"/>
      <c r="S638" s="20"/>
      <c r="T638" s="20"/>
      <c r="U638" s="20"/>
      <c r="V638" s="20"/>
      <c r="W638" s="20"/>
      <c r="X638" s="20"/>
      <c r="Y638" s="20"/>
      <c r="Z638" s="20"/>
      <c r="AA638" s="20"/>
    </row>
    <row r="639">
      <c r="A639" s="20"/>
      <c r="B639" s="24"/>
      <c r="C639" s="24"/>
      <c r="D639" s="20"/>
      <c r="E639" s="20"/>
      <c r="F639" s="24"/>
      <c r="G639" s="20"/>
      <c r="H639" s="20"/>
      <c r="I639" s="20"/>
      <c r="J639" s="20"/>
      <c r="K639" s="20"/>
      <c r="L639" s="20"/>
      <c r="M639" s="20"/>
      <c r="N639" s="20"/>
      <c r="O639" s="20"/>
      <c r="P639" s="20"/>
      <c r="Q639" s="20"/>
      <c r="R639" s="20"/>
      <c r="S639" s="20"/>
      <c r="T639" s="20"/>
      <c r="U639" s="20"/>
      <c r="V639" s="20"/>
      <c r="W639" s="20"/>
      <c r="X639" s="20"/>
      <c r="Y639" s="20"/>
      <c r="Z639" s="20"/>
      <c r="AA639" s="20"/>
    </row>
    <row r="640">
      <c r="A640" s="20"/>
      <c r="B640" s="24"/>
      <c r="C640" s="24"/>
      <c r="D640" s="20"/>
      <c r="E640" s="20"/>
      <c r="F640" s="24"/>
      <c r="G640" s="20"/>
      <c r="H640" s="20"/>
      <c r="I640" s="20"/>
      <c r="J640" s="20"/>
      <c r="K640" s="20"/>
      <c r="L640" s="20"/>
      <c r="M640" s="20"/>
      <c r="N640" s="20"/>
      <c r="O640" s="20"/>
      <c r="P640" s="20"/>
      <c r="Q640" s="20"/>
      <c r="R640" s="20"/>
      <c r="S640" s="20"/>
      <c r="T640" s="20"/>
      <c r="U640" s="20"/>
      <c r="V640" s="20"/>
      <c r="W640" s="20"/>
      <c r="X640" s="20"/>
      <c r="Y640" s="20"/>
      <c r="Z640" s="20"/>
      <c r="AA640" s="20"/>
    </row>
    <row r="641">
      <c r="A641" s="20"/>
      <c r="B641" s="24"/>
      <c r="C641" s="24"/>
      <c r="D641" s="20"/>
      <c r="E641" s="20"/>
      <c r="F641" s="24"/>
      <c r="G641" s="20"/>
      <c r="H641" s="20"/>
      <c r="I641" s="20"/>
      <c r="J641" s="20"/>
      <c r="K641" s="20"/>
      <c r="L641" s="20"/>
      <c r="M641" s="20"/>
      <c r="N641" s="20"/>
      <c r="O641" s="20"/>
      <c r="P641" s="20"/>
      <c r="Q641" s="20"/>
      <c r="R641" s="20"/>
      <c r="S641" s="20"/>
      <c r="T641" s="20"/>
      <c r="U641" s="20"/>
      <c r="V641" s="20"/>
      <c r="W641" s="20"/>
      <c r="X641" s="20"/>
      <c r="Y641" s="20"/>
      <c r="Z641" s="20"/>
      <c r="AA641" s="20"/>
    </row>
    <row r="642">
      <c r="A642" s="20"/>
      <c r="B642" s="24"/>
      <c r="C642" s="24"/>
      <c r="D642" s="20"/>
      <c r="E642" s="20"/>
      <c r="F642" s="24"/>
      <c r="G642" s="20"/>
      <c r="H642" s="20"/>
      <c r="I642" s="20"/>
      <c r="J642" s="20"/>
      <c r="K642" s="20"/>
      <c r="L642" s="20"/>
      <c r="M642" s="20"/>
      <c r="N642" s="20"/>
      <c r="O642" s="20"/>
      <c r="P642" s="20"/>
      <c r="Q642" s="20"/>
      <c r="R642" s="20"/>
      <c r="S642" s="20"/>
      <c r="T642" s="20"/>
      <c r="U642" s="20"/>
      <c r="V642" s="20"/>
      <c r="W642" s="20"/>
      <c r="X642" s="20"/>
      <c r="Y642" s="20"/>
      <c r="Z642" s="20"/>
      <c r="AA642" s="20"/>
    </row>
    <row r="643">
      <c r="A643" s="20"/>
      <c r="B643" s="24"/>
      <c r="C643" s="24"/>
      <c r="D643" s="20"/>
      <c r="E643" s="20"/>
      <c r="F643" s="24"/>
      <c r="G643" s="20"/>
      <c r="H643" s="20"/>
      <c r="I643" s="20"/>
      <c r="J643" s="20"/>
      <c r="K643" s="20"/>
      <c r="L643" s="20"/>
      <c r="M643" s="20"/>
      <c r="N643" s="20"/>
      <c r="O643" s="20"/>
      <c r="P643" s="20"/>
      <c r="Q643" s="20"/>
      <c r="R643" s="20"/>
      <c r="S643" s="20"/>
      <c r="T643" s="20"/>
      <c r="U643" s="20"/>
      <c r="V643" s="20"/>
      <c r="W643" s="20"/>
      <c r="X643" s="20"/>
      <c r="Y643" s="20"/>
      <c r="Z643" s="20"/>
      <c r="AA643" s="20"/>
    </row>
    <row r="644">
      <c r="A644" s="20"/>
      <c r="B644" s="24"/>
      <c r="C644" s="24"/>
      <c r="D644" s="20"/>
      <c r="E644" s="20"/>
      <c r="F644" s="24"/>
      <c r="G644" s="20"/>
      <c r="H644" s="20"/>
      <c r="I644" s="20"/>
      <c r="J644" s="20"/>
      <c r="K644" s="20"/>
      <c r="L644" s="20"/>
      <c r="M644" s="20"/>
      <c r="N644" s="20"/>
      <c r="O644" s="20"/>
      <c r="P644" s="20"/>
      <c r="Q644" s="20"/>
      <c r="R644" s="20"/>
      <c r="S644" s="20"/>
      <c r="T644" s="20"/>
      <c r="U644" s="20"/>
      <c r="V644" s="20"/>
      <c r="W644" s="20"/>
      <c r="X644" s="20"/>
      <c r="Y644" s="20"/>
      <c r="Z644" s="20"/>
      <c r="AA644" s="20"/>
    </row>
    <row r="645">
      <c r="A645" s="20"/>
      <c r="B645" s="24"/>
      <c r="C645" s="24"/>
      <c r="D645" s="20"/>
      <c r="E645" s="20"/>
      <c r="F645" s="24"/>
      <c r="G645" s="20"/>
      <c r="H645" s="20"/>
      <c r="I645" s="20"/>
      <c r="J645" s="20"/>
      <c r="K645" s="20"/>
      <c r="L645" s="20"/>
      <c r="M645" s="20"/>
      <c r="N645" s="20"/>
      <c r="O645" s="20"/>
      <c r="P645" s="20"/>
      <c r="Q645" s="20"/>
      <c r="R645" s="20"/>
      <c r="S645" s="20"/>
      <c r="T645" s="20"/>
      <c r="U645" s="20"/>
      <c r="V645" s="20"/>
      <c r="W645" s="20"/>
      <c r="X645" s="20"/>
      <c r="Y645" s="20"/>
      <c r="Z645" s="20"/>
      <c r="AA645" s="20"/>
    </row>
    <row r="646">
      <c r="A646" s="20"/>
      <c r="B646" s="24"/>
      <c r="C646" s="24"/>
      <c r="D646" s="20"/>
      <c r="E646" s="20"/>
      <c r="F646" s="24"/>
      <c r="G646" s="20"/>
      <c r="H646" s="20"/>
      <c r="I646" s="20"/>
      <c r="J646" s="20"/>
      <c r="K646" s="20"/>
      <c r="L646" s="20"/>
      <c r="M646" s="20"/>
      <c r="N646" s="20"/>
      <c r="O646" s="20"/>
      <c r="P646" s="20"/>
      <c r="Q646" s="20"/>
      <c r="R646" s="20"/>
      <c r="S646" s="20"/>
      <c r="T646" s="20"/>
      <c r="U646" s="20"/>
      <c r="V646" s="20"/>
      <c r="W646" s="20"/>
      <c r="X646" s="20"/>
      <c r="Y646" s="20"/>
      <c r="Z646" s="20"/>
      <c r="AA646" s="20"/>
    </row>
    <row r="647">
      <c r="A647" s="20"/>
      <c r="B647" s="24"/>
      <c r="C647" s="24"/>
      <c r="D647" s="20"/>
      <c r="E647" s="20"/>
      <c r="F647" s="24"/>
      <c r="G647" s="20"/>
      <c r="H647" s="20"/>
      <c r="I647" s="20"/>
      <c r="J647" s="20"/>
      <c r="K647" s="20"/>
      <c r="L647" s="20"/>
      <c r="M647" s="20"/>
      <c r="N647" s="20"/>
      <c r="O647" s="20"/>
      <c r="P647" s="20"/>
      <c r="Q647" s="20"/>
      <c r="R647" s="20"/>
      <c r="S647" s="20"/>
      <c r="T647" s="20"/>
      <c r="U647" s="20"/>
      <c r="V647" s="20"/>
      <c r="W647" s="20"/>
      <c r="X647" s="20"/>
      <c r="Y647" s="20"/>
      <c r="Z647" s="20"/>
      <c r="AA647" s="20"/>
    </row>
    <row r="648">
      <c r="A648" s="20"/>
      <c r="B648" s="24"/>
      <c r="C648" s="24"/>
      <c r="D648" s="20"/>
      <c r="E648" s="20"/>
      <c r="F648" s="24"/>
      <c r="G648" s="20"/>
      <c r="H648" s="20"/>
      <c r="I648" s="20"/>
      <c r="J648" s="20"/>
      <c r="K648" s="20"/>
      <c r="L648" s="20"/>
      <c r="M648" s="20"/>
      <c r="N648" s="20"/>
      <c r="O648" s="20"/>
      <c r="P648" s="20"/>
      <c r="Q648" s="20"/>
      <c r="R648" s="20"/>
      <c r="S648" s="20"/>
      <c r="T648" s="20"/>
      <c r="U648" s="20"/>
      <c r="V648" s="20"/>
      <c r="W648" s="20"/>
      <c r="X648" s="20"/>
      <c r="Y648" s="20"/>
      <c r="Z648" s="20"/>
      <c r="AA648" s="20"/>
    </row>
    <row r="649">
      <c r="A649" s="20"/>
      <c r="B649" s="24"/>
      <c r="C649" s="24"/>
      <c r="D649" s="20"/>
      <c r="E649" s="20"/>
      <c r="F649" s="24"/>
      <c r="G649" s="20"/>
      <c r="H649" s="20"/>
      <c r="I649" s="20"/>
      <c r="J649" s="20"/>
      <c r="K649" s="20"/>
      <c r="L649" s="20"/>
      <c r="M649" s="20"/>
      <c r="N649" s="20"/>
      <c r="O649" s="20"/>
      <c r="P649" s="20"/>
      <c r="Q649" s="20"/>
      <c r="R649" s="20"/>
      <c r="S649" s="20"/>
      <c r="T649" s="20"/>
      <c r="U649" s="20"/>
      <c r="V649" s="20"/>
      <c r="W649" s="20"/>
      <c r="X649" s="20"/>
      <c r="Y649" s="20"/>
      <c r="Z649" s="20"/>
      <c r="AA649" s="20"/>
    </row>
    <row r="650">
      <c r="A650" s="20"/>
      <c r="B650" s="24"/>
      <c r="C650" s="24"/>
      <c r="D650" s="20"/>
      <c r="E650" s="20"/>
      <c r="F650" s="24"/>
      <c r="G650" s="20"/>
      <c r="H650" s="20"/>
      <c r="I650" s="20"/>
      <c r="J650" s="20"/>
      <c r="K650" s="20"/>
      <c r="L650" s="20"/>
      <c r="M650" s="20"/>
      <c r="N650" s="20"/>
      <c r="O650" s="20"/>
      <c r="P650" s="20"/>
      <c r="Q650" s="20"/>
      <c r="R650" s="20"/>
      <c r="S650" s="20"/>
      <c r="T650" s="20"/>
      <c r="U650" s="20"/>
      <c r="V650" s="20"/>
      <c r="W650" s="20"/>
      <c r="X650" s="20"/>
      <c r="Y650" s="20"/>
      <c r="Z650" s="20"/>
      <c r="AA650" s="20"/>
    </row>
    <row r="651">
      <c r="A651" s="20"/>
      <c r="B651" s="24"/>
      <c r="C651" s="24"/>
      <c r="D651" s="20"/>
      <c r="E651" s="20"/>
      <c r="F651" s="24"/>
      <c r="G651" s="20"/>
      <c r="H651" s="20"/>
      <c r="I651" s="20"/>
      <c r="J651" s="20"/>
      <c r="K651" s="20"/>
      <c r="L651" s="20"/>
      <c r="M651" s="20"/>
      <c r="N651" s="20"/>
      <c r="O651" s="20"/>
      <c r="P651" s="20"/>
      <c r="Q651" s="20"/>
      <c r="R651" s="20"/>
      <c r="S651" s="20"/>
      <c r="T651" s="20"/>
      <c r="U651" s="20"/>
      <c r="V651" s="20"/>
      <c r="W651" s="20"/>
      <c r="X651" s="20"/>
      <c r="Y651" s="20"/>
      <c r="Z651" s="20"/>
      <c r="AA651" s="20"/>
    </row>
    <row r="652">
      <c r="A652" s="20"/>
      <c r="B652" s="24"/>
      <c r="C652" s="24"/>
      <c r="D652" s="20"/>
      <c r="E652" s="20"/>
      <c r="F652" s="24"/>
      <c r="G652" s="20"/>
      <c r="H652" s="20"/>
      <c r="I652" s="20"/>
      <c r="J652" s="20"/>
      <c r="K652" s="20"/>
      <c r="L652" s="20"/>
      <c r="M652" s="20"/>
      <c r="N652" s="20"/>
      <c r="O652" s="20"/>
      <c r="P652" s="20"/>
      <c r="Q652" s="20"/>
      <c r="R652" s="20"/>
      <c r="S652" s="20"/>
      <c r="T652" s="20"/>
      <c r="U652" s="20"/>
      <c r="V652" s="20"/>
      <c r="W652" s="20"/>
      <c r="X652" s="20"/>
      <c r="Y652" s="20"/>
      <c r="Z652" s="20"/>
      <c r="AA652" s="20"/>
    </row>
    <row r="653">
      <c r="A653" s="20"/>
      <c r="B653" s="24"/>
      <c r="C653" s="24"/>
      <c r="D653" s="20"/>
      <c r="E653" s="20"/>
      <c r="F653" s="24"/>
      <c r="G653" s="20"/>
      <c r="H653" s="20"/>
      <c r="I653" s="20"/>
      <c r="J653" s="20"/>
      <c r="K653" s="20"/>
      <c r="L653" s="20"/>
      <c r="M653" s="20"/>
      <c r="N653" s="20"/>
      <c r="O653" s="20"/>
      <c r="P653" s="20"/>
      <c r="Q653" s="20"/>
      <c r="R653" s="20"/>
      <c r="S653" s="20"/>
      <c r="T653" s="20"/>
      <c r="U653" s="20"/>
      <c r="V653" s="20"/>
      <c r="W653" s="20"/>
      <c r="X653" s="20"/>
      <c r="Y653" s="20"/>
      <c r="Z653" s="20"/>
      <c r="AA653" s="20"/>
    </row>
    <row r="654">
      <c r="A654" s="20"/>
      <c r="B654" s="24"/>
      <c r="C654" s="24"/>
      <c r="D654" s="20"/>
      <c r="E654" s="20"/>
      <c r="F654" s="24"/>
      <c r="G654" s="20"/>
      <c r="H654" s="20"/>
      <c r="I654" s="20"/>
      <c r="J654" s="20"/>
      <c r="K654" s="20"/>
      <c r="L654" s="20"/>
      <c r="M654" s="20"/>
      <c r="N654" s="20"/>
      <c r="O654" s="20"/>
      <c r="P654" s="20"/>
      <c r="Q654" s="20"/>
      <c r="R654" s="20"/>
      <c r="S654" s="20"/>
      <c r="T654" s="20"/>
      <c r="U654" s="20"/>
      <c r="V654" s="20"/>
      <c r="W654" s="20"/>
      <c r="X654" s="20"/>
      <c r="Y654" s="20"/>
      <c r="Z654" s="20"/>
      <c r="AA654" s="20"/>
    </row>
    <row r="655">
      <c r="A655" s="20"/>
      <c r="B655" s="24"/>
      <c r="C655" s="24"/>
      <c r="D655" s="20"/>
      <c r="E655" s="20"/>
      <c r="F655" s="24"/>
      <c r="G655" s="20"/>
      <c r="H655" s="20"/>
      <c r="I655" s="20"/>
      <c r="J655" s="20"/>
      <c r="K655" s="20"/>
      <c r="L655" s="20"/>
      <c r="M655" s="20"/>
      <c r="N655" s="20"/>
      <c r="O655" s="20"/>
      <c r="P655" s="20"/>
      <c r="Q655" s="20"/>
      <c r="R655" s="20"/>
      <c r="S655" s="20"/>
      <c r="T655" s="20"/>
      <c r="U655" s="20"/>
      <c r="V655" s="20"/>
      <c r="W655" s="20"/>
      <c r="X655" s="20"/>
      <c r="Y655" s="20"/>
      <c r="Z655" s="20"/>
      <c r="AA655" s="20"/>
    </row>
    <row r="656">
      <c r="A656" s="20"/>
      <c r="B656" s="24"/>
      <c r="C656" s="24"/>
      <c r="D656" s="20"/>
      <c r="E656" s="20"/>
      <c r="F656" s="24"/>
      <c r="G656" s="20"/>
      <c r="H656" s="20"/>
      <c r="I656" s="20"/>
      <c r="J656" s="20"/>
      <c r="K656" s="20"/>
      <c r="L656" s="20"/>
      <c r="M656" s="20"/>
      <c r="N656" s="20"/>
      <c r="O656" s="20"/>
      <c r="P656" s="20"/>
      <c r="Q656" s="20"/>
      <c r="R656" s="20"/>
      <c r="S656" s="20"/>
      <c r="T656" s="20"/>
      <c r="U656" s="20"/>
      <c r="V656" s="20"/>
      <c r="W656" s="20"/>
      <c r="X656" s="20"/>
      <c r="Y656" s="20"/>
      <c r="Z656" s="20"/>
      <c r="AA656" s="20"/>
    </row>
    <row r="657">
      <c r="A657" s="20"/>
      <c r="B657" s="24"/>
      <c r="C657" s="24"/>
      <c r="D657" s="20"/>
      <c r="E657" s="20"/>
      <c r="F657" s="24"/>
      <c r="G657" s="20"/>
      <c r="H657" s="20"/>
      <c r="I657" s="20"/>
      <c r="J657" s="20"/>
      <c r="K657" s="20"/>
      <c r="L657" s="20"/>
      <c r="M657" s="20"/>
      <c r="N657" s="20"/>
      <c r="O657" s="20"/>
      <c r="P657" s="20"/>
      <c r="Q657" s="20"/>
      <c r="R657" s="20"/>
      <c r="S657" s="20"/>
      <c r="T657" s="20"/>
      <c r="U657" s="20"/>
      <c r="V657" s="20"/>
      <c r="W657" s="20"/>
      <c r="X657" s="20"/>
      <c r="Y657" s="20"/>
      <c r="Z657" s="20"/>
      <c r="AA657" s="20"/>
    </row>
    <row r="658">
      <c r="A658" s="20"/>
      <c r="B658" s="24"/>
      <c r="C658" s="24"/>
      <c r="D658" s="20"/>
      <c r="E658" s="20"/>
      <c r="F658" s="24"/>
      <c r="G658" s="20"/>
      <c r="H658" s="20"/>
      <c r="I658" s="20"/>
      <c r="J658" s="20"/>
      <c r="K658" s="20"/>
      <c r="L658" s="20"/>
      <c r="M658" s="20"/>
      <c r="N658" s="20"/>
      <c r="O658" s="20"/>
      <c r="P658" s="20"/>
      <c r="Q658" s="20"/>
      <c r="R658" s="20"/>
      <c r="S658" s="20"/>
      <c r="T658" s="20"/>
      <c r="U658" s="20"/>
      <c r="V658" s="20"/>
      <c r="W658" s="20"/>
      <c r="X658" s="20"/>
      <c r="Y658" s="20"/>
      <c r="Z658" s="20"/>
      <c r="AA658" s="20"/>
    </row>
    <row r="659">
      <c r="A659" s="20"/>
      <c r="B659" s="24"/>
      <c r="C659" s="24"/>
      <c r="D659" s="20"/>
      <c r="E659" s="20"/>
      <c r="F659" s="24"/>
      <c r="G659" s="20"/>
      <c r="H659" s="20"/>
      <c r="I659" s="20"/>
      <c r="J659" s="20"/>
      <c r="K659" s="20"/>
      <c r="L659" s="20"/>
      <c r="M659" s="20"/>
      <c r="N659" s="20"/>
      <c r="O659" s="20"/>
      <c r="P659" s="20"/>
      <c r="Q659" s="20"/>
      <c r="R659" s="20"/>
      <c r="S659" s="20"/>
      <c r="T659" s="20"/>
      <c r="U659" s="20"/>
      <c r="V659" s="20"/>
      <c r="W659" s="20"/>
      <c r="X659" s="20"/>
      <c r="Y659" s="20"/>
      <c r="Z659" s="20"/>
      <c r="AA659" s="20"/>
    </row>
    <row r="660">
      <c r="A660" s="20"/>
      <c r="B660" s="24"/>
      <c r="C660" s="24"/>
      <c r="D660" s="20"/>
      <c r="E660" s="20"/>
      <c r="F660" s="24"/>
      <c r="G660" s="20"/>
      <c r="H660" s="20"/>
      <c r="I660" s="20"/>
      <c r="J660" s="20"/>
      <c r="K660" s="20"/>
      <c r="L660" s="20"/>
      <c r="M660" s="20"/>
      <c r="N660" s="20"/>
      <c r="O660" s="20"/>
      <c r="P660" s="20"/>
      <c r="Q660" s="20"/>
      <c r="R660" s="20"/>
      <c r="S660" s="20"/>
      <c r="T660" s="20"/>
      <c r="U660" s="20"/>
      <c r="V660" s="20"/>
      <c r="W660" s="20"/>
      <c r="X660" s="20"/>
      <c r="Y660" s="20"/>
      <c r="Z660" s="20"/>
      <c r="AA660" s="20"/>
    </row>
    <row r="661">
      <c r="A661" s="20"/>
      <c r="B661" s="24"/>
      <c r="C661" s="24"/>
      <c r="D661" s="20"/>
      <c r="E661" s="20"/>
      <c r="F661" s="24"/>
      <c r="G661" s="20"/>
      <c r="H661" s="20"/>
      <c r="I661" s="20"/>
      <c r="J661" s="20"/>
      <c r="K661" s="20"/>
      <c r="L661" s="20"/>
      <c r="M661" s="20"/>
      <c r="N661" s="20"/>
      <c r="O661" s="20"/>
      <c r="P661" s="20"/>
      <c r="Q661" s="20"/>
      <c r="R661" s="20"/>
      <c r="S661" s="20"/>
      <c r="T661" s="20"/>
      <c r="U661" s="20"/>
      <c r="V661" s="20"/>
      <c r="W661" s="20"/>
      <c r="X661" s="20"/>
      <c r="Y661" s="20"/>
      <c r="Z661" s="20"/>
      <c r="AA661" s="20"/>
    </row>
    <row r="662">
      <c r="A662" s="20"/>
      <c r="B662" s="24"/>
      <c r="C662" s="24"/>
      <c r="D662" s="20"/>
      <c r="E662" s="20"/>
      <c r="F662" s="24"/>
      <c r="G662" s="20"/>
      <c r="H662" s="20"/>
      <c r="I662" s="20"/>
      <c r="J662" s="20"/>
      <c r="K662" s="20"/>
      <c r="L662" s="20"/>
      <c r="M662" s="20"/>
      <c r="N662" s="20"/>
      <c r="O662" s="20"/>
      <c r="P662" s="20"/>
      <c r="Q662" s="20"/>
      <c r="R662" s="20"/>
      <c r="S662" s="20"/>
      <c r="T662" s="20"/>
      <c r="U662" s="20"/>
      <c r="V662" s="20"/>
      <c r="W662" s="20"/>
      <c r="X662" s="20"/>
      <c r="Y662" s="20"/>
      <c r="Z662" s="20"/>
      <c r="AA662" s="20"/>
    </row>
    <row r="663">
      <c r="A663" s="20"/>
      <c r="B663" s="24"/>
      <c r="C663" s="24"/>
      <c r="D663" s="20"/>
      <c r="E663" s="20"/>
      <c r="F663" s="24"/>
      <c r="G663" s="20"/>
      <c r="H663" s="20"/>
      <c r="I663" s="20"/>
      <c r="J663" s="20"/>
      <c r="K663" s="20"/>
      <c r="L663" s="20"/>
      <c r="M663" s="20"/>
      <c r="N663" s="20"/>
      <c r="O663" s="20"/>
      <c r="P663" s="20"/>
      <c r="Q663" s="20"/>
      <c r="R663" s="20"/>
      <c r="S663" s="20"/>
      <c r="T663" s="20"/>
      <c r="U663" s="20"/>
      <c r="V663" s="20"/>
      <c r="W663" s="20"/>
      <c r="X663" s="20"/>
      <c r="Y663" s="20"/>
      <c r="Z663" s="20"/>
      <c r="AA663" s="20"/>
    </row>
    <row r="664">
      <c r="A664" s="20"/>
      <c r="B664" s="24"/>
      <c r="C664" s="24"/>
      <c r="D664" s="20"/>
      <c r="E664" s="20"/>
      <c r="F664" s="24"/>
      <c r="G664" s="20"/>
      <c r="H664" s="20"/>
      <c r="I664" s="20"/>
      <c r="J664" s="20"/>
      <c r="K664" s="20"/>
      <c r="L664" s="20"/>
      <c r="M664" s="20"/>
      <c r="N664" s="20"/>
      <c r="O664" s="20"/>
      <c r="P664" s="20"/>
      <c r="Q664" s="20"/>
      <c r="R664" s="20"/>
      <c r="S664" s="20"/>
      <c r="T664" s="20"/>
      <c r="U664" s="20"/>
      <c r="V664" s="20"/>
      <c r="W664" s="20"/>
      <c r="X664" s="20"/>
      <c r="Y664" s="20"/>
      <c r="Z664" s="20"/>
      <c r="AA664" s="20"/>
    </row>
    <row r="665">
      <c r="A665" s="20"/>
      <c r="B665" s="24"/>
      <c r="C665" s="24"/>
      <c r="D665" s="20"/>
      <c r="E665" s="20"/>
      <c r="F665" s="24"/>
      <c r="G665" s="20"/>
      <c r="H665" s="20"/>
      <c r="I665" s="20"/>
      <c r="J665" s="20"/>
      <c r="K665" s="20"/>
      <c r="L665" s="20"/>
      <c r="M665" s="20"/>
      <c r="N665" s="20"/>
      <c r="O665" s="20"/>
      <c r="P665" s="20"/>
      <c r="Q665" s="20"/>
      <c r="R665" s="20"/>
      <c r="S665" s="20"/>
      <c r="T665" s="20"/>
      <c r="U665" s="20"/>
      <c r="V665" s="20"/>
      <c r="W665" s="20"/>
      <c r="X665" s="20"/>
      <c r="Y665" s="20"/>
      <c r="Z665" s="20"/>
      <c r="AA665" s="20"/>
    </row>
    <row r="666">
      <c r="A666" s="20"/>
      <c r="B666" s="24"/>
      <c r="C666" s="24"/>
      <c r="D666" s="20"/>
      <c r="E666" s="20"/>
      <c r="F666" s="24"/>
      <c r="G666" s="20"/>
      <c r="H666" s="20"/>
      <c r="I666" s="20"/>
      <c r="J666" s="20"/>
      <c r="K666" s="20"/>
      <c r="L666" s="20"/>
      <c r="M666" s="20"/>
      <c r="N666" s="20"/>
      <c r="O666" s="20"/>
      <c r="P666" s="20"/>
      <c r="Q666" s="20"/>
      <c r="R666" s="20"/>
      <c r="S666" s="20"/>
      <c r="T666" s="20"/>
      <c r="U666" s="20"/>
      <c r="V666" s="20"/>
      <c r="W666" s="20"/>
      <c r="X666" s="20"/>
      <c r="Y666" s="20"/>
      <c r="Z666" s="20"/>
      <c r="AA666" s="20"/>
    </row>
    <row r="667">
      <c r="A667" s="20"/>
      <c r="B667" s="24"/>
      <c r="C667" s="24"/>
      <c r="D667" s="20"/>
      <c r="E667" s="20"/>
      <c r="F667" s="24"/>
      <c r="G667" s="20"/>
      <c r="H667" s="20"/>
      <c r="I667" s="20"/>
      <c r="J667" s="20"/>
      <c r="K667" s="20"/>
      <c r="L667" s="20"/>
      <c r="M667" s="20"/>
      <c r="N667" s="20"/>
      <c r="O667" s="20"/>
      <c r="P667" s="20"/>
      <c r="Q667" s="20"/>
      <c r="R667" s="20"/>
      <c r="S667" s="20"/>
      <c r="T667" s="20"/>
      <c r="U667" s="20"/>
      <c r="V667" s="20"/>
      <c r="W667" s="20"/>
      <c r="X667" s="20"/>
      <c r="Y667" s="20"/>
      <c r="Z667" s="20"/>
      <c r="AA667" s="20"/>
    </row>
    <row r="668">
      <c r="A668" s="20"/>
      <c r="B668" s="24"/>
      <c r="C668" s="24"/>
      <c r="D668" s="20"/>
      <c r="E668" s="20"/>
      <c r="F668" s="24"/>
      <c r="G668" s="20"/>
      <c r="H668" s="20"/>
      <c r="I668" s="20"/>
      <c r="J668" s="20"/>
      <c r="K668" s="20"/>
      <c r="L668" s="20"/>
      <c r="M668" s="20"/>
      <c r="N668" s="20"/>
      <c r="O668" s="20"/>
      <c r="P668" s="20"/>
      <c r="Q668" s="20"/>
      <c r="R668" s="20"/>
      <c r="S668" s="20"/>
      <c r="T668" s="20"/>
      <c r="U668" s="20"/>
      <c r="V668" s="20"/>
      <c r="W668" s="20"/>
      <c r="X668" s="20"/>
      <c r="Y668" s="20"/>
      <c r="Z668" s="20"/>
      <c r="AA668" s="20"/>
    </row>
    <row r="669">
      <c r="A669" s="20"/>
      <c r="B669" s="24"/>
      <c r="C669" s="24"/>
      <c r="D669" s="20"/>
      <c r="E669" s="20"/>
      <c r="F669" s="24"/>
      <c r="G669" s="20"/>
      <c r="H669" s="20"/>
      <c r="I669" s="20"/>
      <c r="J669" s="20"/>
      <c r="K669" s="20"/>
      <c r="L669" s="20"/>
      <c r="M669" s="20"/>
      <c r="N669" s="20"/>
      <c r="O669" s="20"/>
      <c r="P669" s="20"/>
      <c r="Q669" s="20"/>
      <c r="R669" s="20"/>
      <c r="S669" s="20"/>
      <c r="T669" s="20"/>
      <c r="U669" s="20"/>
      <c r="V669" s="20"/>
      <c r="W669" s="20"/>
      <c r="X669" s="20"/>
      <c r="Y669" s="20"/>
      <c r="Z669" s="20"/>
      <c r="AA669" s="20"/>
    </row>
    <row r="670">
      <c r="A670" s="20"/>
      <c r="B670" s="24"/>
      <c r="C670" s="24"/>
      <c r="D670" s="20"/>
      <c r="E670" s="20"/>
      <c r="F670" s="24"/>
      <c r="G670" s="20"/>
      <c r="H670" s="20"/>
      <c r="I670" s="20"/>
      <c r="J670" s="20"/>
      <c r="K670" s="20"/>
      <c r="L670" s="20"/>
      <c r="M670" s="20"/>
      <c r="N670" s="20"/>
      <c r="O670" s="20"/>
      <c r="P670" s="20"/>
      <c r="Q670" s="20"/>
      <c r="R670" s="20"/>
      <c r="S670" s="20"/>
      <c r="T670" s="20"/>
      <c r="U670" s="20"/>
      <c r="V670" s="20"/>
      <c r="W670" s="20"/>
      <c r="X670" s="20"/>
      <c r="Y670" s="20"/>
      <c r="Z670" s="20"/>
      <c r="AA670" s="20"/>
    </row>
    <row r="671">
      <c r="A671" s="20"/>
      <c r="B671" s="24"/>
      <c r="C671" s="24"/>
      <c r="D671" s="20"/>
      <c r="E671" s="20"/>
      <c r="F671" s="24"/>
      <c r="G671" s="20"/>
      <c r="H671" s="20"/>
      <c r="I671" s="20"/>
      <c r="J671" s="20"/>
      <c r="K671" s="20"/>
      <c r="L671" s="20"/>
      <c r="M671" s="20"/>
      <c r="N671" s="20"/>
      <c r="O671" s="20"/>
      <c r="P671" s="20"/>
      <c r="Q671" s="20"/>
      <c r="R671" s="20"/>
      <c r="S671" s="20"/>
      <c r="T671" s="20"/>
      <c r="U671" s="20"/>
      <c r="V671" s="20"/>
      <c r="W671" s="20"/>
      <c r="X671" s="20"/>
      <c r="Y671" s="20"/>
      <c r="Z671" s="20"/>
      <c r="AA671" s="20"/>
    </row>
    <row r="672">
      <c r="A672" s="20"/>
      <c r="B672" s="24"/>
      <c r="C672" s="24"/>
      <c r="D672" s="20"/>
      <c r="E672" s="20"/>
      <c r="F672" s="24"/>
      <c r="G672" s="20"/>
      <c r="H672" s="20"/>
      <c r="I672" s="20"/>
      <c r="J672" s="20"/>
      <c r="K672" s="20"/>
      <c r="L672" s="20"/>
      <c r="M672" s="20"/>
      <c r="N672" s="20"/>
      <c r="O672" s="20"/>
      <c r="P672" s="20"/>
      <c r="Q672" s="20"/>
      <c r="R672" s="20"/>
      <c r="S672" s="20"/>
      <c r="T672" s="20"/>
      <c r="U672" s="20"/>
      <c r="V672" s="20"/>
      <c r="W672" s="20"/>
      <c r="X672" s="20"/>
      <c r="Y672" s="20"/>
      <c r="Z672" s="20"/>
      <c r="AA672" s="20"/>
    </row>
    <row r="673">
      <c r="A673" s="20"/>
      <c r="B673" s="24"/>
      <c r="C673" s="24"/>
      <c r="D673" s="20"/>
      <c r="E673" s="20"/>
      <c r="F673" s="24"/>
      <c r="G673" s="20"/>
      <c r="H673" s="20"/>
      <c r="I673" s="20"/>
      <c r="J673" s="20"/>
      <c r="K673" s="20"/>
      <c r="L673" s="20"/>
      <c r="M673" s="20"/>
      <c r="N673" s="20"/>
      <c r="O673" s="20"/>
      <c r="P673" s="20"/>
      <c r="Q673" s="20"/>
      <c r="R673" s="20"/>
      <c r="S673" s="20"/>
      <c r="T673" s="20"/>
      <c r="U673" s="20"/>
      <c r="V673" s="20"/>
      <c r="W673" s="20"/>
      <c r="X673" s="20"/>
      <c r="Y673" s="20"/>
      <c r="Z673" s="20"/>
      <c r="AA673" s="20"/>
    </row>
    <row r="674">
      <c r="A674" s="20"/>
      <c r="B674" s="24"/>
      <c r="C674" s="24"/>
      <c r="D674" s="20"/>
      <c r="E674" s="20"/>
      <c r="F674" s="24"/>
      <c r="G674" s="20"/>
      <c r="H674" s="20"/>
      <c r="I674" s="20"/>
      <c r="J674" s="20"/>
      <c r="K674" s="20"/>
      <c r="L674" s="20"/>
      <c r="M674" s="20"/>
      <c r="N674" s="20"/>
      <c r="O674" s="20"/>
      <c r="P674" s="20"/>
      <c r="Q674" s="20"/>
      <c r="R674" s="20"/>
      <c r="S674" s="20"/>
      <c r="T674" s="20"/>
      <c r="U674" s="20"/>
      <c r="V674" s="20"/>
      <c r="W674" s="20"/>
      <c r="X674" s="20"/>
      <c r="Y674" s="20"/>
      <c r="Z674" s="20"/>
      <c r="AA674" s="20"/>
    </row>
    <row r="675">
      <c r="A675" s="20"/>
      <c r="B675" s="24"/>
      <c r="C675" s="24"/>
      <c r="D675" s="20"/>
      <c r="E675" s="20"/>
      <c r="F675" s="24"/>
      <c r="G675" s="20"/>
      <c r="H675" s="20"/>
      <c r="I675" s="20"/>
      <c r="J675" s="20"/>
      <c r="K675" s="20"/>
      <c r="L675" s="20"/>
      <c r="M675" s="20"/>
      <c r="N675" s="20"/>
      <c r="O675" s="20"/>
      <c r="P675" s="20"/>
      <c r="Q675" s="20"/>
      <c r="R675" s="20"/>
      <c r="S675" s="20"/>
      <c r="T675" s="20"/>
      <c r="U675" s="20"/>
      <c r="V675" s="20"/>
      <c r="W675" s="20"/>
      <c r="X675" s="20"/>
      <c r="Y675" s="20"/>
      <c r="Z675" s="20"/>
      <c r="AA675" s="20"/>
    </row>
    <row r="676">
      <c r="A676" s="20"/>
      <c r="B676" s="24"/>
      <c r="C676" s="24"/>
      <c r="D676" s="20"/>
      <c r="E676" s="20"/>
      <c r="F676" s="24"/>
      <c r="G676" s="20"/>
      <c r="H676" s="20"/>
      <c r="I676" s="20"/>
      <c r="J676" s="20"/>
      <c r="K676" s="20"/>
      <c r="L676" s="20"/>
      <c r="M676" s="20"/>
      <c r="N676" s="20"/>
      <c r="O676" s="20"/>
      <c r="P676" s="20"/>
      <c r="Q676" s="20"/>
      <c r="R676" s="20"/>
      <c r="S676" s="20"/>
      <c r="T676" s="20"/>
      <c r="U676" s="20"/>
      <c r="V676" s="20"/>
      <c r="W676" s="20"/>
      <c r="X676" s="20"/>
      <c r="Y676" s="20"/>
      <c r="Z676" s="20"/>
      <c r="AA676" s="20"/>
    </row>
    <row r="677">
      <c r="A677" s="20"/>
      <c r="B677" s="24"/>
      <c r="C677" s="24"/>
      <c r="D677" s="20"/>
      <c r="E677" s="20"/>
      <c r="F677" s="24"/>
      <c r="G677" s="20"/>
      <c r="H677" s="20"/>
      <c r="I677" s="20"/>
      <c r="J677" s="20"/>
      <c r="K677" s="20"/>
      <c r="L677" s="20"/>
      <c r="M677" s="20"/>
      <c r="N677" s="20"/>
      <c r="O677" s="20"/>
      <c r="P677" s="20"/>
      <c r="Q677" s="20"/>
      <c r="R677" s="20"/>
      <c r="S677" s="20"/>
      <c r="T677" s="20"/>
      <c r="U677" s="20"/>
      <c r="V677" s="20"/>
      <c r="W677" s="20"/>
      <c r="X677" s="20"/>
      <c r="Y677" s="20"/>
      <c r="Z677" s="20"/>
      <c r="AA677" s="20"/>
    </row>
    <row r="678">
      <c r="A678" s="20"/>
      <c r="B678" s="24"/>
      <c r="C678" s="24"/>
      <c r="D678" s="20"/>
      <c r="E678" s="20"/>
      <c r="F678" s="24"/>
      <c r="G678" s="20"/>
      <c r="H678" s="20"/>
      <c r="I678" s="20"/>
      <c r="J678" s="20"/>
      <c r="K678" s="20"/>
      <c r="L678" s="20"/>
      <c r="M678" s="20"/>
      <c r="N678" s="20"/>
      <c r="O678" s="20"/>
      <c r="P678" s="20"/>
      <c r="Q678" s="20"/>
      <c r="R678" s="20"/>
      <c r="S678" s="20"/>
      <c r="T678" s="20"/>
      <c r="U678" s="20"/>
      <c r="V678" s="20"/>
      <c r="W678" s="20"/>
      <c r="X678" s="20"/>
      <c r="Y678" s="20"/>
      <c r="Z678" s="20"/>
      <c r="AA678" s="20"/>
    </row>
    <row r="679">
      <c r="A679" s="20"/>
      <c r="B679" s="24"/>
      <c r="C679" s="24"/>
      <c r="D679" s="20"/>
      <c r="E679" s="20"/>
      <c r="F679" s="24"/>
      <c r="G679" s="20"/>
      <c r="H679" s="20"/>
      <c r="I679" s="20"/>
      <c r="J679" s="20"/>
      <c r="K679" s="20"/>
      <c r="L679" s="20"/>
      <c r="M679" s="20"/>
      <c r="N679" s="20"/>
      <c r="O679" s="20"/>
      <c r="P679" s="20"/>
      <c r="Q679" s="20"/>
      <c r="R679" s="20"/>
      <c r="S679" s="20"/>
      <c r="T679" s="20"/>
      <c r="U679" s="20"/>
      <c r="V679" s="20"/>
      <c r="W679" s="20"/>
      <c r="X679" s="20"/>
      <c r="Y679" s="20"/>
      <c r="Z679" s="20"/>
      <c r="AA679" s="20"/>
    </row>
    <row r="680">
      <c r="A680" s="20"/>
      <c r="B680" s="24"/>
      <c r="C680" s="24"/>
      <c r="D680" s="20"/>
      <c r="E680" s="20"/>
      <c r="F680" s="24"/>
      <c r="G680" s="20"/>
      <c r="H680" s="20"/>
      <c r="I680" s="20"/>
      <c r="J680" s="20"/>
      <c r="K680" s="20"/>
      <c r="L680" s="20"/>
      <c r="M680" s="20"/>
      <c r="N680" s="20"/>
      <c r="O680" s="20"/>
      <c r="P680" s="20"/>
      <c r="Q680" s="20"/>
      <c r="R680" s="20"/>
      <c r="S680" s="20"/>
      <c r="T680" s="20"/>
      <c r="U680" s="20"/>
      <c r="V680" s="20"/>
      <c r="W680" s="20"/>
      <c r="X680" s="20"/>
      <c r="Y680" s="20"/>
      <c r="Z680" s="20"/>
      <c r="AA680" s="20"/>
    </row>
    <row r="681">
      <c r="A681" s="20"/>
      <c r="B681" s="24"/>
      <c r="C681" s="24"/>
      <c r="D681" s="20"/>
      <c r="E681" s="20"/>
      <c r="F681" s="24"/>
      <c r="G681" s="20"/>
      <c r="H681" s="20"/>
      <c r="I681" s="20"/>
      <c r="J681" s="20"/>
      <c r="K681" s="20"/>
      <c r="L681" s="20"/>
      <c r="M681" s="20"/>
      <c r="N681" s="20"/>
      <c r="O681" s="20"/>
      <c r="P681" s="20"/>
      <c r="Q681" s="20"/>
      <c r="R681" s="20"/>
      <c r="S681" s="20"/>
      <c r="T681" s="20"/>
      <c r="U681" s="20"/>
      <c r="V681" s="20"/>
      <c r="W681" s="20"/>
      <c r="X681" s="20"/>
      <c r="Y681" s="20"/>
      <c r="Z681" s="20"/>
      <c r="AA681" s="20"/>
    </row>
    <row r="682">
      <c r="A682" s="20"/>
      <c r="B682" s="24"/>
      <c r="C682" s="24"/>
      <c r="D682" s="20"/>
      <c r="E682" s="20"/>
      <c r="F682" s="24"/>
      <c r="G682" s="20"/>
      <c r="H682" s="20"/>
      <c r="I682" s="20"/>
      <c r="J682" s="20"/>
      <c r="K682" s="20"/>
      <c r="L682" s="20"/>
      <c r="M682" s="20"/>
      <c r="N682" s="20"/>
      <c r="O682" s="20"/>
      <c r="P682" s="20"/>
      <c r="Q682" s="20"/>
      <c r="R682" s="20"/>
      <c r="S682" s="20"/>
      <c r="T682" s="20"/>
      <c r="U682" s="20"/>
      <c r="V682" s="20"/>
      <c r="W682" s="20"/>
      <c r="X682" s="20"/>
      <c r="Y682" s="20"/>
      <c r="Z682" s="20"/>
      <c r="AA682" s="20"/>
    </row>
    <row r="683">
      <c r="A683" s="20"/>
      <c r="B683" s="24"/>
      <c r="C683" s="24"/>
      <c r="D683" s="20"/>
      <c r="E683" s="20"/>
      <c r="F683" s="24"/>
      <c r="G683" s="20"/>
      <c r="H683" s="20"/>
      <c r="I683" s="20"/>
      <c r="J683" s="20"/>
      <c r="K683" s="20"/>
      <c r="L683" s="20"/>
      <c r="M683" s="20"/>
      <c r="N683" s="20"/>
      <c r="O683" s="20"/>
      <c r="P683" s="20"/>
      <c r="Q683" s="20"/>
      <c r="R683" s="20"/>
      <c r="S683" s="20"/>
      <c r="T683" s="20"/>
      <c r="U683" s="20"/>
      <c r="V683" s="20"/>
      <c r="W683" s="20"/>
      <c r="X683" s="20"/>
      <c r="Y683" s="20"/>
      <c r="Z683" s="20"/>
      <c r="AA683" s="20"/>
    </row>
    <row r="684">
      <c r="A684" s="20"/>
      <c r="B684" s="24"/>
      <c r="C684" s="24"/>
      <c r="D684" s="20"/>
      <c r="E684" s="20"/>
      <c r="F684" s="24"/>
      <c r="G684" s="20"/>
      <c r="H684" s="20"/>
      <c r="I684" s="20"/>
      <c r="J684" s="20"/>
      <c r="K684" s="20"/>
      <c r="L684" s="20"/>
      <c r="M684" s="20"/>
      <c r="N684" s="20"/>
      <c r="O684" s="20"/>
      <c r="P684" s="20"/>
      <c r="Q684" s="20"/>
      <c r="R684" s="20"/>
      <c r="S684" s="20"/>
      <c r="T684" s="20"/>
      <c r="U684" s="20"/>
      <c r="V684" s="20"/>
      <c r="W684" s="20"/>
      <c r="X684" s="20"/>
      <c r="Y684" s="20"/>
      <c r="Z684" s="20"/>
      <c r="AA684" s="20"/>
    </row>
    <row r="685">
      <c r="A685" s="20"/>
      <c r="B685" s="24"/>
      <c r="C685" s="24"/>
      <c r="D685" s="20"/>
      <c r="E685" s="20"/>
      <c r="F685" s="24"/>
      <c r="G685" s="20"/>
      <c r="H685" s="20"/>
      <c r="I685" s="20"/>
      <c r="J685" s="20"/>
      <c r="K685" s="20"/>
      <c r="L685" s="20"/>
      <c r="M685" s="20"/>
      <c r="N685" s="20"/>
      <c r="O685" s="20"/>
      <c r="P685" s="20"/>
      <c r="Q685" s="20"/>
      <c r="R685" s="20"/>
      <c r="S685" s="20"/>
      <c r="T685" s="20"/>
      <c r="U685" s="20"/>
      <c r="V685" s="20"/>
      <c r="W685" s="20"/>
      <c r="X685" s="20"/>
      <c r="Y685" s="20"/>
      <c r="Z685" s="20"/>
      <c r="AA685" s="20"/>
    </row>
    <row r="686">
      <c r="A686" s="20"/>
      <c r="B686" s="24"/>
      <c r="C686" s="24"/>
      <c r="D686" s="20"/>
      <c r="E686" s="20"/>
      <c r="F686" s="24"/>
      <c r="G686" s="20"/>
      <c r="H686" s="20"/>
      <c r="I686" s="20"/>
      <c r="J686" s="20"/>
      <c r="K686" s="20"/>
      <c r="L686" s="20"/>
      <c r="M686" s="20"/>
      <c r="N686" s="20"/>
      <c r="O686" s="20"/>
      <c r="P686" s="20"/>
      <c r="Q686" s="20"/>
      <c r="R686" s="20"/>
      <c r="S686" s="20"/>
      <c r="T686" s="20"/>
      <c r="U686" s="20"/>
      <c r="V686" s="20"/>
      <c r="W686" s="20"/>
      <c r="X686" s="20"/>
      <c r="Y686" s="20"/>
      <c r="Z686" s="20"/>
      <c r="AA686" s="20"/>
    </row>
    <row r="687">
      <c r="A687" s="20"/>
      <c r="B687" s="24"/>
      <c r="C687" s="24"/>
      <c r="D687" s="20"/>
      <c r="E687" s="20"/>
      <c r="F687" s="24"/>
      <c r="G687" s="20"/>
      <c r="H687" s="20"/>
      <c r="I687" s="20"/>
      <c r="J687" s="20"/>
      <c r="K687" s="20"/>
      <c r="L687" s="20"/>
      <c r="M687" s="20"/>
      <c r="N687" s="20"/>
      <c r="O687" s="20"/>
      <c r="P687" s="20"/>
      <c r="Q687" s="20"/>
      <c r="R687" s="20"/>
      <c r="S687" s="20"/>
      <c r="T687" s="20"/>
      <c r="U687" s="20"/>
      <c r="V687" s="20"/>
      <c r="W687" s="20"/>
      <c r="X687" s="20"/>
      <c r="Y687" s="20"/>
      <c r="Z687" s="20"/>
      <c r="AA687" s="20"/>
    </row>
    <row r="688">
      <c r="A688" s="20"/>
      <c r="B688" s="24"/>
      <c r="C688" s="24"/>
      <c r="D688" s="20"/>
      <c r="E688" s="20"/>
      <c r="F688" s="24"/>
      <c r="G688" s="20"/>
      <c r="H688" s="20"/>
      <c r="I688" s="20"/>
      <c r="J688" s="20"/>
      <c r="K688" s="20"/>
      <c r="L688" s="20"/>
      <c r="M688" s="20"/>
      <c r="N688" s="20"/>
      <c r="O688" s="20"/>
      <c r="P688" s="20"/>
      <c r="Q688" s="20"/>
      <c r="R688" s="20"/>
      <c r="S688" s="20"/>
      <c r="T688" s="20"/>
      <c r="U688" s="20"/>
      <c r="V688" s="20"/>
      <c r="W688" s="20"/>
      <c r="X688" s="20"/>
      <c r="Y688" s="20"/>
      <c r="Z688" s="20"/>
      <c r="AA688" s="20"/>
    </row>
    <row r="689">
      <c r="A689" s="20"/>
      <c r="B689" s="24"/>
      <c r="C689" s="24"/>
      <c r="D689" s="20"/>
      <c r="E689" s="20"/>
      <c r="F689" s="24"/>
      <c r="G689" s="20"/>
      <c r="H689" s="20"/>
      <c r="I689" s="20"/>
      <c r="J689" s="20"/>
      <c r="K689" s="20"/>
      <c r="L689" s="20"/>
      <c r="M689" s="20"/>
      <c r="N689" s="20"/>
      <c r="O689" s="20"/>
      <c r="P689" s="20"/>
      <c r="Q689" s="20"/>
      <c r="R689" s="20"/>
      <c r="S689" s="20"/>
      <c r="T689" s="20"/>
      <c r="U689" s="20"/>
      <c r="V689" s="20"/>
      <c r="W689" s="20"/>
      <c r="X689" s="20"/>
      <c r="Y689" s="20"/>
      <c r="Z689" s="20"/>
      <c r="AA689" s="20"/>
    </row>
    <row r="690">
      <c r="A690" s="20"/>
      <c r="B690" s="24"/>
      <c r="C690" s="24"/>
      <c r="D690" s="20"/>
      <c r="E690" s="20"/>
      <c r="F690" s="24"/>
      <c r="G690" s="20"/>
      <c r="H690" s="20"/>
      <c r="I690" s="20"/>
      <c r="J690" s="20"/>
      <c r="K690" s="20"/>
      <c r="L690" s="20"/>
      <c r="M690" s="20"/>
      <c r="N690" s="20"/>
      <c r="O690" s="20"/>
      <c r="P690" s="20"/>
      <c r="Q690" s="20"/>
      <c r="R690" s="20"/>
      <c r="S690" s="20"/>
      <c r="T690" s="20"/>
      <c r="U690" s="20"/>
      <c r="V690" s="20"/>
      <c r="W690" s="20"/>
      <c r="X690" s="20"/>
      <c r="Y690" s="20"/>
      <c r="Z690" s="20"/>
      <c r="AA690" s="20"/>
    </row>
    <row r="691">
      <c r="A691" s="20"/>
      <c r="B691" s="24"/>
      <c r="C691" s="24"/>
      <c r="D691" s="20"/>
      <c r="E691" s="20"/>
      <c r="F691" s="24"/>
      <c r="G691" s="20"/>
      <c r="H691" s="20"/>
      <c r="I691" s="20"/>
      <c r="J691" s="20"/>
      <c r="K691" s="20"/>
      <c r="L691" s="20"/>
      <c r="M691" s="20"/>
      <c r="N691" s="20"/>
      <c r="O691" s="20"/>
      <c r="P691" s="20"/>
      <c r="Q691" s="20"/>
      <c r="R691" s="20"/>
      <c r="S691" s="20"/>
      <c r="T691" s="20"/>
      <c r="U691" s="20"/>
      <c r="V691" s="20"/>
      <c r="W691" s="20"/>
      <c r="X691" s="20"/>
      <c r="Y691" s="20"/>
      <c r="Z691" s="20"/>
      <c r="AA691" s="20"/>
    </row>
    <row r="692">
      <c r="A692" s="20"/>
      <c r="B692" s="24"/>
      <c r="C692" s="24"/>
      <c r="D692" s="20"/>
      <c r="E692" s="20"/>
      <c r="F692" s="24"/>
      <c r="G692" s="20"/>
      <c r="H692" s="20"/>
      <c r="I692" s="20"/>
      <c r="J692" s="20"/>
      <c r="K692" s="20"/>
      <c r="L692" s="20"/>
      <c r="M692" s="20"/>
      <c r="N692" s="20"/>
      <c r="O692" s="20"/>
      <c r="P692" s="20"/>
      <c r="Q692" s="20"/>
      <c r="R692" s="20"/>
      <c r="S692" s="20"/>
      <c r="T692" s="20"/>
      <c r="U692" s="20"/>
      <c r="V692" s="20"/>
      <c r="W692" s="20"/>
      <c r="X692" s="20"/>
      <c r="Y692" s="20"/>
      <c r="Z692" s="20"/>
      <c r="AA692" s="20"/>
    </row>
    <row r="693">
      <c r="A693" s="20"/>
      <c r="B693" s="24"/>
      <c r="C693" s="24"/>
      <c r="D693" s="20"/>
      <c r="E693" s="20"/>
      <c r="F693" s="24"/>
      <c r="G693" s="20"/>
      <c r="H693" s="20"/>
      <c r="I693" s="20"/>
      <c r="J693" s="20"/>
      <c r="K693" s="20"/>
      <c r="L693" s="20"/>
      <c r="M693" s="20"/>
      <c r="N693" s="20"/>
      <c r="O693" s="20"/>
      <c r="P693" s="20"/>
      <c r="Q693" s="20"/>
      <c r="R693" s="20"/>
      <c r="S693" s="20"/>
      <c r="T693" s="20"/>
      <c r="U693" s="20"/>
      <c r="V693" s="20"/>
      <c r="W693" s="20"/>
      <c r="X693" s="20"/>
      <c r="Y693" s="20"/>
      <c r="Z693" s="20"/>
      <c r="AA693" s="20"/>
    </row>
    <row r="694">
      <c r="A694" s="20"/>
      <c r="B694" s="24"/>
      <c r="C694" s="24"/>
      <c r="D694" s="20"/>
      <c r="E694" s="20"/>
      <c r="F694" s="24"/>
      <c r="G694" s="20"/>
      <c r="H694" s="20"/>
      <c r="I694" s="20"/>
      <c r="J694" s="20"/>
      <c r="K694" s="20"/>
      <c r="L694" s="20"/>
      <c r="M694" s="20"/>
      <c r="N694" s="20"/>
      <c r="O694" s="20"/>
      <c r="P694" s="20"/>
      <c r="Q694" s="20"/>
      <c r="R694" s="20"/>
      <c r="S694" s="20"/>
      <c r="T694" s="20"/>
      <c r="U694" s="20"/>
      <c r="V694" s="20"/>
      <c r="W694" s="20"/>
      <c r="X694" s="20"/>
      <c r="Y694" s="20"/>
      <c r="Z694" s="20"/>
      <c r="AA694" s="20"/>
    </row>
    <row r="695">
      <c r="A695" s="20"/>
      <c r="B695" s="24"/>
      <c r="C695" s="24"/>
      <c r="D695" s="20"/>
      <c r="E695" s="20"/>
      <c r="F695" s="24"/>
      <c r="G695" s="20"/>
      <c r="H695" s="20"/>
      <c r="I695" s="20"/>
      <c r="J695" s="20"/>
      <c r="K695" s="20"/>
      <c r="L695" s="20"/>
      <c r="M695" s="20"/>
      <c r="N695" s="20"/>
      <c r="O695" s="20"/>
      <c r="P695" s="20"/>
      <c r="Q695" s="20"/>
      <c r="R695" s="20"/>
      <c r="S695" s="20"/>
      <c r="T695" s="20"/>
      <c r="U695" s="20"/>
      <c r="V695" s="20"/>
      <c r="W695" s="20"/>
      <c r="X695" s="20"/>
      <c r="Y695" s="20"/>
      <c r="Z695" s="20"/>
      <c r="AA695" s="20"/>
    </row>
    <row r="696">
      <c r="A696" s="20"/>
      <c r="B696" s="24"/>
      <c r="C696" s="24"/>
      <c r="D696" s="20"/>
      <c r="E696" s="20"/>
      <c r="F696" s="24"/>
      <c r="G696" s="20"/>
      <c r="H696" s="20"/>
      <c r="I696" s="20"/>
      <c r="J696" s="20"/>
      <c r="K696" s="20"/>
      <c r="L696" s="20"/>
      <c r="M696" s="20"/>
      <c r="N696" s="20"/>
      <c r="O696" s="20"/>
      <c r="P696" s="20"/>
      <c r="Q696" s="20"/>
      <c r="R696" s="20"/>
      <c r="S696" s="20"/>
      <c r="T696" s="20"/>
      <c r="U696" s="20"/>
      <c r="V696" s="20"/>
      <c r="W696" s="20"/>
      <c r="X696" s="20"/>
      <c r="Y696" s="20"/>
      <c r="Z696" s="20"/>
      <c r="AA696" s="20"/>
    </row>
    <row r="697">
      <c r="A697" s="20"/>
      <c r="B697" s="24"/>
      <c r="C697" s="24"/>
      <c r="D697" s="20"/>
      <c r="E697" s="20"/>
      <c r="F697" s="24"/>
      <c r="G697" s="20"/>
      <c r="H697" s="20"/>
      <c r="I697" s="20"/>
      <c r="J697" s="20"/>
      <c r="K697" s="20"/>
      <c r="L697" s="20"/>
      <c r="M697" s="20"/>
      <c r="N697" s="20"/>
      <c r="O697" s="20"/>
      <c r="P697" s="20"/>
      <c r="Q697" s="20"/>
      <c r="R697" s="20"/>
      <c r="S697" s="20"/>
      <c r="T697" s="20"/>
      <c r="U697" s="20"/>
      <c r="V697" s="20"/>
      <c r="W697" s="20"/>
      <c r="X697" s="20"/>
      <c r="Y697" s="20"/>
      <c r="Z697" s="20"/>
      <c r="AA697" s="20"/>
    </row>
    <row r="698">
      <c r="A698" s="20"/>
      <c r="B698" s="24"/>
      <c r="C698" s="24"/>
      <c r="D698" s="20"/>
      <c r="E698" s="20"/>
      <c r="F698" s="24"/>
      <c r="G698" s="20"/>
      <c r="H698" s="20"/>
      <c r="I698" s="20"/>
      <c r="J698" s="20"/>
      <c r="K698" s="20"/>
      <c r="L698" s="20"/>
      <c r="M698" s="20"/>
      <c r="N698" s="20"/>
      <c r="O698" s="20"/>
      <c r="P698" s="20"/>
      <c r="Q698" s="20"/>
      <c r="R698" s="20"/>
      <c r="S698" s="20"/>
      <c r="T698" s="20"/>
      <c r="U698" s="20"/>
      <c r="V698" s="20"/>
      <c r="W698" s="20"/>
      <c r="X698" s="20"/>
      <c r="Y698" s="20"/>
      <c r="Z698" s="20"/>
      <c r="AA698" s="20"/>
    </row>
    <row r="699">
      <c r="A699" s="20"/>
      <c r="B699" s="24"/>
      <c r="C699" s="24"/>
      <c r="D699" s="20"/>
      <c r="E699" s="20"/>
      <c r="F699" s="24"/>
      <c r="G699" s="20"/>
      <c r="H699" s="20"/>
      <c r="I699" s="20"/>
      <c r="J699" s="20"/>
      <c r="K699" s="20"/>
      <c r="L699" s="20"/>
      <c r="M699" s="20"/>
      <c r="N699" s="20"/>
      <c r="O699" s="20"/>
      <c r="P699" s="20"/>
      <c r="Q699" s="20"/>
      <c r="R699" s="20"/>
      <c r="S699" s="20"/>
      <c r="T699" s="20"/>
      <c r="U699" s="20"/>
      <c r="V699" s="20"/>
      <c r="W699" s="20"/>
      <c r="X699" s="20"/>
      <c r="Y699" s="20"/>
      <c r="Z699" s="20"/>
      <c r="AA699" s="20"/>
    </row>
    <row r="700">
      <c r="A700" s="20"/>
      <c r="B700" s="24"/>
      <c r="C700" s="24"/>
      <c r="D700" s="20"/>
      <c r="E700" s="20"/>
      <c r="F700" s="24"/>
      <c r="G700" s="20"/>
      <c r="H700" s="20"/>
      <c r="I700" s="20"/>
      <c r="J700" s="20"/>
      <c r="K700" s="20"/>
      <c r="L700" s="20"/>
      <c r="M700" s="20"/>
      <c r="N700" s="20"/>
      <c r="O700" s="20"/>
      <c r="P700" s="20"/>
      <c r="Q700" s="20"/>
      <c r="R700" s="20"/>
      <c r="S700" s="20"/>
      <c r="T700" s="20"/>
      <c r="U700" s="20"/>
      <c r="V700" s="20"/>
      <c r="W700" s="20"/>
      <c r="X700" s="20"/>
      <c r="Y700" s="20"/>
      <c r="Z700" s="20"/>
      <c r="AA700" s="20"/>
    </row>
    <row r="701">
      <c r="A701" s="20"/>
      <c r="B701" s="24"/>
      <c r="C701" s="24"/>
      <c r="D701" s="20"/>
      <c r="E701" s="20"/>
      <c r="F701" s="24"/>
      <c r="G701" s="20"/>
      <c r="H701" s="20"/>
      <c r="I701" s="20"/>
      <c r="J701" s="20"/>
      <c r="K701" s="20"/>
      <c r="L701" s="20"/>
      <c r="M701" s="20"/>
      <c r="N701" s="20"/>
      <c r="O701" s="20"/>
      <c r="P701" s="20"/>
      <c r="Q701" s="20"/>
      <c r="R701" s="20"/>
      <c r="S701" s="20"/>
      <c r="T701" s="20"/>
      <c r="U701" s="20"/>
      <c r="V701" s="20"/>
      <c r="W701" s="20"/>
      <c r="X701" s="20"/>
      <c r="Y701" s="20"/>
      <c r="Z701" s="20"/>
      <c r="AA701" s="20"/>
    </row>
    <row r="702">
      <c r="A702" s="20"/>
      <c r="B702" s="24"/>
      <c r="C702" s="24"/>
      <c r="D702" s="20"/>
      <c r="E702" s="20"/>
      <c r="F702" s="24"/>
      <c r="G702" s="20"/>
      <c r="H702" s="20"/>
      <c r="I702" s="20"/>
      <c r="J702" s="20"/>
      <c r="K702" s="20"/>
      <c r="L702" s="20"/>
      <c r="M702" s="20"/>
      <c r="N702" s="20"/>
      <c r="O702" s="20"/>
      <c r="P702" s="20"/>
      <c r="Q702" s="20"/>
      <c r="R702" s="20"/>
      <c r="S702" s="20"/>
      <c r="T702" s="20"/>
      <c r="U702" s="20"/>
      <c r="V702" s="20"/>
      <c r="W702" s="20"/>
      <c r="X702" s="20"/>
      <c r="Y702" s="20"/>
      <c r="Z702" s="20"/>
      <c r="AA702" s="20"/>
    </row>
    <row r="703">
      <c r="A703" s="20"/>
      <c r="B703" s="24"/>
      <c r="C703" s="24"/>
      <c r="D703" s="20"/>
      <c r="E703" s="20"/>
      <c r="F703" s="24"/>
      <c r="G703" s="20"/>
      <c r="H703" s="20"/>
      <c r="I703" s="20"/>
      <c r="J703" s="20"/>
      <c r="K703" s="20"/>
      <c r="L703" s="20"/>
      <c r="M703" s="20"/>
      <c r="N703" s="20"/>
      <c r="O703" s="20"/>
      <c r="P703" s="20"/>
      <c r="Q703" s="20"/>
      <c r="R703" s="20"/>
      <c r="S703" s="20"/>
      <c r="T703" s="20"/>
      <c r="U703" s="20"/>
      <c r="V703" s="20"/>
      <c r="W703" s="20"/>
      <c r="X703" s="20"/>
      <c r="Y703" s="20"/>
      <c r="Z703" s="20"/>
      <c r="AA703" s="20"/>
    </row>
    <row r="704">
      <c r="A704" s="20"/>
      <c r="B704" s="24"/>
      <c r="C704" s="24"/>
      <c r="D704" s="20"/>
      <c r="E704" s="20"/>
      <c r="F704" s="24"/>
      <c r="G704" s="20"/>
      <c r="H704" s="20"/>
      <c r="I704" s="20"/>
      <c r="J704" s="20"/>
      <c r="K704" s="20"/>
      <c r="L704" s="20"/>
      <c r="M704" s="20"/>
      <c r="N704" s="20"/>
      <c r="O704" s="20"/>
      <c r="P704" s="20"/>
      <c r="Q704" s="20"/>
      <c r="R704" s="20"/>
      <c r="S704" s="20"/>
      <c r="T704" s="20"/>
      <c r="U704" s="20"/>
      <c r="V704" s="20"/>
      <c r="W704" s="20"/>
      <c r="X704" s="20"/>
      <c r="Y704" s="20"/>
      <c r="Z704" s="20"/>
      <c r="AA704" s="20"/>
    </row>
    <row r="705">
      <c r="A705" s="20"/>
      <c r="B705" s="24"/>
      <c r="C705" s="24"/>
      <c r="D705" s="20"/>
      <c r="E705" s="20"/>
      <c r="F705" s="24"/>
      <c r="G705" s="20"/>
      <c r="H705" s="20"/>
      <c r="I705" s="20"/>
      <c r="J705" s="20"/>
      <c r="K705" s="20"/>
      <c r="L705" s="20"/>
      <c r="M705" s="20"/>
      <c r="N705" s="20"/>
      <c r="O705" s="20"/>
      <c r="P705" s="20"/>
      <c r="Q705" s="20"/>
      <c r="R705" s="20"/>
      <c r="S705" s="20"/>
      <c r="T705" s="20"/>
      <c r="U705" s="20"/>
      <c r="V705" s="20"/>
      <c r="W705" s="20"/>
      <c r="X705" s="20"/>
      <c r="Y705" s="20"/>
      <c r="Z705" s="20"/>
      <c r="AA705" s="20"/>
    </row>
    <row r="706">
      <c r="A706" s="20"/>
      <c r="B706" s="24"/>
      <c r="C706" s="24"/>
      <c r="D706" s="20"/>
      <c r="E706" s="20"/>
      <c r="F706" s="24"/>
      <c r="G706" s="20"/>
      <c r="H706" s="20"/>
      <c r="I706" s="20"/>
      <c r="J706" s="20"/>
      <c r="K706" s="20"/>
      <c r="L706" s="20"/>
      <c r="M706" s="20"/>
      <c r="N706" s="20"/>
      <c r="O706" s="20"/>
      <c r="P706" s="20"/>
      <c r="Q706" s="20"/>
      <c r="R706" s="20"/>
      <c r="S706" s="20"/>
      <c r="T706" s="20"/>
      <c r="U706" s="20"/>
      <c r="V706" s="20"/>
      <c r="W706" s="20"/>
      <c r="X706" s="20"/>
      <c r="Y706" s="20"/>
      <c r="Z706" s="20"/>
      <c r="AA706" s="20"/>
    </row>
    <row r="707">
      <c r="A707" s="20"/>
      <c r="B707" s="24"/>
      <c r="C707" s="24"/>
      <c r="D707" s="20"/>
      <c r="E707" s="20"/>
      <c r="F707" s="24"/>
      <c r="G707" s="20"/>
      <c r="H707" s="20"/>
      <c r="I707" s="20"/>
      <c r="J707" s="20"/>
      <c r="K707" s="20"/>
      <c r="L707" s="20"/>
      <c r="M707" s="20"/>
      <c r="N707" s="20"/>
      <c r="O707" s="20"/>
      <c r="P707" s="20"/>
      <c r="Q707" s="20"/>
      <c r="R707" s="20"/>
      <c r="S707" s="20"/>
      <c r="T707" s="20"/>
      <c r="U707" s="20"/>
      <c r="V707" s="20"/>
      <c r="W707" s="20"/>
      <c r="X707" s="20"/>
      <c r="Y707" s="20"/>
      <c r="Z707" s="20"/>
      <c r="AA707" s="20"/>
    </row>
    <row r="708">
      <c r="A708" s="20"/>
      <c r="B708" s="24"/>
      <c r="C708" s="24"/>
      <c r="D708" s="20"/>
      <c r="E708" s="20"/>
      <c r="F708" s="24"/>
      <c r="G708" s="20"/>
      <c r="H708" s="20"/>
      <c r="I708" s="20"/>
      <c r="J708" s="20"/>
      <c r="K708" s="20"/>
      <c r="L708" s="20"/>
      <c r="M708" s="20"/>
      <c r="N708" s="20"/>
      <c r="O708" s="20"/>
      <c r="P708" s="20"/>
      <c r="Q708" s="20"/>
      <c r="R708" s="20"/>
      <c r="S708" s="20"/>
      <c r="T708" s="20"/>
      <c r="U708" s="20"/>
      <c r="V708" s="20"/>
      <c r="W708" s="20"/>
      <c r="X708" s="20"/>
      <c r="Y708" s="20"/>
      <c r="Z708" s="20"/>
      <c r="AA708" s="20"/>
    </row>
    <row r="709">
      <c r="A709" s="20"/>
      <c r="B709" s="24"/>
      <c r="C709" s="24"/>
      <c r="D709" s="20"/>
      <c r="E709" s="20"/>
      <c r="F709" s="24"/>
      <c r="G709" s="20"/>
      <c r="H709" s="20"/>
      <c r="I709" s="20"/>
      <c r="J709" s="20"/>
      <c r="K709" s="20"/>
      <c r="L709" s="20"/>
      <c r="M709" s="20"/>
      <c r="N709" s="20"/>
      <c r="O709" s="20"/>
      <c r="P709" s="20"/>
      <c r="Q709" s="20"/>
      <c r="R709" s="20"/>
      <c r="S709" s="20"/>
      <c r="T709" s="20"/>
      <c r="U709" s="20"/>
      <c r="V709" s="20"/>
      <c r="W709" s="20"/>
      <c r="X709" s="20"/>
      <c r="Y709" s="20"/>
      <c r="Z709" s="20"/>
      <c r="AA709" s="20"/>
    </row>
    <row r="710">
      <c r="A710" s="20"/>
      <c r="B710" s="24"/>
      <c r="C710" s="24"/>
      <c r="D710" s="20"/>
      <c r="E710" s="20"/>
      <c r="F710" s="24"/>
      <c r="G710" s="20"/>
      <c r="H710" s="20"/>
      <c r="I710" s="20"/>
      <c r="J710" s="20"/>
      <c r="K710" s="20"/>
      <c r="L710" s="20"/>
      <c r="M710" s="20"/>
      <c r="N710" s="20"/>
      <c r="O710" s="20"/>
      <c r="P710" s="20"/>
      <c r="Q710" s="20"/>
      <c r="R710" s="20"/>
      <c r="S710" s="20"/>
      <c r="T710" s="20"/>
      <c r="U710" s="20"/>
      <c r="V710" s="20"/>
      <c r="W710" s="20"/>
      <c r="X710" s="20"/>
      <c r="Y710" s="20"/>
      <c r="Z710" s="20"/>
      <c r="AA710" s="20"/>
    </row>
    <row r="711">
      <c r="A711" s="20"/>
      <c r="B711" s="24"/>
      <c r="C711" s="24"/>
      <c r="D711" s="20"/>
      <c r="E711" s="20"/>
      <c r="F711" s="24"/>
      <c r="G711" s="20"/>
      <c r="H711" s="20"/>
      <c r="I711" s="20"/>
      <c r="J711" s="20"/>
      <c r="K711" s="20"/>
      <c r="L711" s="20"/>
      <c r="M711" s="20"/>
      <c r="N711" s="20"/>
      <c r="O711" s="20"/>
      <c r="P711" s="20"/>
      <c r="Q711" s="20"/>
      <c r="R711" s="20"/>
      <c r="S711" s="20"/>
      <c r="T711" s="20"/>
      <c r="U711" s="20"/>
      <c r="V711" s="20"/>
      <c r="W711" s="20"/>
      <c r="X711" s="20"/>
      <c r="Y711" s="20"/>
      <c r="Z711" s="20"/>
      <c r="AA711" s="20"/>
    </row>
    <row r="712">
      <c r="A712" s="20"/>
      <c r="B712" s="24"/>
      <c r="C712" s="24"/>
      <c r="D712" s="20"/>
      <c r="E712" s="20"/>
      <c r="F712" s="24"/>
      <c r="G712" s="20"/>
      <c r="H712" s="20"/>
      <c r="I712" s="20"/>
      <c r="J712" s="20"/>
      <c r="K712" s="20"/>
      <c r="L712" s="20"/>
      <c r="M712" s="20"/>
      <c r="N712" s="20"/>
      <c r="O712" s="20"/>
      <c r="P712" s="20"/>
      <c r="Q712" s="20"/>
      <c r="R712" s="20"/>
      <c r="S712" s="20"/>
      <c r="T712" s="20"/>
      <c r="U712" s="20"/>
      <c r="V712" s="20"/>
      <c r="W712" s="20"/>
      <c r="X712" s="20"/>
      <c r="Y712" s="20"/>
      <c r="Z712" s="20"/>
      <c r="AA712" s="20"/>
    </row>
    <row r="713">
      <c r="A713" s="20"/>
      <c r="B713" s="24"/>
      <c r="C713" s="24"/>
      <c r="D713" s="20"/>
      <c r="E713" s="20"/>
      <c r="F713" s="24"/>
      <c r="G713" s="20"/>
      <c r="H713" s="20"/>
      <c r="I713" s="20"/>
      <c r="J713" s="20"/>
      <c r="K713" s="20"/>
      <c r="L713" s="20"/>
      <c r="M713" s="20"/>
      <c r="N713" s="20"/>
      <c r="O713" s="20"/>
      <c r="P713" s="20"/>
      <c r="Q713" s="20"/>
      <c r="R713" s="20"/>
      <c r="S713" s="20"/>
      <c r="T713" s="20"/>
      <c r="U713" s="20"/>
      <c r="V713" s="20"/>
      <c r="W713" s="20"/>
      <c r="X713" s="20"/>
      <c r="Y713" s="20"/>
      <c r="Z713" s="20"/>
      <c r="AA713" s="20"/>
    </row>
    <row r="714">
      <c r="A714" s="20"/>
      <c r="B714" s="24"/>
      <c r="C714" s="24"/>
      <c r="D714" s="20"/>
      <c r="E714" s="20"/>
      <c r="F714" s="24"/>
      <c r="G714" s="20"/>
      <c r="H714" s="20"/>
      <c r="I714" s="20"/>
      <c r="J714" s="20"/>
      <c r="K714" s="20"/>
      <c r="L714" s="20"/>
      <c r="M714" s="20"/>
      <c r="N714" s="20"/>
      <c r="O714" s="20"/>
      <c r="P714" s="20"/>
      <c r="Q714" s="20"/>
      <c r="R714" s="20"/>
      <c r="S714" s="20"/>
      <c r="T714" s="20"/>
      <c r="U714" s="20"/>
      <c r="V714" s="20"/>
      <c r="W714" s="20"/>
      <c r="X714" s="20"/>
      <c r="Y714" s="20"/>
      <c r="Z714" s="20"/>
      <c r="AA714" s="20"/>
    </row>
    <row r="715">
      <c r="A715" s="20"/>
      <c r="B715" s="24"/>
      <c r="C715" s="24"/>
      <c r="D715" s="20"/>
      <c r="E715" s="20"/>
      <c r="F715" s="24"/>
      <c r="G715" s="20"/>
      <c r="H715" s="20"/>
      <c r="I715" s="20"/>
      <c r="J715" s="20"/>
      <c r="K715" s="20"/>
      <c r="L715" s="20"/>
      <c r="M715" s="20"/>
      <c r="N715" s="20"/>
      <c r="O715" s="20"/>
      <c r="P715" s="20"/>
      <c r="Q715" s="20"/>
      <c r="R715" s="20"/>
      <c r="S715" s="20"/>
      <c r="T715" s="20"/>
      <c r="U715" s="20"/>
      <c r="V715" s="20"/>
      <c r="W715" s="20"/>
      <c r="X715" s="20"/>
      <c r="Y715" s="20"/>
      <c r="Z715" s="20"/>
      <c r="AA715" s="20"/>
    </row>
    <row r="716">
      <c r="A716" s="20"/>
      <c r="B716" s="24"/>
      <c r="C716" s="24"/>
      <c r="D716" s="20"/>
      <c r="E716" s="20"/>
      <c r="F716" s="24"/>
      <c r="G716" s="20"/>
      <c r="H716" s="20"/>
      <c r="I716" s="20"/>
      <c r="J716" s="20"/>
      <c r="K716" s="20"/>
      <c r="L716" s="20"/>
      <c r="M716" s="20"/>
      <c r="N716" s="20"/>
      <c r="O716" s="20"/>
      <c r="P716" s="20"/>
      <c r="Q716" s="20"/>
      <c r="R716" s="20"/>
      <c r="S716" s="20"/>
      <c r="T716" s="20"/>
      <c r="U716" s="20"/>
      <c r="V716" s="20"/>
      <c r="W716" s="20"/>
      <c r="X716" s="20"/>
      <c r="Y716" s="20"/>
      <c r="Z716" s="20"/>
      <c r="AA716" s="20"/>
    </row>
    <row r="717">
      <c r="A717" s="20"/>
      <c r="B717" s="24"/>
      <c r="C717" s="24"/>
      <c r="D717" s="20"/>
      <c r="E717" s="20"/>
      <c r="F717" s="24"/>
      <c r="G717" s="20"/>
      <c r="H717" s="20"/>
      <c r="I717" s="20"/>
      <c r="J717" s="20"/>
      <c r="K717" s="20"/>
      <c r="L717" s="20"/>
      <c r="M717" s="20"/>
      <c r="N717" s="20"/>
      <c r="O717" s="20"/>
      <c r="P717" s="20"/>
      <c r="Q717" s="20"/>
      <c r="R717" s="20"/>
      <c r="S717" s="20"/>
      <c r="T717" s="20"/>
      <c r="U717" s="20"/>
      <c r="V717" s="20"/>
      <c r="W717" s="20"/>
      <c r="X717" s="20"/>
      <c r="Y717" s="20"/>
      <c r="Z717" s="20"/>
      <c r="AA717" s="20"/>
    </row>
    <row r="718">
      <c r="A718" s="20"/>
      <c r="B718" s="24"/>
      <c r="C718" s="24"/>
      <c r="D718" s="20"/>
      <c r="E718" s="20"/>
      <c r="F718" s="24"/>
      <c r="G718" s="20"/>
      <c r="H718" s="20"/>
      <c r="I718" s="20"/>
      <c r="J718" s="20"/>
      <c r="K718" s="20"/>
      <c r="L718" s="20"/>
      <c r="M718" s="20"/>
      <c r="N718" s="20"/>
      <c r="O718" s="20"/>
      <c r="P718" s="20"/>
      <c r="Q718" s="20"/>
      <c r="R718" s="20"/>
      <c r="S718" s="20"/>
      <c r="T718" s="20"/>
      <c r="U718" s="20"/>
      <c r="V718" s="20"/>
      <c r="W718" s="20"/>
      <c r="X718" s="20"/>
      <c r="Y718" s="20"/>
      <c r="Z718" s="20"/>
      <c r="AA718" s="20"/>
    </row>
    <row r="719">
      <c r="A719" s="20"/>
      <c r="B719" s="24"/>
      <c r="C719" s="24"/>
      <c r="D719" s="20"/>
      <c r="E719" s="20"/>
      <c r="F719" s="24"/>
      <c r="G719" s="20"/>
      <c r="H719" s="20"/>
      <c r="I719" s="20"/>
      <c r="J719" s="20"/>
      <c r="K719" s="20"/>
      <c r="L719" s="20"/>
      <c r="M719" s="20"/>
      <c r="N719" s="20"/>
      <c r="O719" s="20"/>
      <c r="P719" s="20"/>
      <c r="Q719" s="20"/>
      <c r="R719" s="20"/>
      <c r="S719" s="20"/>
      <c r="T719" s="20"/>
      <c r="U719" s="20"/>
      <c r="V719" s="20"/>
      <c r="W719" s="20"/>
      <c r="X719" s="20"/>
      <c r="Y719" s="20"/>
      <c r="Z719" s="20"/>
      <c r="AA719" s="20"/>
    </row>
    <row r="720">
      <c r="A720" s="20"/>
      <c r="B720" s="24"/>
      <c r="C720" s="24"/>
      <c r="D720" s="20"/>
      <c r="E720" s="20"/>
      <c r="F720" s="24"/>
      <c r="G720" s="20"/>
      <c r="H720" s="20"/>
      <c r="I720" s="20"/>
      <c r="J720" s="20"/>
      <c r="K720" s="20"/>
      <c r="L720" s="20"/>
      <c r="M720" s="20"/>
      <c r="N720" s="20"/>
      <c r="O720" s="20"/>
      <c r="P720" s="20"/>
      <c r="Q720" s="20"/>
      <c r="R720" s="20"/>
      <c r="S720" s="20"/>
      <c r="T720" s="20"/>
      <c r="U720" s="20"/>
      <c r="V720" s="20"/>
      <c r="W720" s="20"/>
      <c r="X720" s="20"/>
      <c r="Y720" s="20"/>
      <c r="Z720" s="20"/>
      <c r="AA720" s="20"/>
    </row>
    <row r="721">
      <c r="A721" s="20"/>
      <c r="B721" s="24"/>
      <c r="C721" s="24"/>
      <c r="D721" s="20"/>
      <c r="E721" s="20"/>
      <c r="F721" s="24"/>
      <c r="G721" s="20"/>
      <c r="H721" s="20"/>
      <c r="I721" s="20"/>
      <c r="J721" s="20"/>
      <c r="K721" s="20"/>
      <c r="L721" s="20"/>
      <c r="M721" s="20"/>
      <c r="N721" s="20"/>
      <c r="O721" s="20"/>
      <c r="P721" s="20"/>
      <c r="Q721" s="20"/>
      <c r="R721" s="20"/>
      <c r="S721" s="20"/>
      <c r="T721" s="20"/>
      <c r="U721" s="20"/>
      <c r="V721" s="20"/>
      <c r="W721" s="20"/>
      <c r="X721" s="20"/>
      <c r="Y721" s="20"/>
      <c r="Z721" s="20"/>
      <c r="AA721" s="20"/>
    </row>
    <row r="722">
      <c r="A722" s="20"/>
      <c r="B722" s="24"/>
      <c r="C722" s="24"/>
      <c r="D722" s="20"/>
      <c r="E722" s="20"/>
      <c r="F722" s="24"/>
      <c r="G722" s="20"/>
      <c r="H722" s="20"/>
      <c r="I722" s="20"/>
      <c r="J722" s="20"/>
      <c r="K722" s="20"/>
      <c r="L722" s="20"/>
      <c r="M722" s="20"/>
      <c r="N722" s="20"/>
      <c r="O722" s="20"/>
      <c r="P722" s="20"/>
      <c r="Q722" s="20"/>
      <c r="R722" s="20"/>
      <c r="S722" s="20"/>
      <c r="T722" s="20"/>
      <c r="U722" s="20"/>
      <c r="V722" s="20"/>
      <c r="W722" s="20"/>
      <c r="X722" s="20"/>
      <c r="Y722" s="20"/>
      <c r="Z722" s="20"/>
      <c r="AA722" s="20"/>
    </row>
    <row r="723">
      <c r="A723" s="20"/>
      <c r="B723" s="24"/>
      <c r="C723" s="24"/>
      <c r="D723" s="20"/>
      <c r="E723" s="20"/>
      <c r="F723" s="24"/>
      <c r="G723" s="20"/>
      <c r="H723" s="20"/>
      <c r="I723" s="20"/>
      <c r="J723" s="20"/>
      <c r="K723" s="20"/>
      <c r="L723" s="20"/>
      <c r="M723" s="20"/>
      <c r="N723" s="20"/>
      <c r="O723" s="20"/>
      <c r="P723" s="20"/>
      <c r="Q723" s="20"/>
      <c r="R723" s="20"/>
      <c r="S723" s="20"/>
      <c r="T723" s="20"/>
      <c r="U723" s="20"/>
      <c r="V723" s="20"/>
      <c r="W723" s="20"/>
      <c r="X723" s="20"/>
      <c r="Y723" s="20"/>
      <c r="Z723" s="20"/>
      <c r="AA723" s="20"/>
    </row>
    <row r="724">
      <c r="A724" s="20"/>
      <c r="B724" s="24"/>
      <c r="C724" s="24"/>
      <c r="D724" s="20"/>
      <c r="E724" s="20"/>
      <c r="F724" s="24"/>
      <c r="G724" s="20"/>
      <c r="H724" s="20"/>
      <c r="I724" s="20"/>
      <c r="J724" s="20"/>
      <c r="K724" s="20"/>
      <c r="L724" s="20"/>
      <c r="M724" s="20"/>
      <c r="N724" s="20"/>
      <c r="O724" s="20"/>
      <c r="P724" s="20"/>
      <c r="Q724" s="20"/>
      <c r="R724" s="20"/>
      <c r="S724" s="20"/>
      <c r="T724" s="20"/>
      <c r="U724" s="20"/>
      <c r="V724" s="20"/>
      <c r="W724" s="20"/>
      <c r="X724" s="20"/>
      <c r="Y724" s="20"/>
      <c r="Z724" s="20"/>
      <c r="AA724" s="20"/>
    </row>
    <row r="725">
      <c r="A725" s="20"/>
      <c r="B725" s="24"/>
      <c r="C725" s="24"/>
      <c r="D725" s="20"/>
      <c r="E725" s="20"/>
      <c r="F725" s="24"/>
      <c r="G725" s="20"/>
      <c r="H725" s="20"/>
      <c r="I725" s="20"/>
      <c r="J725" s="20"/>
      <c r="K725" s="20"/>
      <c r="L725" s="20"/>
      <c r="M725" s="20"/>
      <c r="N725" s="20"/>
      <c r="O725" s="20"/>
      <c r="P725" s="20"/>
      <c r="Q725" s="20"/>
      <c r="R725" s="20"/>
      <c r="S725" s="20"/>
      <c r="T725" s="20"/>
      <c r="U725" s="20"/>
      <c r="V725" s="20"/>
      <c r="W725" s="20"/>
      <c r="X725" s="20"/>
      <c r="Y725" s="20"/>
      <c r="Z725" s="20"/>
      <c r="AA725" s="20"/>
    </row>
    <row r="726">
      <c r="A726" s="20"/>
      <c r="B726" s="24"/>
      <c r="C726" s="24"/>
      <c r="D726" s="20"/>
      <c r="E726" s="20"/>
      <c r="F726" s="24"/>
      <c r="G726" s="20"/>
      <c r="H726" s="20"/>
      <c r="I726" s="20"/>
      <c r="J726" s="20"/>
      <c r="K726" s="20"/>
      <c r="L726" s="20"/>
      <c r="M726" s="20"/>
      <c r="N726" s="20"/>
      <c r="O726" s="20"/>
      <c r="P726" s="20"/>
      <c r="Q726" s="20"/>
      <c r="R726" s="20"/>
      <c r="S726" s="20"/>
      <c r="T726" s="20"/>
      <c r="U726" s="20"/>
      <c r="V726" s="20"/>
      <c r="W726" s="20"/>
      <c r="X726" s="20"/>
      <c r="Y726" s="20"/>
      <c r="Z726" s="20"/>
      <c r="AA726" s="20"/>
    </row>
    <row r="727">
      <c r="A727" s="20"/>
      <c r="B727" s="24"/>
      <c r="C727" s="24"/>
      <c r="D727" s="20"/>
      <c r="E727" s="20"/>
      <c r="F727" s="24"/>
      <c r="G727" s="20"/>
      <c r="H727" s="20"/>
      <c r="I727" s="20"/>
      <c r="J727" s="20"/>
      <c r="K727" s="20"/>
      <c r="L727" s="20"/>
      <c r="M727" s="20"/>
      <c r="N727" s="20"/>
      <c r="O727" s="20"/>
      <c r="P727" s="20"/>
      <c r="Q727" s="20"/>
      <c r="R727" s="20"/>
      <c r="S727" s="20"/>
      <c r="T727" s="20"/>
      <c r="U727" s="20"/>
      <c r="V727" s="20"/>
      <c r="W727" s="20"/>
      <c r="X727" s="20"/>
      <c r="Y727" s="20"/>
      <c r="Z727" s="20"/>
      <c r="AA727" s="20"/>
    </row>
    <row r="728">
      <c r="A728" s="20"/>
      <c r="B728" s="24"/>
      <c r="C728" s="24"/>
      <c r="D728" s="20"/>
      <c r="E728" s="20"/>
      <c r="F728" s="24"/>
      <c r="G728" s="20"/>
      <c r="H728" s="20"/>
      <c r="I728" s="20"/>
      <c r="J728" s="20"/>
      <c r="K728" s="20"/>
      <c r="L728" s="20"/>
      <c r="M728" s="20"/>
      <c r="N728" s="20"/>
      <c r="O728" s="20"/>
      <c r="P728" s="20"/>
      <c r="Q728" s="20"/>
      <c r="R728" s="20"/>
      <c r="S728" s="20"/>
      <c r="T728" s="20"/>
      <c r="U728" s="20"/>
      <c r="V728" s="20"/>
      <c r="W728" s="20"/>
      <c r="X728" s="20"/>
      <c r="Y728" s="20"/>
      <c r="Z728" s="20"/>
      <c r="AA728" s="20"/>
    </row>
    <row r="729">
      <c r="A729" s="20"/>
      <c r="B729" s="24"/>
      <c r="C729" s="24"/>
      <c r="D729" s="20"/>
      <c r="E729" s="20"/>
      <c r="F729" s="24"/>
      <c r="G729" s="20"/>
      <c r="H729" s="20"/>
      <c r="I729" s="20"/>
      <c r="J729" s="20"/>
      <c r="K729" s="20"/>
      <c r="L729" s="20"/>
      <c r="M729" s="20"/>
      <c r="N729" s="20"/>
      <c r="O729" s="20"/>
      <c r="P729" s="20"/>
      <c r="Q729" s="20"/>
      <c r="R729" s="20"/>
      <c r="S729" s="20"/>
      <c r="T729" s="20"/>
      <c r="U729" s="20"/>
      <c r="V729" s="20"/>
      <c r="W729" s="20"/>
      <c r="X729" s="20"/>
      <c r="Y729" s="20"/>
      <c r="Z729" s="20"/>
      <c r="AA729" s="20"/>
    </row>
    <row r="730">
      <c r="A730" s="20"/>
      <c r="B730" s="24"/>
      <c r="C730" s="24"/>
      <c r="D730" s="20"/>
      <c r="E730" s="20"/>
      <c r="F730" s="24"/>
      <c r="G730" s="20"/>
      <c r="H730" s="20"/>
      <c r="I730" s="20"/>
      <c r="J730" s="20"/>
      <c r="K730" s="20"/>
      <c r="L730" s="20"/>
      <c r="M730" s="20"/>
      <c r="N730" s="20"/>
      <c r="O730" s="20"/>
      <c r="P730" s="20"/>
      <c r="Q730" s="20"/>
      <c r="R730" s="20"/>
      <c r="S730" s="20"/>
      <c r="T730" s="20"/>
      <c r="U730" s="20"/>
      <c r="V730" s="20"/>
      <c r="W730" s="20"/>
      <c r="X730" s="20"/>
      <c r="Y730" s="20"/>
      <c r="Z730" s="20"/>
      <c r="AA730" s="20"/>
    </row>
    <row r="731">
      <c r="A731" s="20"/>
      <c r="B731" s="24"/>
      <c r="C731" s="24"/>
      <c r="D731" s="20"/>
      <c r="E731" s="20"/>
      <c r="F731" s="24"/>
      <c r="G731" s="20"/>
      <c r="H731" s="20"/>
      <c r="I731" s="20"/>
      <c r="J731" s="20"/>
      <c r="K731" s="20"/>
      <c r="L731" s="20"/>
      <c r="M731" s="20"/>
      <c r="N731" s="20"/>
      <c r="O731" s="20"/>
      <c r="P731" s="20"/>
      <c r="Q731" s="20"/>
      <c r="R731" s="20"/>
      <c r="S731" s="20"/>
      <c r="T731" s="20"/>
      <c r="U731" s="20"/>
      <c r="V731" s="20"/>
      <c r="W731" s="20"/>
      <c r="X731" s="20"/>
      <c r="Y731" s="20"/>
      <c r="Z731" s="20"/>
      <c r="AA731" s="20"/>
    </row>
    <row r="732">
      <c r="A732" s="20"/>
      <c r="B732" s="24"/>
      <c r="C732" s="24"/>
      <c r="D732" s="20"/>
      <c r="E732" s="20"/>
      <c r="F732" s="24"/>
      <c r="G732" s="20"/>
      <c r="H732" s="20"/>
      <c r="I732" s="20"/>
      <c r="J732" s="20"/>
      <c r="K732" s="20"/>
      <c r="L732" s="20"/>
      <c r="M732" s="20"/>
      <c r="N732" s="20"/>
      <c r="O732" s="20"/>
      <c r="P732" s="20"/>
      <c r="Q732" s="20"/>
      <c r="R732" s="20"/>
      <c r="S732" s="20"/>
      <c r="T732" s="20"/>
      <c r="U732" s="20"/>
      <c r="V732" s="20"/>
      <c r="W732" s="20"/>
      <c r="X732" s="20"/>
      <c r="Y732" s="20"/>
      <c r="Z732" s="20"/>
      <c r="AA732" s="20"/>
    </row>
    <row r="733">
      <c r="A733" s="20"/>
      <c r="B733" s="24"/>
      <c r="C733" s="24"/>
      <c r="D733" s="20"/>
      <c r="E733" s="20"/>
      <c r="F733" s="24"/>
      <c r="G733" s="20"/>
      <c r="H733" s="20"/>
      <c r="I733" s="20"/>
      <c r="J733" s="20"/>
      <c r="K733" s="20"/>
      <c r="L733" s="20"/>
      <c r="M733" s="20"/>
      <c r="N733" s="20"/>
      <c r="O733" s="20"/>
      <c r="P733" s="20"/>
      <c r="Q733" s="20"/>
      <c r="R733" s="20"/>
      <c r="S733" s="20"/>
      <c r="T733" s="20"/>
      <c r="U733" s="20"/>
      <c r="V733" s="20"/>
      <c r="W733" s="20"/>
      <c r="X733" s="20"/>
      <c r="Y733" s="20"/>
      <c r="Z733" s="20"/>
      <c r="AA733" s="20"/>
    </row>
    <row r="734">
      <c r="A734" s="20"/>
      <c r="B734" s="24"/>
      <c r="C734" s="24"/>
      <c r="D734" s="20"/>
      <c r="E734" s="20"/>
      <c r="F734" s="24"/>
      <c r="G734" s="20"/>
      <c r="H734" s="20"/>
      <c r="I734" s="20"/>
      <c r="J734" s="20"/>
      <c r="K734" s="20"/>
      <c r="L734" s="20"/>
      <c r="M734" s="20"/>
      <c r="N734" s="20"/>
      <c r="O734" s="20"/>
      <c r="P734" s="20"/>
      <c r="Q734" s="20"/>
      <c r="R734" s="20"/>
      <c r="S734" s="20"/>
      <c r="T734" s="20"/>
      <c r="U734" s="20"/>
      <c r="V734" s="20"/>
      <c r="W734" s="20"/>
      <c r="X734" s="20"/>
      <c r="Y734" s="20"/>
      <c r="Z734" s="20"/>
      <c r="AA734" s="20"/>
    </row>
    <row r="735">
      <c r="A735" s="20"/>
      <c r="B735" s="24"/>
      <c r="C735" s="24"/>
      <c r="D735" s="20"/>
      <c r="E735" s="20"/>
      <c r="F735" s="24"/>
      <c r="G735" s="20"/>
      <c r="H735" s="20"/>
      <c r="I735" s="20"/>
      <c r="J735" s="20"/>
      <c r="K735" s="20"/>
      <c r="L735" s="20"/>
      <c r="M735" s="20"/>
      <c r="N735" s="20"/>
      <c r="O735" s="20"/>
      <c r="P735" s="20"/>
      <c r="Q735" s="20"/>
      <c r="R735" s="20"/>
      <c r="S735" s="20"/>
      <c r="T735" s="20"/>
      <c r="U735" s="20"/>
      <c r="V735" s="20"/>
      <c r="W735" s="20"/>
      <c r="X735" s="20"/>
      <c r="Y735" s="20"/>
      <c r="Z735" s="20"/>
      <c r="AA735" s="20"/>
    </row>
    <row r="736">
      <c r="A736" s="20"/>
      <c r="B736" s="24"/>
      <c r="C736" s="24"/>
      <c r="D736" s="20"/>
      <c r="E736" s="20"/>
      <c r="F736" s="24"/>
      <c r="G736" s="20"/>
      <c r="H736" s="20"/>
      <c r="I736" s="20"/>
      <c r="J736" s="20"/>
      <c r="K736" s="20"/>
      <c r="L736" s="20"/>
      <c r="M736" s="20"/>
      <c r="N736" s="20"/>
      <c r="O736" s="20"/>
      <c r="P736" s="20"/>
      <c r="Q736" s="20"/>
      <c r="R736" s="20"/>
      <c r="S736" s="20"/>
      <c r="T736" s="20"/>
      <c r="U736" s="20"/>
      <c r="V736" s="20"/>
      <c r="W736" s="20"/>
      <c r="X736" s="20"/>
      <c r="Y736" s="20"/>
      <c r="Z736" s="20"/>
      <c r="AA736" s="20"/>
    </row>
    <row r="737">
      <c r="A737" s="20"/>
      <c r="B737" s="24"/>
      <c r="C737" s="24"/>
      <c r="D737" s="20"/>
      <c r="E737" s="20"/>
      <c r="F737" s="24"/>
      <c r="G737" s="20"/>
      <c r="H737" s="20"/>
      <c r="I737" s="20"/>
      <c r="J737" s="20"/>
      <c r="K737" s="20"/>
      <c r="L737" s="20"/>
      <c r="M737" s="20"/>
      <c r="N737" s="20"/>
      <c r="O737" s="20"/>
      <c r="P737" s="20"/>
      <c r="Q737" s="20"/>
      <c r="R737" s="20"/>
      <c r="S737" s="20"/>
      <c r="T737" s="20"/>
      <c r="U737" s="20"/>
      <c r="V737" s="20"/>
      <c r="W737" s="20"/>
      <c r="X737" s="20"/>
      <c r="Y737" s="20"/>
      <c r="Z737" s="20"/>
      <c r="AA737" s="20"/>
    </row>
    <row r="738">
      <c r="A738" s="20"/>
      <c r="B738" s="24"/>
      <c r="C738" s="24"/>
      <c r="D738" s="20"/>
      <c r="E738" s="20"/>
      <c r="F738" s="24"/>
      <c r="G738" s="20"/>
      <c r="H738" s="20"/>
      <c r="I738" s="20"/>
      <c r="J738" s="20"/>
      <c r="K738" s="20"/>
      <c r="L738" s="20"/>
      <c r="M738" s="20"/>
      <c r="N738" s="20"/>
      <c r="O738" s="20"/>
      <c r="P738" s="20"/>
      <c r="Q738" s="20"/>
      <c r="R738" s="20"/>
      <c r="S738" s="20"/>
      <c r="T738" s="20"/>
      <c r="U738" s="20"/>
      <c r="V738" s="20"/>
      <c r="W738" s="20"/>
      <c r="X738" s="20"/>
      <c r="Y738" s="20"/>
      <c r="Z738" s="20"/>
      <c r="AA738" s="20"/>
    </row>
    <row r="739">
      <c r="A739" s="20"/>
      <c r="B739" s="24"/>
      <c r="C739" s="24"/>
      <c r="D739" s="20"/>
      <c r="E739" s="20"/>
      <c r="F739" s="24"/>
      <c r="G739" s="20"/>
      <c r="H739" s="20"/>
      <c r="I739" s="20"/>
      <c r="J739" s="20"/>
      <c r="K739" s="20"/>
      <c r="L739" s="20"/>
      <c r="M739" s="20"/>
      <c r="N739" s="20"/>
      <c r="O739" s="20"/>
      <c r="P739" s="20"/>
      <c r="Q739" s="20"/>
      <c r="R739" s="20"/>
      <c r="S739" s="20"/>
      <c r="T739" s="20"/>
      <c r="U739" s="20"/>
      <c r="V739" s="20"/>
      <c r="W739" s="20"/>
      <c r="X739" s="20"/>
      <c r="Y739" s="20"/>
      <c r="Z739" s="20"/>
      <c r="AA739" s="20"/>
    </row>
    <row r="740">
      <c r="A740" s="20"/>
      <c r="B740" s="24"/>
      <c r="C740" s="24"/>
      <c r="D740" s="20"/>
      <c r="E740" s="20"/>
      <c r="F740" s="24"/>
      <c r="G740" s="20"/>
      <c r="H740" s="20"/>
      <c r="I740" s="20"/>
      <c r="J740" s="20"/>
      <c r="K740" s="20"/>
      <c r="L740" s="20"/>
      <c r="M740" s="20"/>
      <c r="N740" s="20"/>
      <c r="O740" s="20"/>
      <c r="P740" s="20"/>
      <c r="Q740" s="20"/>
      <c r="R740" s="20"/>
      <c r="S740" s="20"/>
      <c r="T740" s="20"/>
      <c r="U740" s="20"/>
      <c r="V740" s="20"/>
      <c r="W740" s="20"/>
      <c r="X740" s="20"/>
      <c r="Y740" s="20"/>
      <c r="Z740" s="20"/>
      <c r="AA740" s="20"/>
    </row>
    <row r="741">
      <c r="A741" s="20"/>
      <c r="B741" s="24"/>
      <c r="C741" s="24"/>
      <c r="D741" s="20"/>
      <c r="E741" s="20"/>
      <c r="F741" s="24"/>
      <c r="G741" s="20"/>
      <c r="H741" s="20"/>
      <c r="I741" s="20"/>
      <c r="J741" s="20"/>
      <c r="K741" s="20"/>
      <c r="L741" s="20"/>
      <c r="M741" s="20"/>
      <c r="N741" s="20"/>
      <c r="O741" s="20"/>
      <c r="P741" s="20"/>
      <c r="Q741" s="20"/>
      <c r="R741" s="20"/>
      <c r="S741" s="20"/>
      <c r="T741" s="20"/>
      <c r="U741" s="20"/>
      <c r="V741" s="20"/>
      <c r="W741" s="20"/>
      <c r="X741" s="20"/>
      <c r="Y741" s="20"/>
      <c r="Z741" s="20"/>
      <c r="AA741" s="20"/>
    </row>
    <row r="742">
      <c r="A742" s="20"/>
      <c r="B742" s="24"/>
      <c r="C742" s="24"/>
      <c r="D742" s="20"/>
      <c r="E742" s="20"/>
      <c r="F742" s="24"/>
      <c r="G742" s="20"/>
      <c r="H742" s="20"/>
      <c r="I742" s="20"/>
      <c r="J742" s="20"/>
      <c r="K742" s="20"/>
      <c r="L742" s="20"/>
      <c r="M742" s="20"/>
      <c r="N742" s="20"/>
      <c r="O742" s="20"/>
      <c r="P742" s="20"/>
      <c r="Q742" s="20"/>
      <c r="R742" s="20"/>
      <c r="S742" s="20"/>
      <c r="T742" s="20"/>
      <c r="U742" s="20"/>
      <c r="V742" s="20"/>
      <c r="W742" s="20"/>
      <c r="X742" s="20"/>
      <c r="Y742" s="20"/>
      <c r="Z742" s="20"/>
      <c r="AA742" s="20"/>
    </row>
    <row r="743">
      <c r="A743" s="20"/>
      <c r="B743" s="24"/>
      <c r="C743" s="24"/>
      <c r="D743" s="20"/>
      <c r="E743" s="20"/>
      <c r="F743" s="24"/>
      <c r="G743" s="20"/>
      <c r="H743" s="20"/>
      <c r="I743" s="20"/>
      <c r="J743" s="20"/>
      <c r="K743" s="20"/>
      <c r="L743" s="20"/>
      <c r="M743" s="20"/>
      <c r="N743" s="20"/>
      <c r="O743" s="20"/>
      <c r="P743" s="20"/>
      <c r="Q743" s="20"/>
      <c r="R743" s="20"/>
      <c r="S743" s="20"/>
      <c r="T743" s="20"/>
      <c r="U743" s="20"/>
      <c r="V743" s="20"/>
      <c r="W743" s="20"/>
      <c r="X743" s="20"/>
      <c r="Y743" s="20"/>
      <c r="Z743" s="20"/>
      <c r="AA743" s="20"/>
    </row>
    <row r="744">
      <c r="A744" s="20"/>
      <c r="B744" s="24"/>
      <c r="C744" s="24"/>
      <c r="D744" s="20"/>
      <c r="E744" s="20"/>
      <c r="F744" s="24"/>
      <c r="G744" s="20"/>
      <c r="H744" s="20"/>
      <c r="I744" s="20"/>
      <c r="J744" s="20"/>
      <c r="K744" s="20"/>
      <c r="L744" s="20"/>
      <c r="M744" s="20"/>
      <c r="N744" s="20"/>
      <c r="O744" s="20"/>
      <c r="P744" s="20"/>
      <c r="Q744" s="20"/>
      <c r="R744" s="20"/>
      <c r="S744" s="20"/>
      <c r="T744" s="20"/>
      <c r="U744" s="20"/>
      <c r="V744" s="20"/>
      <c r="W744" s="20"/>
      <c r="X744" s="20"/>
      <c r="Y744" s="20"/>
      <c r="Z744" s="20"/>
      <c r="AA744" s="20"/>
    </row>
    <row r="745">
      <c r="A745" s="20"/>
      <c r="B745" s="24"/>
      <c r="C745" s="24"/>
      <c r="D745" s="20"/>
      <c r="E745" s="20"/>
      <c r="F745" s="24"/>
      <c r="G745" s="20"/>
      <c r="H745" s="20"/>
      <c r="I745" s="20"/>
      <c r="J745" s="20"/>
      <c r="K745" s="20"/>
      <c r="L745" s="20"/>
      <c r="M745" s="20"/>
      <c r="N745" s="20"/>
      <c r="O745" s="20"/>
      <c r="P745" s="20"/>
      <c r="Q745" s="20"/>
      <c r="R745" s="20"/>
      <c r="S745" s="20"/>
      <c r="T745" s="20"/>
      <c r="U745" s="20"/>
      <c r="V745" s="20"/>
      <c r="W745" s="20"/>
      <c r="X745" s="20"/>
      <c r="Y745" s="20"/>
      <c r="Z745" s="20"/>
      <c r="AA745" s="20"/>
    </row>
    <row r="746">
      <c r="A746" s="20"/>
      <c r="B746" s="24"/>
      <c r="C746" s="24"/>
      <c r="D746" s="20"/>
      <c r="E746" s="20"/>
      <c r="F746" s="24"/>
      <c r="G746" s="20"/>
      <c r="H746" s="20"/>
      <c r="I746" s="20"/>
      <c r="J746" s="20"/>
      <c r="K746" s="20"/>
      <c r="L746" s="20"/>
      <c r="M746" s="20"/>
      <c r="N746" s="20"/>
      <c r="O746" s="20"/>
      <c r="P746" s="20"/>
      <c r="Q746" s="20"/>
      <c r="R746" s="20"/>
      <c r="S746" s="20"/>
      <c r="T746" s="20"/>
      <c r="U746" s="20"/>
      <c r="V746" s="20"/>
      <c r="W746" s="20"/>
      <c r="X746" s="20"/>
      <c r="Y746" s="20"/>
      <c r="Z746" s="20"/>
      <c r="AA746" s="20"/>
    </row>
    <row r="747">
      <c r="A747" s="20"/>
      <c r="B747" s="24"/>
      <c r="C747" s="24"/>
      <c r="D747" s="20"/>
      <c r="E747" s="20"/>
      <c r="F747" s="24"/>
      <c r="G747" s="20"/>
      <c r="H747" s="20"/>
      <c r="I747" s="20"/>
      <c r="J747" s="20"/>
      <c r="K747" s="20"/>
      <c r="L747" s="20"/>
      <c r="M747" s="20"/>
      <c r="N747" s="20"/>
      <c r="O747" s="20"/>
      <c r="P747" s="20"/>
      <c r="Q747" s="20"/>
      <c r="R747" s="20"/>
      <c r="S747" s="20"/>
      <c r="T747" s="20"/>
      <c r="U747" s="20"/>
      <c r="V747" s="20"/>
      <c r="W747" s="20"/>
      <c r="X747" s="20"/>
      <c r="Y747" s="20"/>
      <c r="Z747" s="20"/>
      <c r="AA747" s="20"/>
    </row>
    <row r="748">
      <c r="A748" s="20"/>
      <c r="B748" s="24"/>
      <c r="C748" s="24"/>
      <c r="D748" s="20"/>
      <c r="E748" s="20"/>
      <c r="F748" s="24"/>
      <c r="G748" s="20"/>
      <c r="H748" s="20"/>
      <c r="I748" s="20"/>
      <c r="J748" s="20"/>
      <c r="K748" s="20"/>
      <c r="L748" s="20"/>
      <c r="M748" s="20"/>
      <c r="N748" s="20"/>
      <c r="O748" s="20"/>
      <c r="P748" s="20"/>
      <c r="Q748" s="20"/>
      <c r="R748" s="20"/>
      <c r="S748" s="20"/>
      <c r="T748" s="20"/>
      <c r="U748" s="20"/>
      <c r="V748" s="20"/>
      <c r="W748" s="20"/>
      <c r="X748" s="20"/>
      <c r="Y748" s="20"/>
      <c r="Z748" s="20"/>
      <c r="AA748" s="20"/>
    </row>
    <row r="749">
      <c r="A749" s="20"/>
      <c r="B749" s="24"/>
      <c r="C749" s="24"/>
      <c r="D749" s="20"/>
      <c r="E749" s="20"/>
      <c r="F749" s="24"/>
      <c r="G749" s="20"/>
      <c r="H749" s="20"/>
      <c r="I749" s="20"/>
      <c r="J749" s="20"/>
      <c r="K749" s="20"/>
      <c r="L749" s="20"/>
      <c r="M749" s="20"/>
      <c r="N749" s="20"/>
      <c r="O749" s="20"/>
      <c r="P749" s="20"/>
      <c r="Q749" s="20"/>
      <c r="R749" s="20"/>
      <c r="S749" s="20"/>
      <c r="T749" s="20"/>
      <c r="U749" s="20"/>
      <c r="V749" s="20"/>
      <c r="W749" s="20"/>
      <c r="X749" s="20"/>
      <c r="Y749" s="20"/>
      <c r="Z749" s="20"/>
      <c r="AA749" s="20"/>
    </row>
    <row r="750">
      <c r="A750" s="20"/>
      <c r="B750" s="24"/>
      <c r="C750" s="24"/>
      <c r="D750" s="20"/>
      <c r="E750" s="20"/>
      <c r="F750" s="24"/>
      <c r="G750" s="20"/>
      <c r="H750" s="20"/>
      <c r="I750" s="20"/>
      <c r="J750" s="20"/>
      <c r="K750" s="20"/>
      <c r="L750" s="20"/>
      <c r="M750" s="20"/>
      <c r="N750" s="20"/>
      <c r="O750" s="20"/>
      <c r="P750" s="20"/>
      <c r="Q750" s="20"/>
      <c r="R750" s="20"/>
      <c r="S750" s="20"/>
      <c r="T750" s="20"/>
      <c r="U750" s="20"/>
      <c r="V750" s="20"/>
      <c r="W750" s="20"/>
      <c r="X750" s="20"/>
      <c r="Y750" s="20"/>
      <c r="Z750" s="20"/>
      <c r="AA750" s="20"/>
    </row>
    <row r="751">
      <c r="A751" s="20"/>
      <c r="B751" s="24"/>
      <c r="C751" s="24"/>
      <c r="D751" s="20"/>
      <c r="E751" s="20"/>
      <c r="F751" s="24"/>
      <c r="G751" s="20"/>
      <c r="H751" s="20"/>
      <c r="I751" s="20"/>
      <c r="J751" s="20"/>
      <c r="K751" s="20"/>
      <c r="L751" s="20"/>
      <c r="M751" s="20"/>
      <c r="N751" s="20"/>
      <c r="O751" s="20"/>
      <c r="P751" s="20"/>
      <c r="Q751" s="20"/>
      <c r="R751" s="20"/>
      <c r="S751" s="20"/>
      <c r="T751" s="20"/>
      <c r="U751" s="20"/>
      <c r="V751" s="20"/>
      <c r="W751" s="20"/>
      <c r="X751" s="20"/>
      <c r="Y751" s="20"/>
      <c r="Z751" s="20"/>
      <c r="AA751" s="20"/>
    </row>
    <row r="752">
      <c r="A752" s="20"/>
      <c r="B752" s="24"/>
      <c r="C752" s="24"/>
      <c r="D752" s="20"/>
      <c r="E752" s="20"/>
      <c r="F752" s="24"/>
      <c r="G752" s="20"/>
      <c r="H752" s="20"/>
      <c r="I752" s="20"/>
      <c r="J752" s="20"/>
      <c r="K752" s="20"/>
      <c r="L752" s="20"/>
      <c r="M752" s="20"/>
      <c r="N752" s="20"/>
      <c r="O752" s="20"/>
      <c r="P752" s="20"/>
      <c r="Q752" s="20"/>
      <c r="R752" s="20"/>
      <c r="S752" s="20"/>
      <c r="T752" s="20"/>
      <c r="U752" s="20"/>
      <c r="V752" s="20"/>
      <c r="W752" s="20"/>
      <c r="X752" s="20"/>
      <c r="Y752" s="20"/>
      <c r="Z752" s="20"/>
      <c r="AA752" s="20"/>
    </row>
    <row r="753">
      <c r="A753" s="20"/>
      <c r="B753" s="24"/>
      <c r="C753" s="24"/>
      <c r="D753" s="20"/>
      <c r="E753" s="20"/>
      <c r="F753" s="24"/>
      <c r="G753" s="20"/>
      <c r="H753" s="20"/>
      <c r="I753" s="20"/>
      <c r="J753" s="20"/>
      <c r="K753" s="20"/>
      <c r="L753" s="20"/>
      <c r="M753" s="20"/>
      <c r="N753" s="20"/>
      <c r="O753" s="20"/>
      <c r="P753" s="20"/>
      <c r="Q753" s="20"/>
      <c r="R753" s="20"/>
      <c r="S753" s="20"/>
      <c r="T753" s="20"/>
      <c r="U753" s="20"/>
      <c r="V753" s="20"/>
      <c r="W753" s="20"/>
      <c r="X753" s="20"/>
      <c r="Y753" s="20"/>
      <c r="Z753" s="20"/>
      <c r="AA753" s="20"/>
    </row>
    <row r="754">
      <c r="A754" s="20"/>
      <c r="B754" s="24"/>
      <c r="C754" s="24"/>
      <c r="D754" s="20"/>
      <c r="E754" s="20"/>
      <c r="F754" s="24"/>
      <c r="G754" s="20"/>
      <c r="H754" s="20"/>
      <c r="I754" s="20"/>
      <c r="J754" s="20"/>
      <c r="K754" s="20"/>
      <c r="L754" s="20"/>
      <c r="M754" s="20"/>
      <c r="N754" s="20"/>
      <c r="O754" s="20"/>
      <c r="P754" s="20"/>
      <c r="Q754" s="20"/>
      <c r="R754" s="20"/>
      <c r="S754" s="20"/>
      <c r="T754" s="20"/>
      <c r="U754" s="20"/>
      <c r="V754" s="20"/>
      <c r="W754" s="20"/>
      <c r="X754" s="20"/>
      <c r="Y754" s="20"/>
      <c r="Z754" s="20"/>
      <c r="AA754" s="20"/>
    </row>
    <row r="755">
      <c r="A755" s="20"/>
      <c r="B755" s="24"/>
      <c r="C755" s="24"/>
      <c r="D755" s="20"/>
      <c r="E755" s="20"/>
      <c r="F755" s="24"/>
      <c r="G755" s="20"/>
      <c r="H755" s="20"/>
      <c r="I755" s="20"/>
      <c r="J755" s="20"/>
      <c r="K755" s="20"/>
      <c r="L755" s="20"/>
      <c r="M755" s="20"/>
      <c r="N755" s="20"/>
      <c r="O755" s="20"/>
      <c r="P755" s="20"/>
      <c r="Q755" s="20"/>
      <c r="R755" s="20"/>
      <c r="S755" s="20"/>
      <c r="T755" s="20"/>
      <c r="U755" s="20"/>
      <c r="V755" s="20"/>
      <c r="W755" s="20"/>
      <c r="X755" s="20"/>
      <c r="Y755" s="20"/>
      <c r="Z755" s="20"/>
      <c r="AA755" s="20"/>
    </row>
    <row r="756">
      <c r="A756" s="20"/>
      <c r="B756" s="24"/>
      <c r="C756" s="24"/>
      <c r="D756" s="20"/>
      <c r="E756" s="20"/>
      <c r="F756" s="24"/>
      <c r="G756" s="20"/>
      <c r="H756" s="20"/>
      <c r="I756" s="20"/>
      <c r="J756" s="20"/>
      <c r="K756" s="20"/>
      <c r="L756" s="20"/>
      <c r="M756" s="20"/>
      <c r="N756" s="20"/>
      <c r="O756" s="20"/>
      <c r="P756" s="20"/>
      <c r="Q756" s="20"/>
      <c r="R756" s="20"/>
      <c r="S756" s="20"/>
      <c r="T756" s="20"/>
      <c r="U756" s="20"/>
      <c r="V756" s="20"/>
      <c r="W756" s="20"/>
      <c r="X756" s="20"/>
      <c r="Y756" s="20"/>
      <c r="Z756" s="20"/>
      <c r="AA756" s="20"/>
    </row>
    <row r="757">
      <c r="A757" s="20"/>
      <c r="B757" s="24"/>
      <c r="C757" s="24"/>
      <c r="D757" s="20"/>
      <c r="E757" s="20"/>
      <c r="F757" s="24"/>
      <c r="G757" s="20"/>
      <c r="H757" s="20"/>
      <c r="I757" s="20"/>
      <c r="J757" s="20"/>
      <c r="K757" s="20"/>
      <c r="L757" s="20"/>
      <c r="M757" s="20"/>
      <c r="N757" s="20"/>
      <c r="O757" s="20"/>
      <c r="P757" s="20"/>
      <c r="Q757" s="20"/>
      <c r="R757" s="20"/>
      <c r="S757" s="20"/>
      <c r="T757" s="20"/>
      <c r="U757" s="20"/>
      <c r="V757" s="20"/>
      <c r="W757" s="20"/>
      <c r="X757" s="20"/>
      <c r="Y757" s="20"/>
      <c r="Z757" s="20"/>
      <c r="AA757" s="20"/>
    </row>
    <row r="758">
      <c r="A758" s="20"/>
      <c r="B758" s="24"/>
      <c r="C758" s="24"/>
      <c r="D758" s="20"/>
      <c r="E758" s="20"/>
      <c r="F758" s="24"/>
      <c r="G758" s="20"/>
      <c r="H758" s="20"/>
      <c r="I758" s="20"/>
      <c r="J758" s="20"/>
      <c r="K758" s="20"/>
      <c r="L758" s="20"/>
      <c r="M758" s="20"/>
      <c r="N758" s="20"/>
      <c r="O758" s="20"/>
      <c r="P758" s="20"/>
      <c r="Q758" s="20"/>
      <c r="R758" s="20"/>
      <c r="S758" s="20"/>
      <c r="T758" s="20"/>
      <c r="U758" s="20"/>
      <c r="V758" s="20"/>
      <c r="W758" s="20"/>
      <c r="X758" s="20"/>
      <c r="Y758" s="20"/>
      <c r="Z758" s="20"/>
      <c r="AA758" s="20"/>
    </row>
    <row r="759">
      <c r="A759" s="20"/>
      <c r="B759" s="24"/>
      <c r="C759" s="24"/>
      <c r="D759" s="20"/>
      <c r="E759" s="20"/>
      <c r="F759" s="24"/>
      <c r="G759" s="20"/>
      <c r="H759" s="20"/>
      <c r="I759" s="20"/>
      <c r="J759" s="20"/>
      <c r="K759" s="20"/>
      <c r="L759" s="20"/>
      <c r="M759" s="20"/>
      <c r="N759" s="20"/>
      <c r="O759" s="20"/>
      <c r="P759" s="20"/>
      <c r="Q759" s="20"/>
      <c r="R759" s="20"/>
      <c r="S759" s="20"/>
      <c r="T759" s="20"/>
      <c r="U759" s="20"/>
      <c r="V759" s="20"/>
      <c r="W759" s="20"/>
      <c r="X759" s="20"/>
      <c r="Y759" s="20"/>
      <c r="Z759" s="20"/>
      <c r="AA759" s="20"/>
    </row>
    <row r="760">
      <c r="A760" s="20"/>
      <c r="B760" s="24"/>
      <c r="C760" s="24"/>
      <c r="D760" s="20"/>
      <c r="E760" s="20"/>
      <c r="F760" s="24"/>
      <c r="G760" s="20"/>
      <c r="H760" s="20"/>
      <c r="I760" s="20"/>
      <c r="J760" s="20"/>
      <c r="K760" s="20"/>
      <c r="L760" s="20"/>
      <c r="M760" s="20"/>
      <c r="N760" s="20"/>
      <c r="O760" s="20"/>
      <c r="P760" s="20"/>
      <c r="Q760" s="20"/>
      <c r="R760" s="20"/>
      <c r="S760" s="20"/>
      <c r="T760" s="20"/>
      <c r="U760" s="20"/>
      <c r="V760" s="20"/>
      <c r="W760" s="20"/>
      <c r="X760" s="20"/>
      <c r="Y760" s="20"/>
      <c r="Z760" s="20"/>
      <c r="AA760" s="20"/>
    </row>
    <row r="761">
      <c r="A761" s="20"/>
      <c r="B761" s="24"/>
      <c r="C761" s="24"/>
      <c r="D761" s="20"/>
      <c r="E761" s="20"/>
      <c r="F761" s="24"/>
      <c r="G761" s="20"/>
      <c r="H761" s="20"/>
      <c r="I761" s="20"/>
      <c r="J761" s="20"/>
      <c r="K761" s="20"/>
      <c r="L761" s="20"/>
      <c r="M761" s="20"/>
      <c r="N761" s="20"/>
      <c r="O761" s="20"/>
      <c r="P761" s="20"/>
      <c r="Q761" s="20"/>
      <c r="R761" s="20"/>
      <c r="S761" s="20"/>
      <c r="T761" s="20"/>
      <c r="U761" s="20"/>
      <c r="V761" s="20"/>
      <c r="W761" s="20"/>
      <c r="X761" s="20"/>
      <c r="Y761" s="20"/>
      <c r="Z761" s="20"/>
      <c r="AA761" s="20"/>
    </row>
    <row r="762">
      <c r="A762" s="20"/>
      <c r="B762" s="24"/>
      <c r="C762" s="24"/>
      <c r="D762" s="20"/>
      <c r="E762" s="20"/>
      <c r="F762" s="24"/>
      <c r="G762" s="20"/>
      <c r="H762" s="20"/>
      <c r="I762" s="20"/>
      <c r="J762" s="20"/>
      <c r="K762" s="20"/>
      <c r="L762" s="20"/>
      <c r="M762" s="20"/>
      <c r="N762" s="20"/>
      <c r="O762" s="20"/>
      <c r="P762" s="20"/>
      <c r="Q762" s="20"/>
      <c r="R762" s="20"/>
      <c r="S762" s="20"/>
      <c r="T762" s="20"/>
      <c r="U762" s="20"/>
      <c r="V762" s="20"/>
      <c r="W762" s="20"/>
      <c r="X762" s="20"/>
      <c r="Y762" s="20"/>
      <c r="Z762" s="20"/>
      <c r="AA762" s="20"/>
    </row>
    <row r="763">
      <c r="A763" s="20"/>
      <c r="B763" s="24"/>
      <c r="C763" s="24"/>
      <c r="D763" s="20"/>
      <c r="E763" s="20"/>
      <c r="F763" s="24"/>
      <c r="G763" s="20"/>
      <c r="H763" s="20"/>
      <c r="I763" s="20"/>
      <c r="J763" s="20"/>
      <c r="K763" s="20"/>
      <c r="L763" s="20"/>
      <c r="M763" s="20"/>
      <c r="N763" s="20"/>
      <c r="O763" s="20"/>
      <c r="P763" s="20"/>
      <c r="Q763" s="20"/>
      <c r="R763" s="20"/>
      <c r="S763" s="20"/>
      <c r="T763" s="20"/>
      <c r="U763" s="20"/>
      <c r="V763" s="20"/>
      <c r="W763" s="20"/>
      <c r="X763" s="20"/>
      <c r="Y763" s="20"/>
      <c r="Z763" s="20"/>
      <c r="AA763" s="20"/>
    </row>
    <row r="764">
      <c r="A764" s="20"/>
      <c r="B764" s="24"/>
      <c r="C764" s="24"/>
      <c r="D764" s="20"/>
      <c r="E764" s="20"/>
      <c r="F764" s="24"/>
      <c r="G764" s="20"/>
      <c r="H764" s="20"/>
      <c r="I764" s="20"/>
      <c r="J764" s="20"/>
      <c r="K764" s="20"/>
      <c r="L764" s="20"/>
      <c r="M764" s="20"/>
      <c r="N764" s="20"/>
      <c r="O764" s="20"/>
      <c r="P764" s="20"/>
      <c r="Q764" s="20"/>
      <c r="R764" s="20"/>
      <c r="S764" s="20"/>
      <c r="T764" s="20"/>
      <c r="U764" s="20"/>
      <c r="V764" s="20"/>
      <c r="W764" s="20"/>
      <c r="X764" s="20"/>
      <c r="Y764" s="20"/>
      <c r="Z764" s="20"/>
      <c r="AA764" s="20"/>
    </row>
    <row r="765">
      <c r="A765" s="20"/>
      <c r="B765" s="24"/>
      <c r="C765" s="24"/>
      <c r="D765" s="20"/>
      <c r="E765" s="20"/>
      <c r="F765" s="24"/>
      <c r="G765" s="20"/>
      <c r="H765" s="20"/>
      <c r="I765" s="20"/>
      <c r="J765" s="20"/>
      <c r="K765" s="20"/>
      <c r="L765" s="20"/>
      <c r="M765" s="20"/>
      <c r="N765" s="20"/>
      <c r="O765" s="20"/>
      <c r="P765" s="20"/>
      <c r="Q765" s="20"/>
      <c r="R765" s="20"/>
      <c r="S765" s="20"/>
      <c r="T765" s="20"/>
      <c r="U765" s="20"/>
      <c r="V765" s="20"/>
      <c r="W765" s="20"/>
      <c r="X765" s="20"/>
      <c r="Y765" s="20"/>
      <c r="Z765" s="20"/>
      <c r="AA765" s="20"/>
    </row>
    <row r="766">
      <c r="A766" s="20"/>
      <c r="B766" s="24"/>
      <c r="C766" s="24"/>
      <c r="D766" s="20"/>
      <c r="E766" s="20"/>
      <c r="F766" s="24"/>
      <c r="G766" s="20"/>
      <c r="H766" s="20"/>
      <c r="I766" s="20"/>
      <c r="J766" s="20"/>
      <c r="K766" s="20"/>
      <c r="L766" s="20"/>
      <c r="M766" s="20"/>
      <c r="N766" s="20"/>
      <c r="O766" s="20"/>
      <c r="P766" s="20"/>
      <c r="Q766" s="20"/>
      <c r="R766" s="20"/>
      <c r="S766" s="20"/>
      <c r="T766" s="20"/>
      <c r="U766" s="20"/>
      <c r="V766" s="20"/>
      <c r="W766" s="20"/>
      <c r="X766" s="20"/>
      <c r="Y766" s="20"/>
      <c r="Z766" s="20"/>
      <c r="AA766" s="20"/>
    </row>
    <row r="767">
      <c r="A767" s="20"/>
      <c r="B767" s="24"/>
      <c r="C767" s="24"/>
      <c r="D767" s="20"/>
      <c r="E767" s="20"/>
      <c r="F767" s="24"/>
      <c r="G767" s="20"/>
      <c r="H767" s="20"/>
      <c r="I767" s="20"/>
      <c r="J767" s="20"/>
      <c r="K767" s="20"/>
      <c r="L767" s="20"/>
      <c r="M767" s="20"/>
      <c r="N767" s="20"/>
      <c r="O767" s="20"/>
      <c r="P767" s="20"/>
      <c r="Q767" s="20"/>
      <c r="R767" s="20"/>
      <c r="S767" s="20"/>
      <c r="T767" s="20"/>
      <c r="U767" s="20"/>
      <c r="V767" s="20"/>
      <c r="W767" s="20"/>
      <c r="X767" s="20"/>
      <c r="Y767" s="20"/>
      <c r="Z767" s="20"/>
      <c r="AA767" s="20"/>
    </row>
    <row r="768">
      <c r="A768" s="20"/>
      <c r="B768" s="24"/>
      <c r="C768" s="24"/>
      <c r="D768" s="20"/>
      <c r="E768" s="20"/>
      <c r="F768" s="24"/>
      <c r="G768" s="20"/>
      <c r="H768" s="20"/>
      <c r="I768" s="20"/>
      <c r="J768" s="20"/>
      <c r="K768" s="20"/>
      <c r="L768" s="20"/>
      <c r="M768" s="20"/>
      <c r="N768" s="20"/>
      <c r="O768" s="20"/>
      <c r="P768" s="20"/>
      <c r="Q768" s="20"/>
      <c r="R768" s="20"/>
      <c r="S768" s="20"/>
      <c r="T768" s="20"/>
      <c r="U768" s="20"/>
      <c r="V768" s="20"/>
      <c r="W768" s="20"/>
      <c r="X768" s="20"/>
      <c r="Y768" s="20"/>
      <c r="Z768" s="20"/>
      <c r="AA768" s="20"/>
    </row>
    <row r="769">
      <c r="A769" s="20"/>
      <c r="B769" s="24"/>
      <c r="C769" s="24"/>
      <c r="D769" s="20"/>
      <c r="E769" s="20"/>
      <c r="F769" s="24"/>
      <c r="G769" s="20"/>
      <c r="H769" s="20"/>
      <c r="I769" s="20"/>
      <c r="J769" s="20"/>
      <c r="K769" s="20"/>
      <c r="L769" s="20"/>
      <c r="M769" s="20"/>
      <c r="N769" s="20"/>
      <c r="O769" s="20"/>
      <c r="P769" s="20"/>
      <c r="Q769" s="20"/>
      <c r="R769" s="20"/>
      <c r="S769" s="20"/>
      <c r="T769" s="20"/>
      <c r="U769" s="20"/>
      <c r="V769" s="20"/>
      <c r="W769" s="20"/>
      <c r="X769" s="20"/>
      <c r="Y769" s="20"/>
      <c r="Z769" s="20"/>
      <c r="AA769" s="20"/>
    </row>
    <row r="770">
      <c r="A770" s="20"/>
      <c r="B770" s="24"/>
      <c r="C770" s="24"/>
      <c r="D770" s="20"/>
      <c r="E770" s="20"/>
      <c r="F770" s="24"/>
      <c r="G770" s="20"/>
      <c r="H770" s="20"/>
      <c r="I770" s="20"/>
      <c r="J770" s="20"/>
      <c r="K770" s="20"/>
      <c r="L770" s="20"/>
      <c r="M770" s="20"/>
      <c r="N770" s="20"/>
      <c r="O770" s="20"/>
      <c r="P770" s="20"/>
      <c r="Q770" s="20"/>
      <c r="R770" s="20"/>
      <c r="S770" s="20"/>
      <c r="T770" s="20"/>
      <c r="U770" s="20"/>
      <c r="V770" s="20"/>
      <c r="W770" s="20"/>
      <c r="X770" s="20"/>
      <c r="Y770" s="20"/>
      <c r="Z770" s="20"/>
      <c r="AA770" s="20"/>
    </row>
    <row r="771">
      <c r="A771" s="20"/>
      <c r="B771" s="24"/>
      <c r="C771" s="24"/>
      <c r="D771" s="20"/>
      <c r="E771" s="20"/>
      <c r="F771" s="24"/>
      <c r="G771" s="20"/>
      <c r="H771" s="20"/>
      <c r="I771" s="20"/>
      <c r="J771" s="20"/>
      <c r="K771" s="20"/>
      <c r="L771" s="20"/>
      <c r="M771" s="20"/>
      <c r="N771" s="20"/>
      <c r="O771" s="20"/>
      <c r="P771" s="20"/>
      <c r="Q771" s="20"/>
      <c r="R771" s="20"/>
      <c r="S771" s="20"/>
      <c r="T771" s="20"/>
      <c r="U771" s="20"/>
      <c r="V771" s="20"/>
      <c r="W771" s="20"/>
      <c r="X771" s="20"/>
      <c r="Y771" s="20"/>
      <c r="Z771" s="20"/>
      <c r="AA771" s="20"/>
    </row>
    <row r="772">
      <c r="A772" s="20"/>
      <c r="B772" s="24"/>
      <c r="C772" s="24"/>
      <c r="D772" s="20"/>
      <c r="E772" s="20"/>
      <c r="F772" s="24"/>
      <c r="G772" s="20"/>
      <c r="H772" s="20"/>
      <c r="I772" s="20"/>
      <c r="J772" s="20"/>
      <c r="K772" s="20"/>
      <c r="L772" s="20"/>
      <c r="M772" s="20"/>
      <c r="N772" s="20"/>
      <c r="O772" s="20"/>
      <c r="P772" s="20"/>
      <c r="Q772" s="20"/>
      <c r="R772" s="20"/>
      <c r="S772" s="20"/>
      <c r="T772" s="20"/>
      <c r="U772" s="20"/>
      <c r="V772" s="20"/>
      <c r="W772" s="20"/>
      <c r="X772" s="20"/>
      <c r="Y772" s="20"/>
      <c r="Z772" s="20"/>
      <c r="AA772" s="20"/>
    </row>
    <row r="773">
      <c r="A773" s="20"/>
      <c r="B773" s="24"/>
      <c r="C773" s="24"/>
      <c r="D773" s="20"/>
      <c r="E773" s="20"/>
      <c r="F773" s="24"/>
      <c r="G773" s="20"/>
      <c r="H773" s="20"/>
      <c r="I773" s="20"/>
      <c r="J773" s="20"/>
      <c r="K773" s="20"/>
      <c r="L773" s="20"/>
      <c r="M773" s="20"/>
      <c r="N773" s="20"/>
      <c r="O773" s="20"/>
      <c r="P773" s="20"/>
      <c r="Q773" s="20"/>
      <c r="R773" s="20"/>
      <c r="S773" s="20"/>
      <c r="T773" s="20"/>
      <c r="U773" s="20"/>
      <c r="V773" s="20"/>
      <c r="W773" s="20"/>
      <c r="X773" s="20"/>
      <c r="Y773" s="20"/>
      <c r="Z773" s="20"/>
      <c r="AA773" s="20"/>
    </row>
    <row r="774">
      <c r="A774" s="20"/>
      <c r="B774" s="24"/>
      <c r="C774" s="24"/>
      <c r="D774" s="20"/>
      <c r="E774" s="20"/>
      <c r="F774" s="24"/>
      <c r="G774" s="20"/>
      <c r="H774" s="20"/>
      <c r="I774" s="20"/>
      <c r="J774" s="20"/>
      <c r="K774" s="20"/>
      <c r="L774" s="20"/>
      <c r="M774" s="20"/>
      <c r="N774" s="20"/>
      <c r="O774" s="20"/>
      <c r="P774" s="20"/>
      <c r="Q774" s="20"/>
      <c r="R774" s="20"/>
      <c r="S774" s="20"/>
      <c r="T774" s="20"/>
      <c r="U774" s="20"/>
      <c r="V774" s="20"/>
      <c r="W774" s="20"/>
      <c r="X774" s="20"/>
      <c r="Y774" s="20"/>
      <c r="Z774" s="20"/>
      <c r="AA774" s="20"/>
    </row>
    <row r="775">
      <c r="A775" s="20"/>
      <c r="B775" s="24"/>
      <c r="C775" s="24"/>
      <c r="D775" s="20"/>
      <c r="E775" s="20"/>
      <c r="F775" s="24"/>
      <c r="G775" s="20"/>
      <c r="H775" s="20"/>
      <c r="I775" s="20"/>
      <c r="J775" s="20"/>
      <c r="K775" s="20"/>
      <c r="L775" s="20"/>
      <c r="M775" s="20"/>
      <c r="N775" s="20"/>
      <c r="O775" s="20"/>
      <c r="P775" s="20"/>
      <c r="Q775" s="20"/>
      <c r="R775" s="20"/>
      <c r="S775" s="20"/>
      <c r="T775" s="20"/>
      <c r="U775" s="20"/>
      <c r="V775" s="20"/>
      <c r="W775" s="20"/>
      <c r="X775" s="20"/>
      <c r="Y775" s="20"/>
      <c r="Z775" s="20"/>
      <c r="AA775" s="20"/>
    </row>
    <row r="776">
      <c r="A776" s="20"/>
      <c r="B776" s="24"/>
      <c r="C776" s="24"/>
      <c r="D776" s="20"/>
      <c r="E776" s="20"/>
      <c r="F776" s="24"/>
      <c r="G776" s="20"/>
      <c r="H776" s="20"/>
      <c r="I776" s="20"/>
      <c r="J776" s="20"/>
      <c r="K776" s="20"/>
      <c r="L776" s="20"/>
      <c r="M776" s="20"/>
      <c r="N776" s="20"/>
      <c r="O776" s="20"/>
      <c r="P776" s="20"/>
      <c r="Q776" s="20"/>
      <c r="R776" s="20"/>
      <c r="S776" s="20"/>
      <c r="T776" s="20"/>
      <c r="U776" s="20"/>
      <c r="V776" s="20"/>
      <c r="W776" s="20"/>
      <c r="X776" s="20"/>
      <c r="Y776" s="20"/>
      <c r="Z776" s="20"/>
      <c r="AA776" s="20"/>
    </row>
    <row r="777">
      <c r="A777" s="20"/>
      <c r="B777" s="24"/>
      <c r="C777" s="24"/>
      <c r="D777" s="20"/>
      <c r="E777" s="20"/>
      <c r="F777" s="24"/>
      <c r="G777" s="20"/>
      <c r="H777" s="20"/>
      <c r="I777" s="20"/>
      <c r="J777" s="20"/>
      <c r="K777" s="20"/>
      <c r="L777" s="20"/>
      <c r="M777" s="20"/>
      <c r="N777" s="20"/>
      <c r="O777" s="20"/>
      <c r="P777" s="20"/>
      <c r="Q777" s="20"/>
      <c r="R777" s="20"/>
      <c r="S777" s="20"/>
      <c r="T777" s="20"/>
      <c r="U777" s="20"/>
      <c r="V777" s="20"/>
      <c r="W777" s="20"/>
      <c r="X777" s="20"/>
      <c r="Y777" s="20"/>
      <c r="Z777" s="20"/>
      <c r="AA777" s="20"/>
    </row>
    <row r="778">
      <c r="A778" s="20"/>
      <c r="B778" s="24"/>
      <c r="C778" s="24"/>
      <c r="D778" s="20"/>
      <c r="E778" s="20"/>
      <c r="F778" s="24"/>
      <c r="G778" s="20"/>
      <c r="H778" s="20"/>
      <c r="I778" s="20"/>
      <c r="J778" s="20"/>
      <c r="K778" s="20"/>
      <c r="L778" s="20"/>
      <c r="M778" s="20"/>
      <c r="N778" s="20"/>
      <c r="O778" s="20"/>
      <c r="P778" s="20"/>
      <c r="Q778" s="20"/>
      <c r="R778" s="20"/>
      <c r="S778" s="20"/>
      <c r="T778" s="20"/>
      <c r="U778" s="20"/>
      <c r="V778" s="20"/>
      <c r="W778" s="20"/>
      <c r="X778" s="20"/>
      <c r="Y778" s="20"/>
      <c r="Z778" s="20"/>
      <c r="AA778" s="20"/>
    </row>
    <row r="779">
      <c r="A779" s="20"/>
      <c r="B779" s="24"/>
      <c r="C779" s="24"/>
      <c r="D779" s="20"/>
      <c r="E779" s="20"/>
      <c r="F779" s="24"/>
      <c r="G779" s="20"/>
      <c r="H779" s="20"/>
      <c r="I779" s="20"/>
      <c r="J779" s="20"/>
      <c r="K779" s="20"/>
      <c r="L779" s="20"/>
      <c r="M779" s="20"/>
      <c r="N779" s="20"/>
      <c r="O779" s="20"/>
      <c r="P779" s="20"/>
      <c r="Q779" s="20"/>
      <c r="R779" s="20"/>
      <c r="S779" s="20"/>
      <c r="T779" s="20"/>
      <c r="U779" s="20"/>
      <c r="V779" s="20"/>
      <c r="W779" s="20"/>
      <c r="X779" s="20"/>
      <c r="Y779" s="20"/>
      <c r="Z779" s="20"/>
      <c r="AA779" s="20"/>
    </row>
    <row r="780">
      <c r="A780" s="20"/>
      <c r="B780" s="24"/>
      <c r="C780" s="24"/>
      <c r="D780" s="20"/>
      <c r="E780" s="20"/>
      <c r="F780" s="24"/>
      <c r="G780" s="20"/>
      <c r="H780" s="20"/>
      <c r="I780" s="20"/>
      <c r="J780" s="20"/>
      <c r="K780" s="20"/>
      <c r="L780" s="20"/>
      <c r="M780" s="20"/>
      <c r="N780" s="20"/>
      <c r="O780" s="20"/>
      <c r="P780" s="20"/>
      <c r="Q780" s="20"/>
      <c r="R780" s="20"/>
      <c r="S780" s="20"/>
      <c r="T780" s="20"/>
      <c r="U780" s="20"/>
      <c r="V780" s="20"/>
      <c r="W780" s="20"/>
      <c r="X780" s="20"/>
      <c r="Y780" s="20"/>
      <c r="Z780" s="20"/>
      <c r="AA780" s="20"/>
    </row>
    <row r="781">
      <c r="A781" s="20"/>
      <c r="B781" s="24"/>
      <c r="C781" s="24"/>
      <c r="D781" s="20"/>
      <c r="E781" s="20"/>
      <c r="F781" s="24"/>
      <c r="G781" s="20"/>
      <c r="H781" s="20"/>
      <c r="I781" s="20"/>
      <c r="J781" s="20"/>
      <c r="K781" s="20"/>
      <c r="L781" s="20"/>
      <c r="M781" s="20"/>
      <c r="N781" s="20"/>
      <c r="O781" s="20"/>
      <c r="P781" s="20"/>
      <c r="Q781" s="20"/>
      <c r="R781" s="20"/>
      <c r="S781" s="20"/>
      <c r="T781" s="20"/>
      <c r="U781" s="20"/>
      <c r="V781" s="20"/>
      <c r="W781" s="20"/>
      <c r="X781" s="20"/>
      <c r="Y781" s="20"/>
      <c r="Z781" s="20"/>
      <c r="AA781" s="20"/>
    </row>
    <row r="782">
      <c r="A782" s="20"/>
      <c r="B782" s="24"/>
      <c r="C782" s="24"/>
      <c r="D782" s="20"/>
      <c r="E782" s="20"/>
      <c r="F782" s="24"/>
      <c r="G782" s="20"/>
      <c r="H782" s="20"/>
      <c r="I782" s="20"/>
      <c r="J782" s="20"/>
      <c r="K782" s="20"/>
      <c r="L782" s="20"/>
      <c r="M782" s="20"/>
      <c r="N782" s="20"/>
      <c r="O782" s="20"/>
      <c r="P782" s="20"/>
      <c r="Q782" s="20"/>
      <c r="R782" s="20"/>
      <c r="S782" s="20"/>
      <c r="T782" s="20"/>
      <c r="U782" s="20"/>
      <c r="V782" s="20"/>
      <c r="W782" s="20"/>
      <c r="X782" s="20"/>
      <c r="Y782" s="20"/>
      <c r="Z782" s="20"/>
      <c r="AA782" s="20"/>
    </row>
    <row r="783">
      <c r="A783" s="20"/>
      <c r="B783" s="24"/>
      <c r="C783" s="24"/>
      <c r="D783" s="20"/>
      <c r="E783" s="20"/>
      <c r="F783" s="24"/>
      <c r="G783" s="20"/>
      <c r="H783" s="20"/>
      <c r="I783" s="20"/>
      <c r="J783" s="20"/>
      <c r="K783" s="20"/>
      <c r="L783" s="20"/>
      <c r="M783" s="20"/>
      <c r="N783" s="20"/>
      <c r="O783" s="20"/>
      <c r="P783" s="20"/>
      <c r="Q783" s="20"/>
      <c r="R783" s="20"/>
      <c r="S783" s="20"/>
      <c r="T783" s="20"/>
      <c r="U783" s="20"/>
      <c r="V783" s="20"/>
      <c r="W783" s="20"/>
      <c r="X783" s="20"/>
      <c r="Y783" s="20"/>
      <c r="Z783" s="20"/>
      <c r="AA783" s="20"/>
    </row>
    <row r="784">
      <c r="A784" s="20"/>
      <c r="B784" s="24"/>
      <c r="C784" s="24"/>
      <c r="D784" s="20"/>
      <c r="E784" s="20"/>
      <c r="F784" s="24"/>
      <c r="G784" s="20"/>
      <c r="H784" s="20"/>
      <c r="I784" s="20"/>
      <c r="J784" s="20"/>
      <c r="K784" s="20"/>
      <c r="L784" s="20"/>
      <c r="M784" s="20"/>
      <c r="N784" s="20"/>
      <c r="O784" s="20"/>
      <c r="P784" s="20"/>
      <c r="Q784" s="20"/>
      <c r="R784" s="20"/>
      <c r="S784" s="20"/>
      <c r="T784" s="20"/>
      <c r="U784" s="20"/>
      <c r="V784" s="20"/>
      <c r="W784" s="20"/>
      <c r="X784" s="20"/>
      <c r="Y784" s="20"/>
      <c r="Z784" s="20"/>
      <c r="AA784" s="20"/>
    </row>
    <row r="785">
      <c r="A785" s="20"/>
      <c r="B785" s="24"/>
      <c r="C785" s="24"/>
      <c r="D785" s="20"/>
      <c r="E785" s="20"/>
      <c r="F785" s="24"/>
      <c r="G785" s="20"/>
      <c r="H785" s="20"/>
      <c r="I785" s="20"/>
      <c r="J785" s="20"/>
      <c r="K785" s="20"/>
      <c r="L785" s="20"/>
      <c r="M785" s="20"/>
      <c r="N785" s="20"/>
      <c r="O785" s="20"/>
      <c r="P785" s="20"/>
      <c r="Q785" s="20"/>
      <c r="R785" s="20"/>
      <c r="S785" s="20"/>
      <c r="T785" s="20"/>
      <c r="U785" s="20"/>
      <c r="V785" s="20"/>
      <c r="W785" s="20"/>
      <c r="X785" s="20"/>
      <c r="Y785" s="20"/>
      <c r="Z785" s="20"/>
      <c r="AA785" s="20"/>
    </row>
    <row r="786">
      <c r="A786" s="20"/>
      <c r="B786" s="24"/>
      <c r="C786" s="24"/>
      <c r="D786" s="20"/>
      <c r="E786" s="20"/>
      <c r="F786" s="24"/>
      <c r="G786" s="20"/>
      <c r="H786" s="20"/>
      <c r="I786" s="20"/>
      <c r="J786" s="20"/>
      <c r="K786" s="20"/>
      <c r="L786" s="20"/>
      <c r="M786" s="20"/>
      <c r="N786" s="20"/>
      <c r="O786" s="20"/>
      <c r="P786" s="20"/>
      <c r="Q786" s="20"/>
      <c r="R786" s="20"/>
      <c r="S786" s="20"/>
      <c r="T786" s="20"/>
      <c r="U786" s="20"/>
      <c r="V786" s="20"/>
      <c r="W786" s="20"/>
      <c r="X786" s="20"/>
      <c r="Y786" s="20"/>
      <c r="Z786" s="20"/>
      <c r="AA786" s="20"/>
    </row>
    <row r="787">
      <c r="A787" s="20"/>
      <c r="B787" s="24"/>
      <c r="C787" s="24"/>
      <c r="D787" s="20"/>
      <c r="E787" s="20"/>
      <c r="F787" s="24"/>
      <c r="G787" s="20"/>
      <c r="H787" s="20"/>
      <c r="I787" s="20"/>
      <c r="J787" s="20"/>
      <c r="K787" s="20"/>
      <c r="L787" s="20"/>
      <c r="M787" s="20"/>
      <c r="N787" s="20"/>
      <c r="O787" s="20"/>
      <c r="P787" s="20"/>
      <c r="Q787" s="20"/>
      <c r="R787" s="20"/>
      <c r="S787" s="20"/>
      <c r="T787" s="20"/>
      <c r="U787" s="20"/>
      <c r="V787" s="20"/>
      <c r="W787" s="20"/>
      <c r="X787" s="20"/>
      <c r="Y787" s="20"/>
      <c r="Z787" s="20"/>
      <c r="AA787" s="20"/>
    </row>
    <row r="788">
      <c r="A788" s="20"/>
      <c r="B788" s="24"/>
      <c r="C788" s="24"/>
      <c r="D788" s="20"/>
      <c r="E788" s="20"/>
      <c r="F788" s="24"/>
      <c r="G788" s="20"/>
      <c r="H788" s="20"/>
      <c r="I788" s="20"/>
      <c r="J788" s="20"/>
      <c r="K788" s="20"/>
      <c r="L788" s="20"/>
      <c r="M788" s="20"/>
      <c r="N788" s="20"/>
      <c r="O788" s="20"/>
      <c r="P788" s="20"/>
      <c r="Q788" s="20"/>
      <c r="R788" s="20"/>
      <c r="S788" s="20"/>
      <c r="T788" s="20"/>
      <c r="U788" s="20"/>
      <c r="V788" s="20"/>
      <c r="W788" s="20"/>
      <c r="X788" s="20"/>
      <c r="Y788" s="20"/>
      <c r="Z788" s="20"/>
      <c r="AA788" s="20"/>
    </row>
    <row r="789">
      <c r="A789" s="20"/>
      <c r="B789" s="24"/>
      <c r="C789" s="24"/>
      <c r="D789" s="20"/>
      <c r="E789" s="20"/>
      <c r="F789" s="24"/>
      <c r="G789" s="20"/>
      <c r="H789" s="20"/>
      <c r="I789" s="20"/>
      <c r="J789" s="20"/>
      <c r="K789" s="20"/>
      <c r="L789" s="20"/>
      <c r="M789" s="20"/>
      <c r="N789" s="20"/>
      <c r="O789" s="20"/>
      <c r="P789" s="20"/>
      <c r="Q789" s="20"/>
      <c r="R789" s="20"/>
      <c r="S789" s="20"/>
      <c r="T789" s="20"/>
      <c r="U789" s="20"/>
      <c r="V789" s="20"/>
      <c r="W789" s="20"/>
      <c r="X789" s="20"/>
      <c r="Y789" s="20"/>
      <c r="Z789" s="20"/>
      <c r="AA789" s="20"/>
    </row>
    <row r="790">
      <c r="A790" s="20"/>
      <c r="B790" s="24"/>
      <c r="C790" s="24"/>
      <c r="D790" s="20"/>
      <c r="E790" s="20"/>
      <c r="F790" s="24"/>
      <c r="G790" s="20"/>
      <c r="H790" s="20"/>
      <c r="I790" s="20"/>
      <c r="J790" s="20"/>
      <c r="K790" s="20"/>
      <c r="L790" s="20"/>
      <c r="M790" s="20"/>
      <c r="N790" s="20"/>
      <c r="O790" s="20"/>
      <c r="P790" s="20"/>
      <c r="Q790" s="20"/>
      <c r="R790" s="20"/>
      <c r="S790" s="20"/>
      <c r="T790" s="20"/>
      <c r="U790" s="20"/>
      <c r="V790" s="20"/>
      <c r="W790" s="20"/>
      <c r="X790" s="20"/>
      <c r="Y790" s="20"/>
      <c r="Z790" s="20"/>
      <c r="AA790" s="20"/>
    </row>
    <row r="791">
      <c r="A791" s="20"/>
      <c r="B791" s="24"/>
      <c r="C791" s="24"/>
      <c r="D791" s="20"/>
      <c r="E791" s="20"/>
      <c r="F791" s="24"/>
      <c r="G791" s="20"/>
      <c r="H791" s="20"/>
      <c r="I791" s="20"/>
      <c r="J791" s="20"/>
      <c r="K791" s="20"/>
      <c r="L791" s="20"/>
      <c r="M791" s="20"/>
      <c r="N791" s="20"/>
      <c r="O791" s="20"/>
      <c r="P791" s="20"/>
      <c r="Q791" s="20"/>
      <c r="R791" s="20"/>
      <c r="S791" s="20"/>
      <c r="T791" s="20"/>
      <c r="U791" s="20"/>
      <c r="V791" s="20"/>
      <c r="W791" s="20"/>
      <c r="X791" s="20"/>
      <c r="Y791" s="20"/>
      <c r="Z791" s="20"/>
      <c r="AA791" s="20"/>
    </row>
    <row r="792">
      <c r="A792" s="20"/>
      <c r="B792" s="24"/>
      <c r="C792" s="24"/>
      <c r="D792" s="20"/>
      <c r="E792" s="20"/>
      <c r="F792" s="24"/>
      <c r="G792" s="20"/>
      <c r="H792" s="20"/>
      <c r="I792" s="20"/>
      <c r="J792" s="20"/>
      <c r="K792" s="20"/>
      <c r="L792" s="20"/>
      <c r="M792" s="20"/>
      <c r="N792" s="20"/>
      <c r="O792" s="20"/>
      <c r="P792" s="20"/>
      <c r="Q792" s="20"/>
      <c r="R792" s="20"/>
      <c r="S792" s="20"/>
      <c r="T792" s="20"/>
      <c r="U792" s="20"/>
      <c r="V792" s="20"/>
      <c r="W792" s="20"/>
      <c r="X792" s="20"/>
      <c r="Y792" s="20"/>
      <c r="Z792" s="20"/>
      <c r="AA792" s="20"/>
    </row>
    <row r="793">
      <c r="A793" s="20"/>
      <c r="B793" s="24"/>
      <c r="C793" s="24"/>
      <c r="D793" s="20"/>
      <c r="E793" s="20"/>
      <c r="F793" s="24"/>
      <c r="G793" s="20"/>
      <c r="H793" s="20"/>
      <c r="I793" s="20"/>
      <c r="J793" s="20"/>
      <c r="K793" s="20"/>
      <c r="L793" s="20"/>
      <c r="M793" s="20"/>
      <c r="N793" s="20"/>
      <c r="O793" s="20"/>
      <c r="P793" s="20"/>
      <c r="Q793" s="20"/>
      <c r="R793" s="20"/>
      <c r="S793" s="20"/>
      <c r="T793" s="20"/>
      <c r="U793" s="20"/>
      <c r="V793" s="20"/>
      <c r="W793" s="20"/>
      <c r="X793" s="20"/>
      <c r="Y793" s="20"/>
      <c r="Z793" s="20"/>
      <c r="AA793" s="20"/>
    </row>
    <row r="794">
      <c r="A794" s="20"/>
      <c r="B794" s="24"/>
      <c r="C794" s="24"/>
      <c r="D794" s="20"/>
      <c r="E794" s="20"/>
      <c r="F794" s="24"/>
      <c r="G794" s="20"/>
      <c r="H794" s="20"/>
      <c r="I794" s="20"/>
      <c r="J794" s="20"/>
      <c r="K794" s="20"/>
      <c r="L794" s="20"/>
      <c r="M794" s="20"/>
      <c r="N794" s="20"/>
      <c r="O794" s="20"/>
      <c r="P794" s="20"/>
      <c r="Q794" s="20"/>
      <c r="R794" s="20"/>
      <c r="S794" s="20"/>
      <c r="T794" s="20"/>
      <c r="U794" s="20"/>
      <c r="V794" s="20"/>
      <c r="W794" s="20"/>
      <c r="X794" s="20"/>
      <c r="Y794" s="20"/>
      <c r="Z794" s="20"/>
      <c r="AA794" s="20"/>
    </row>
    <row r="795">
      <c r="A795" s="20"/>
      <c r="B795" s="24"/>
      <c r="C795" s="24"/>
      <c r="D795" s="20"/>
      <c r="E795" s="20"/>
      <c r="F795" s="24"/>
      <c r="G795" s="20"/>
      <c r="H795" s="20"/>
      <c r="I795" s="20"/>
      <c r="J795" s="20"/>
      <c r="K795" s="20"/>
      <c r="L795" s="20"/>
      <c r="M795" s="20"/>
      <c r="N795" s="20"/>
      <c r="O795" s="20"/>
      <c r="P795" s="20"/>
      <c r="Q795" s="20"/>
      <c r="R795" s="20"/>
      <c r="S795" s="20"/>
      <c r="T795" s="20"/>
      <c r="U795" s="20"/>
      <c r="V795" s="20"/>
      <c r="W795" s="20"/>
      <c r="X795" s="20"/>
      <c r="Y795" s="20"/>
      <c r="Z795" s="20"/>
      <c r="AA795" s="20"/>
    </row>
    <row r="796">
      <c r="A796" s="20"/>
      <c r="B796" s="24"/>
      <c r="C796" s="24"/>
      <c r="D796" s="20"/>
      <c r="E796" s="20"/>
      <c r="F796" s="24"/>
      <c r="G796" s="20"/>
      <c r="H796" s="20"/>
      <c r="I796" s="20"/>
      <c r="J796" s="20"/>
      <c r="K796" s="20"/>
      <c r="L796" s="20"/>
      <c r="M796" s="20"/>
      <c r="N796" s="20"/>
      <c r="O796" s="20"/>
      <c r="P796" s="20"/>
      <c r="Q796" s="20"/>
      <c r="R796" s="20"/>
      <c r="S796" s="20"/>
      <c r="T796" s="20"/>
      <c r="U796" s="20"/>
      <c r="V796" s="20"/>
      <c r="W796" s="20"/>
      <c r="X796" s="20"/>
      <c r="Y796" s="20"/>
      <c r="Z796" s="20"/>
      <c r="AA796" s="20"/>
    </row>
    <row r="797">
      <c r="A797" s="20"/>
      <c r="B797" s="24"/>
      <c r="C797" s="24"/>
      <c r="D797" s="20"/>
      <c r="E797" s="20"/>
      <c r="F797" s="24"/>
      <c r="G797" s="20"/>
      <c r="H797" s="20"/>
      <c r="I797" s="20"/>
      <c r="J797" s="20"/>
      <c r="K797" s="20"/>
      <c r="L797" s="20"/>
      <c r="M797" s="20"/>
      <c r="N797" s="20"/>
      <c r="O797" s="20"/>
      <c r="P797" s="20"/>
      <c r="Q797" s="20"/>
      <c r="R797" s="20"/>
      <c r="S797" s="20"/>
      <c r="T797" s="20"/>
      <c r="U797" s="20"/>
      <c r="V797" s="20"/>
      <c r="W797" s="20"/>
      <c r="X797" s="20"/>
      <c r="Y797" s="20"/>
      <c r="Z797" s="20"/>
      <c r="AA797" s="20"/>
    </row>
    <row r="798">
      <c r="A798" s="20"/>
      <c r="B798" s="24"/>
      <c r="C798" s="24"/>
      <c r="D798" s="20"/>
      <c r="E798" s="20"/>
      <c r="F798" s="24"/>
      <c r="G798" s="20"/>
      <c r="H798" s="20"/>
      <c r="I798" s="20"/>
      <c r="J798" s="20"/>
      <c r="K798" s="20"/>
      <c r="L798" s="20"/>
      <c r="M798" s="20"/>
      <c r="N798" s="20"/>
      <c r="O798" s="20"/>
      <c r="P798" s="20"/>
      <c r="Q798" s="20"/>
      <c r="R798" s="20"/>
      <c r="S798" s="20"/>
      <c r="T798" s="20"/>
      <c r="U798" s="20"/>
      <c r="V798" s="20"/>
      <c r="W798" s="20"/>
      <c r="X798" s="20"/>
      <c r="Y798" s="20"/>
      <c r="Z798" s="20"/>
      <c r="AA798" s="20"/>
    </row>
    <row r="799">
      <c r="A799" s="20"/>
      <c r="B799" s="24"/>
      <c r="C799" s="24"/>
      <c r="D799" s="20"/>
      <c r="E799" s="20"/>
      <c r="F799" s="24"/>
      <c r="G799" s="20"/>
      <c r="H799" s="20"/>
      <c r="I799" s="20"/>
      <c r="J799" s="20"/>
      <c r="K799" s="20"/>
      <c r="L799" s="20"/>
      <c r="M799" s="20"/>
      <c r="N799" s="20"/>
      <c r="O799" s="20"/>
      <c r="P799" s="20"/>
      <c r="Q799" s="20"/>
      <c r="R799" s="20"/>
      <c r="S799" s="20"/>
      <c r="T799" s="20"/>
      <c r="U799" s="20"/>
      <c r="V799" s="20"/>
      <c r="W799" s="20"/>
      <c r="X799" s="20"/>
      <c r="Y799" s="20"/>
      <c r="Z799" s="20"/>
      <c r="AA799" s="20"/>
    </row>
    <row r="800">
      <c r="A800" s="20"/>
      <c r="B800" s="24"/>
      <c r="C800" s="24"/>
      <c r="D800" s="20"/>
      <c r="E800" s="20"/>
      <c r="F800" s="24"/>
      <c r="G800" s="20"/>
      <c r="H800" s="20"/>
      <c r="I800" s="20"/>
      <c r="J800" s="20"/>
      <c r="K800" s="20"/>
      <c r="L800" s="20"/>
      <c r="M800" s="20"/>
      <c r="N800" s="20"/>
      <c r="O800" s="20"/>
      <c r="P800" s="20"/>
      <c r="Q800" s="20"/>
      <c r="R800" s="20"/>
      <c r="S800" s="20"/>
      <c r="T800" s="20"/>
      <c r="U800" s="20"/>
      <c r="V800" s="20"/>
      <c r="W800" s="20"/>
      <c r="X800" s="20"/>
      <c r="Y800" s="20"/>
      <c r="Z800" s="20"/>
      <c r="AA800" s="20"/>
    </row>
    <row r="801">
      <c r="A801" s="20"/>
      <c r="B801" s="24"/>
      <c r="C801" s="24"/>
      <c r="D801" s="20"/>
      <c r="E801" s="20"/>
      <c r="F801" s="24"/>
      <c r="G801" s="20"/>
      <c r="H801" s="20"/>
      <c r="I801" s="20"/>
      <c r="J801" s="20"/>
      <c r="K801" s="20"/>
      <c r="L801" s="20"/>
      <c r="M801" s="20"/>
      <c r="N801" s="20"/>
      <c r="O801" s="20"/>
      <c r="P801" s="20"/>
      <c r="Q801" s="20"/>
      <c r="R801" s="20"/>
      <c r="S801" s="20"/>
      <c r="T801" s="20"/>
      <c r="U801" s="20"/>
      <c r="V801" s="20"/>
      <c r="W801" s="20"/>
      <c r="X801" s="20"/>
      <c r="Y801" s="20"/>
      <c r="Z801" s="20"/>
      <c r="AA801" s="20"/>
    </row>
    <row r="802">
      <c r="A802" s="20"/>
      <c r="B802" s="24"/>
      <c r="C802" s="24"/>
      <c r="D802" s="20"/>
      <c r="E802" s="20"/>
      <c r="F802" s="24"/>
      <c r="G802" s="20"/>
      <c r="H802" s="20"/>
      <c r="I802" s="20"/>
      <c r="J802" s="20"/>
      <c r="K802" s="20"/>
      <c r="L802" s="20"/>
      <c r="M802" s="20"/>
      <c r="N802" s="20"/>
      <c r="O802" s="20"/>
      <c r="P802" s="20"/>
      <c r="Q802" s="20"/>
      <c r="R802" s="20"/>
      <c r="S802" s="20"/>
      <c r="T802" s="20"/>
      <c r="U802" s="20"/>
      <c r="V802" s="20"/>
      <c r="W802" s="20"/>
      <c r="X802" s="20"/>
      <c r="Y802" s="20"/>
      <c r="Z802" s="20"/>
      <c r="AA802" s="20"/>
    </row>
    <row r="803">
      <c r="A803" s="20"/>
      <c r="B803" s="24"/>
      <c r="C803" s="24"/>
      <c r="D803" s="20"/>
      <c r="E803" s="20"/>
      <c r="F803" s="24"/>
      <c r="G803" s="20"/>
      <c r="H803" s="20"/>
      <c r="I803" s="20"/>
      <c r="J803" s="20"/>
      <c r="K803" s="20"/>
      <c r="L803" s="20"/>
      <c r="M803" s="20"/>
      <c r="N803" s="20"/>
      <c r="O803" s="20"/>
      <c r="P803" s="20"/>
      <c r="Q803" s="20"/>
      <c r="R803" s="20"/>
      <c r="S803" s="20"/>
      <c r="T803" s="20"/>
      <c r="U803" s="20"/>
      <c r="V803" s="20"/>
      <c r="W803" s="20"/>
      <c r="X803" s="20"/>
      <c r="Y803" s="20"/>
      <c r="Z803" s="20"/>
      <c r="AA803" s="20"/>
    </row>
    <row r="804">
      <c r="A804" s="20"/>
      <c r="B804" s="24"/>
      <c r="C804" s="24"/>
      <c r="D804" s="20"/>
      <c r="E804" s="20"/>
      <c r="F804" s="24"/>
      <c r="G804" s="20"/>
      <c r="H804" s="20"/>
      <c r="I804" s="20"/>
      <c r="J804" s="20"/>
      <c r="K804" s="20"/>
      <c r="L804" s="20"/>
      <c r="M804" s="20"/>
      <c r="N804" s="20"/>
      <c r="O804" s="20"/>
      <c r="P804" s="20"/>
      <c r="Q804" s="20"/>
      <c r="R804" s="20"/>
      <c r="S804" s="20"/>
      <c r="T804" s="20"/>
      <c r="U804" s="20"/>
      <c r="V804" s="20"/>
      <c r="W804" s="20"/>
      <c r="X804" s="20"/>
      <c r="Y804" s="20"/>
      <c r="Z804" s="20"/>
      <c r="AA804" s="20"/>
    </row>
    <row r="805">
      <c r="A805" s="20"/>
      <c r="B805" s="24"/>
      <c r="C805" s="24"/>
      <c r="D805" s="20"/>
      <c r="E805" s="20"/>
      <c r="F805" s="24"/>
      <c r="G805" s="20"/>
      <c r="H805" s="20"/>
      <c r="I805" s="20"/>
      <c r="J805" s="20"/>
      <c r="K805" s="20"/>
      <c r="L805" s="20"/>
      <c r="M805" s="20"/>
      <c r="N805" s="20"/>
      <c r="O805" s="20"/>
      <c r="P805" s="20"/>
      <c r="Q805" s="20"/>
      <c r="R805" s="20"/>
      <c r="S805" s="20"/>
      <c r="T805" s="20"/>
      <c r="U805" s="20"/>
      <c r="V805" s="20"/>
      <c r="W805" s="20"/>
      <c r="X805" s="20"/>
      <c r="Y805" s="20"/>
      <c r="Z805" s="20"/>
      <c r="AA805" s="20"/>
    </row>
    <row r="806">
      <c r="A806" s="20"/>
      <c r="B806" s="24"/>
      <c r="C806" s="24"/>
      <c r="D806" s="20"/>
      <c r="E806" s="20"/>
      <c r="F806" s="24"/>
      <c r="G806" s="20"/>
      <c r="H806" s="20"/>
      <c r="I806" s="20"/>
      <c r="J806" s="20"/>
      <c r="K806" s="20"/>
      <c r="L806" s="20"/>
      <c r="M806" s="20"/>
      <c r="N806" s="20"/>
      <c r="O806" s="20"/>
      <c r="P806" s="20"/>
      <c r="Q806" s="20"/>
      <c r="R806" s="20"/>
      <c r="S806" s="20"/>
      <c r="T806" s="20"/>
      <c r="U806" s="20"/>
      <c r="V806" s="20"/>
      <c r="W806" s="20"/>
      <c r="X806" s="20"/>
      <c r="Y806" s="20"/>
      <c r="Z806" s="20"/>
      <c r="AA806" s="20"/>
    </row>
    <row r="807">
      <c r="A807" s="20"/>
      <c r="B807" s="24"/>
      <c r="C807" s="24"/>
      <c r="D807" s="20"/>
      <c r="E807" s="20"/>
      <c r="F807" s="24"/>
      <c r="G807" s="20"/>
      <c r="H807" s="20"/>
      <c r="I807" s="20"/>
      <c r="J807" s="20"/>
      <c r="K807" s="20"/>
      <c r="L807" s="20"/>
      <c r="M807" s="20"/>
      <c r="N807" s="20"/>
      <c r="O807" s="20"/>
      <c r="P807" s="20"/>
      <c r="Q807" s="20"/>
      <c r="R807" s="20"/>
      <c r="S807" s="20"/>
      <c r="T807" s="20"/>
      <c r="U807" s="20"/>
      <c r="V807" s="20"/>
      <c r="W807" s="20"/>
      <c r="X807" s="20"/>
      <c r="Y807" s="20"/>
      <c r="Z807" s="20"/>
      <c r="AA807" s="20"/>
    </row>
    <row r="808">
      <c r="A808" s="20"/>
      <c r="B808" s="24"/>
      <c r="C808" s="24"/>
      <c r="D808" s="20"/>
      <c r="E808" s="20"/>
      <c r="F808" s="24"/>
      <c r="G808" s="20"/>
      <c r="H808" s="20"/>
      <c r="I808" s="20"/>
      <c r="J808" s="20"/>
      <c r="K808" s="20"/>
      <c r="L808" s="20"/>
      <c r="M808" s="20"/>
      <c r="N808" s="20"/>
      <c r="O808" s="20"/>
      <c r="P808" s="20"/>
      <c r="Q808" s="20"/>
      <c r="R808" s="20"/>
      <c r="S808" s="20"/>
      <c r="T808" s="20"/>
      <c r="U808" s="20"/>
      <c r="V808" s="20"/>
      <c r="W808" s="20"/>
      <c r="X808" s="20"/>
      <c r="Y808" s="20"/>
      <c r="Z808" s="20"/>
      <c r="AA808" s="20"/>
    </row>
    <row r="809">
      <c r="A809" s="20"/>
      <c r="B809" s="24"/>
      <c r="C809" s="24"/>
      <c r="D809" s="20"/>
      <c r="E809" s="20"/>
      <c r="F809" s="24"/>
      <c r="G809" s="20"/>
      <c r="H809" s="20"/>
      <c r="I809" s="20"/>
      <c r="J809" s="20"/>
      <c r="K809" s="20"/>
      <c r="L809" s="20"/>
      <c r="M809" s="20"/>
      <c r="N809" s="20"/>
      <c r="O809" s="20"/>
      <c r="P809" s="20"/>
      <c r="Q809" s="20"/>
      <c r="R809" s="20"/>
      <c r="S809" s="20"/>
      <c r="T809" s="20"/>
      <c r="U809" s="20"/>
      <c r="V809" s="20"/>
      <c r="W809" s="20"/>
      <c r="X809" s="20"/>
      <c r="Y809" s="20"/>
      <c r="Z809" s="20"/>
      <c r="AA809" s="20"/>
    </row>
    <row r="810">
      <c r="A810" s="20"/>
      <c r="B810" s="24"/>
      <c r="C810" s="24"/>
      <c r="D810" s="20"/>
      <c r="E810" s="20"/>
      <c r="F810" s="24"/>
      <c r="G810" s="20"/>
      <c r="H810" s="20"/>
      <c r="I810" s="20"/>
      <c r="J810" s="20"/>
      <c r="K810" s="20"/>
      <c r="L810" s="20"/>
      <c r="M810" s="20"/>
      <c r="N810" s="20"/>
      <c r="O810" s="20"/>
      <c r="P810" s="20"/>
      <c r="Q810" s="20"/>
      <c r="R810" s="20"/>
      <c r="S810" s="20"/>
      <c r="T810" s="20"/>
      <c r="U810" s="20"/>
      <c r="V810" s="20"/>
      <c r="W810" s="20"/>
      <c r="X810" s="20"/>
      <c r="Y810" s="20"/>
      <c r="Z810" s="20"/>
      <c r="AA810" s="20"/>
    </row>
    <row r="811">
      <c r="A811" s="20"/>
      <c r="B811" s="24"/>
      <c r="C811" s="24"/>
      <c r="D811" s="20"/>
      <c r="E811" s="20"/>
      <c r="F811" s="24"/>
      <c r="G811" s="20"/>
      <c r="H811" s="20"/>
      <c r="I811" s="20"/>
      <c r="J811" s="20"/>
      <c r="K811" s="20"/>
      <c r="L811" s="20"/>
      <c r="M811" s="20"/>
      <c r="N811" s="20"/>
      <c r="O811" s="20"/>
      <c r="P811" s="20"/>
      <c r="Q811" s="20"/>
      <c r="R811" s="20"/>
      <c r="S811" s="20"/>
      <c r="T811" s="20"/>
      <c r="U811" s="20"/>
      <c r="V811" s="20"/>
      <c r="W811" s="20"/>
      <c r="X811" s="20"/>
      <c r="Y811" s="20"/>
      <c r="Z811" s="20"/>
      <c r="AA811" s="20"/>
    </row>
    <row r="812">
      <c r="A812" s="20"/>
      <c r="B812" s="24"/>
      <c r="C812" s="24"/>
      <c r="D812" s="20"/>
      <c r="E812" s="20"/>
      <c r="F812" s="24"/>
      <c r="G812" s="20"/>
      <c r="H812" s="20"/>
      <c r="I812" s="20"/>
      <c r="J812" s="20"/>
      <c r="K812" s="20"/>
      <c r="L812" s="20"/>
      <c r="M812" s="20"/>
      <c r="N812" s="20"/>
      <c r="O812" s="20"/>
      <c r="P812" s="20"/>
      <c r="Q812" s="20"/>
      <c r="R812" s="20"/>
      <c r="S812" s="20"/>
      <c r="T812" s="20"/>
      <c r="U812" s="20"/>
      <c r="V812" s="20"/>
      <c r="W812" s="20"/>
      <c r="X812" s="20"/>
      <c r="Y812" s="20"/>
      <c r="Z812" s="20"/>
      <c r="AA812" s="20"/>
    </row>
    <row r="813">
      <c r="A813" s="20"/>
      <c r="B813" s="24"/>
      <c r="C813" s="24"/>
      <c r="D813" s="20"/>
      <c r="E813" s="20"/>
      <c r="F813" s="24"/>
      <c r="G813" s="20"/>
      <c r="H813" s="20"/>
      <c r="I813" s="20"/>
      <c r="J813" s="20"/>
      <c r="K813" s="20"/>
      <c r="L813" s="20"/>
      <c r="M813" s="20"/>
      <c r="N813" s="20"/>
      <c r="O813" s="20"/>
      <c r="P813" s="20"/>
      <c r="Q813" s="20"/>
      <c r="R813" s="20"/>
      <c r="S813" s="20"/>
      <c r="T813" s="20"/>
      <c r="U813" s="20"/>
      <c r="V813" s="20"/>
      <c r="W813" s="20"/>
      <c r="X813" s="20"/>
      <c r="Y813" s="20"/>
      <c r="Z813" s="20"/>
      <c r="AA813" s="20"/>
    </row>
    <row r="814">
      <c r="A814" s="20"/>
      <c r="B814" s="24"/>
      <c r="C814" s="24"/>
      <c r="D814" s="20"/>
      <c r="E814" s="20"/>
      <c r="F814" s="24"/>
      <c r="G814" s="20"/>
      <c r="H814" s="20"/>
      <c r="I814" s="20"/>
      <c r="J814" s="20"/>
      <c r="K814" s="20"/>
      <c r="L814" s="20"/>
      <c r="M814" s="20"/>
      <c r="N814" s="20"/>
      <c r="O814" s="20"/>
      <c r="P814" s="20"/>
      <c r="Q814" s="20"/>
      <c r="R814" s="20"/>
      <c r="S814" s="20"/>
      <c r="T814" s="20"/>
      <c r="U814" s="20"/>
      <c r="V814" s="20"/>
      <c r="W814" s="20"/>
      <c r="X814" s="20"/>
      <c r="Y814" s="20"/>
      <c r="Z814" s="20"/>
      <c r="AA814" s="20"/>
    </row>
    <row r="815">
      <c r="A815" s="20"/>
      <c r="B815" s="24"/>
      <c r="C815" s="24"/>
      <c r="D815" s="20"/>
      <c r="E815" s="20"/>
      <c r="F815" s="24"/>
      <c r="G815" s="20"/>
      <c r="H815" s="20"/>
      <c r="I815" s="20"/>
      <c r="J815" s="20"/>
      <c r="K815" s="20"/>
      <c r="L815" s="20"/>
      <c r="M815" s="20"/>
      <c r="N815" s="20"/>
      <c r="O815" s="20"/>
      <c r="P815" s="20"/>
      <c r="Q815" s="20"/>
      <c r="R815" s="20"/>
      <c r="S815" s="20"/>
      <c r="T815" s="20"/>
      <c r="U815" s="20"/>
      <c r="V815" s="20"/>
      <c r="W815" s="20"/>
      <c r="X815" s="20"/>
      <c r="Y815" s="20"/>
      <c r="Z815" s="20"/>
      <c r="AA815" s="20"/>
    </row>
    <row r="816">
      <c r="A816" s="20"/>
      <c r="B816" s="24"/>
      <c r="C816" s="24"/>
      <c r="D816" s="20"/>
      <c r="E816" s="20"/>
      <c r="F816" s="24"/>
      <c r="G816" s="20"/>
      <c r="H816" s="20"/>
      <c r="I816" s="20"/>
      <c r="J816" s="20"/>
      <c r="K816" s="20"/>
      <c r="L816" s="20"/>
      <c r="M816" s="20"/>
      <c r="N816" s="20"/>
      <c r="O816" s="20"/>
      <c r="P816" s="20"/>
      <c r="Q816" s="20"/>
      <c r="R816" s="20"/>
      <c r="S816" s="20"/>
      <c r="T816" s="20"/>
      <c r="U816" s="20"/>
      <c r="V816" s="20"/>
      <c r="W816" s="20"/>
      <c r="X816" s="20"/>
      <c r="Y816" s="20"/>
      <c r="Z816" s="20"/>
      <c r="AA816" s="20"/>
    </row>
    <row r="817">
      <c r="A817" s="20"/>
      <c r="B817" s="24"/>
      <c r="C817" s="24"/>
      <c r="D817" s="20"/>
      <c r="E817" s="20"/>
      <c r="F817" s="24"/>
      <c r="G817" s="20"/>
      <c r="H817" s="20"/>
      <c r="I817" s="20"/>
      <c r="J817" s="20"/>
      <c r="K817" s="20"/>
      <c r="L817" s="20"/>
      <c r="M817" s="20"/>
      <c r="N817" s="20"/>
      <c r="O817" s="20"/>
      <c r="P817" s="20"/>
      <c r="Q817" s="20"/>
      <c r="R817" s="20"/>
      <c r="S817" s="20"/>
      <c r="T817" s="20"/>
      <c r="U817" s="20"/>
      <c r="V817" s="20"/>
      <c r="W817" s="20"/>
      <c r="X817" s="20"/>
      <c r="Y817" s="20"/>
      <c r="Z817" s="20"/>
      <c r="AA817" s="20"/>
    </row>
    <row r="818">
      <c r="A818" s="20"/>
      <c r="B818" s="24"/>
      <c r="C818" s="24"/>
      <c r="D818" s="20"/>
      <c r="E818" s="20"/>
      <c r="F818" s="24"/>
      <c r="G818" s="20"/>
      <c r="H818" s="20"/>
      <c r="I818" s="20"/>
      <c r="J818" s="20"/>
      <c r="K818" s="20"/>
      <c r="L818" s="20"/>
      <c r="M818" s="20"/>
      <c r="N818" s="20"/>
      <c r="O818" s="20"/>
      <c r="P818" s="20"/>
      <c r="Q818" s="20"/>
      <c r="R818" s="20"/>
      <c r="S818" s="20"/>
      <c r="T818" s="20"/>
      <c r="U818" s="20"/>
      <c r="V818" s="20"/>
      <c r="W818" s="20"/>
      <c r="X818" s="20"/>
      <c r="Y818" s="20"/>
      <c r="Z818" s="20"/>
      <c r="AA818" s="20"/>
    </row>
    <row r="819">
      <c r="A819" s="20"/>
      <c r="B819" s="24"/>
      <c r="C819" s="24"/>
      <c r="D819" s="20"/>
      <c r="E819" s="20"/>
      <c r="F819" s="24"/>
      <c r="G819" s="20"/>
      <c r="H819" s="20"/>
      <c r="I819" s="20"/>
      <c r="J819" s="20"/>
      <c r="K819" s="20"/>
      <c r="L819" s="20"/>
      <c r="M819" s="20"/>
      <c r="N819" s="20"/>
      <c r="O819" s="20"/>
      <c r="P819" s="20"/>
      <c r="Q819" s="20"/>
      <c r="R819" s="20"/>
      <c r="S819" s="20"/>
      <c r="T819" s="20"/>
      <c r="U819" s="20"/>
      <c r="V819" s="20"/>
      <c r="W819" s="20"/>
      <c r="X819" s="20"/>
      <c r="Y819" s="20"/>
      <c r="Z819" s="20"/>
      <c r="AA819" s="20"/>
    </row>
    <row r="820">
      <c r="A820" s="20"/>
      <c r="B820" s="24"/>
      <c r="C820" s="24"/>
      <c r="D820" s="20"/>
      <c r="E820" s="20"/>
      <c r="F820" s="24"/>
      <c r="G820" s="20"/>
      <c r="H820" s="20"/>
      <c r="I820" s="20"/>
      <c r="J820" s="20"/>
      <c r="K820" s="20"/>
      <c r="L820" s="20"/>
      <c r="M820" s="20"/>
      <c r="N820" s="20"/>
      <c r="O820" s="20"/>
      <c r="P820" s="20"/>
      <c r="Q820" s="20"/>
      <c r="R820" s="20"/>
      <c r="S820" s="20"/>
      <c r="T820" s="20"/>
      <c r="U820" s="20"/>
      <c r="V820" s="20"/>
      <c r="W820" s="20"/>
      <c r="X820" s="20"/>
      <c r="Y820" s="20"/>
      <c r="Z820" s="20"/>
      <c r="AA820" s="20"/>
    </row>
    <row r="821">
      <c r="A821" s="20"/>
      <c r="B821" s="24"/>
      <c r="C821" s="24"/>
      <c r="D821" s="20"/>
      <c r="E821" s="20"/>
      <c r="F821" s="24"/>
      <c r="G821" s="20"/>
      <c r="H821" s="20"/>
      <c r="I821" s="20"/>
      <c r="J821" s="20"/>
      <c r="K821" s="20"/>
      <c r="L821" s="20"/>
      <c r="M821" s="20"/>
      <c r="N821" s="20"/>
      <c r="O821" s="20"/>
      <c r="P821" s="20"/>
      <c r="Q821" s="20"/>
      <c r="R821" s="20"/>
      <c r="S821" s="20"/>
      <c r="T821" s="20"/>
      <c r="U821" s="20"/>
      <c r="V821" s="20"/>
      <c r="W821" s="20"/>
      <c r="X821" s="20"/>
      <c r="Y821" s="20"/>
      <c r="Z821" s="20"/>
      <c r="AA821" s="20"/>
    </row>
    <row r="822">
      <c r="A822" s="20"/>
      <c r="B822" s="24"/>
      <c r="C822" s="24"/>
      <c r="D822" s="20"/>
      <c r="E822" s="20"/>
      <c r="F822" s="24"/>
      <c r="G822" s="20"/>
      <c r="H822" s="20"/>
      <c r="I822" s="20"/>
      <c r="J822" s="20"/>
      <c r="K822" s="20"/>
      <c r="L822" s="20"/>
      <c r="M822" s="20"/>
      <c r="N822" s="20"/>
      <c r="O822" s="20"/>
      <c r="P822" s="20"/>
      <c r="Q822" s="20"/>
      <c r="R822" s="20"/>
      <c r="S822" s="20"/>
      <c r="T822" s="20"/>
      <c r="U822" s="20"/>
      <c r="V822" s="20"/>
      <c r="W822" s="20"/>
      <c r="X822" s="20"/>
      <c r="Y822" s="20"/>
      <c r="Z822" s="20"/>
      <c r="AA822" s="20"/>
    </row>
    <row r="823">
      <c r="A823" s="20"/>
      <c r="B823" s="24"/>
      <c r="C823" s="24"/>
      <c r="D823" s="20"/>
      <c r="E823" s="20"/>
      <c r="F823" s="24"/>
      <c r="G823" s="20"/>
      <c r="H823" s="20"/>
      <c r="I823" s="20"/>
      <c r="J823" s="20"/>
      <c r="K823" s="20"/>
      <c r="L823" s="20"/>
      <c r="M823" s="20"/>
      <c r="N823" s="20"/>
      <c r="O823" s="20"/>
      <c r="P823" s="20"/>
      <c r="Q823" s="20"/>
      <c r="R823" s="20"/>
      <c r="S823" s="20"/>
      <c r="T823" s="20"/>
      <c r="U823" s="20"/>
      <c r="V823" s="20"/>
      <c r="W823" s="20"/>
      <c r="X823" s="20"/>
      <c r="Y823" s="20"/>
      <c r="Z823" s="20"/>
      <c r="AA823" s="20"/>
    </row>
    <row r="824">
      <c r="A824" s="20"/>
      <c r="B824" s="24"/>
      <c r="C824" s="24"/>
      <c r="D824" s="20"/>
      <c r="E824" s="20"/>
      <c r="F824" s="24"/>
      <c r="G824" s="20"/>
      <c r="H824" s="20"/>
      <c r="I824" s="20"/>
      <c r="J824" s="20"/>
      <c r="K824" s="20"/>
      <c r="L824" s="20"/>
      <c r="M824" s="20"/>
      <c r="N824" s="20"/>
      <c r="O824" s="20"/>
      <c r="P824" s="20"/>
      <c r="Q824" s="20"/>
      <c r="R824" s="20"/>
      <c r="S824" s="20"/>
      <c r="T824" s="20"/>
      <c r="U824" s="20"/>
      <c r="V824" s="20"/>
      <c r="W824" s="20"/>
      <c r="X824" s="20"/>
      <c r="Y824" s="20"/>
      <c r="Z824" s="20"/>
      <c r="AA824" s="20"/>
    </row>
    <row r="825">
      <c r="A825" s="20"/>
      <c r="B825" s="24"/>
      <c r="C825" s="24"/>
      <c r="D825" s="20"/>
      <c r="E825" s="20"/>
      <c r="F825" s="24"/>
      <c r="G825" s="20"/>
      <c r="H825" s="20"/>
      <c r="I825" s="20"/>
      <c r="J825" s="20"/>
      <c r="K825" s="20"/>
      <c r="L825" s="20"/>
      <c r="M825" s="20"/>
      <c r="N825" s="20"/>
      <c r="O825" s="20"/>
      <c r="P825" s="20"/>
      <c r="Q825" s="20"/>
      <c r="R825" s="20"/>
      <c r="S825" s="20"/>
      <c r="T825" s="20"/>
      <c r="U825" s="20"/>
      <c r="V825" s="20"/>
      <c r="W825" s="20"/>
      <c r="X825" s="20"/>
      <c r="Y825" s="20"/>
      <c r="Z825" s="20"/>
      <c r="AA825" s="20"/>
    </row>
    <row r="826">
      <c r="A826" s="20"/>
      <c r="B826" s="24"/>
      <c r="C826" s="24"/>
      <c r="D826" s="20"/>
      <c r="E826" s="20"/>
      <c r="F826" s="24"/>
      <c r="G826" s="20"/>
      <c r="H826" s="20"/>
      <c r="I826" s="20"/>
      <c r="J826" s="20"/>
      <c r="K826" s="20"/>
      <c r="L826" s="20"/>
      <c r="M826" s="20"/>
      <c r="N826" s="20"/>
      <c r="O826" s="20"/>
      <c r="P826" s="20"/>
      <c r="Q826" s="20"/>
      <c r="R826" s="20"/>
      <c r="S826" s="20"/>
      <c r="T826" s="20"/>
      <c r="U826" s="20"/>
      <c r="V826" s="20"/>
      <c r="W826" s="20"/>
      <c r="X826" s="20"/>
      <c r="Y826" s="20"/>
      <c r="Z826" s="20"/>
      <c r="AA826" s="20"/>
    </row>
    <row r="827">
      <c r="A827" s="20"/>
      <c r="B827" s="24"/>
      <c r="C827" s="24"/>
      <c r="D827" s="20"/>
      <c r="E827" s="20"/>
      <c r="F827" s="24"/>
      <c r="G827" s="20"/>
      <c r="H827" s="20"/>
      <c r="I827" s="20"/>
      <c r="J827" s="20"/>
      <c r="K827" s="20"/>
      <c r="L827" s="20"/>
      <c r="M827" s="20"/>
      <c r="N827" s="20"/>
      <c r="O827" s="20"/>
      <c r="P827" s="20"/>
      <c r="Q827" s="20"/>
      <c r="R827" s="20"/>
      <c r="S827" s="20"/>
      <c r="T827" s="20"/>
      <c r="U827" s="20"/>
      <c r="V827" s="20"/>
      <c r="W827" s="20"/>
      <c r="X827" s="20"/>
      <c r="Y827" s="20"/>
      <c r="Z827" s="20"/>
      <c r="AA827" s="20"/>
    </row>
    <row r="828">
      <c r="A828" s="20"/>
      <c r="B828" s="24"/>
      <c r="C828" s="24"/>
      <c r="D828" s="20"/>
      <c r="E828" s="20"/>
      <c r="F828" s="24"/>
      <c r="G828" s="20"/>
      <c r="H828" s="20"/>
      <c r="I828" s="20"/>
      <c r="J828" s="20"/>
      <c r="K828" s="20"/>
      <c r="L828" s="20"/>
      <c r="M828" s="20"/>
      <c r="N828" s="20"/>
      <c r="O828" s="20"/>
      <c r="P828" s="20"/>
      <c r="Q828" s="20"/>
      <c r="R828" s="20"/>
      <c r="S828" s="20"/>
      <c r="T828" s="20"/>
      <c r="U828" s="20"/>
      <c r="V828" s="20"/>
      <c r="W828" s="20"/>
      <c r="X828" s="20"/>
      <c r="Y828" s="20"/>
      <c r="Z828" s="20"/>
      <c r="AA828" s="20"/>
    </row>
    <row r="829">
      <c r="A829" s="20"/>
      <c r="B829" s="24"/>
      <c r="C829" s="24"/>
      <c r="D829" s="20"/>
      <c r="E829" s="20"/>
      <c r="F829" s="24"/>
      <c r="G829" s="20"/>
      <c r="H829" s="20"/>
      <c r="I829" s="20"/>
      <c r="J829" s="20"/>
      <c r="K829" s="20"/>
      <c r="L829" s="20"/>
      <c r="M829" s="20"/>
      <c r="N829" s="20"/>
      <c r="O829" s="20"/>
      <c r="P829" s="20"/>
      <c r="Q829" s="20"/>
      <c r="R829" s="20"/>
      <c r="S829" s="20"/>
      <c r="T829" s="20"/>
      <c r="U829" s="20"/>
      <c r="V829" s="20"/>
      <c r="W829" s="20"/>
      <c r="X829" s="20"/>
      <c r="Y829" s="20"/>
      <c r="Z829" s="20"/>
      <c r="AA829" s="20"/>
    </row>
    <row r="830">
      <c r="A830" s="20"/>
      <c r="B830" s="24"/>
      <c r="C830" s="24"/>
      <c r="D830" s="20"/>
      <c r="E830" s="20"/>
      <c r="F830" s="24"/>
      <c r="G830" s="20"/>
      <c r="H830" s="20"/>
      <c r="I830" s="20"/>
      <c r="J830" s="20"/>
      <c r="K830" s="20"/>
      <c r="L830" s="20"/>
      <c r="M830" s="20"/>
      <c r="N830" s="20"/>
      <c r="O830" s="20"/>
      <c r="P830" s="20"/>
      <c r="Q830" s="20"/>
      <c r="R830" s="20"/>
      <c r="S830" s="20"/>
      <c r="T830" s="20"/>
      <c r="U830" s="20"/>
      <c r="V830" s="20"/>
      <c r="W830" s="20"/>
      <c r="X830" s="20"/>
      <c r="Y830" s="20"/>
      <c r="Z830" s="20"/>
      <c r="AA830" s="20"/>
    </row>
    <row r="831">
      <c r="A831" s="20"/>
      <c r="B831" s="24"/>
      <c r="C831" s="24"/>
      <c r="D831" s="20"/>
      <c r="E831" s="20"/>
      <c r="F831" s="24"/>
      <c r="G831" s="20"/>
      <c r="H831" s="20"/>
      <c r="I831" s="20"/>
      <c r="J831" s="20"/>
      <c r="K831" s="20"/>
      <c r="L831" s="20"/>
      <c r="M831" s="20"/>
      <c r="N831" s="20"/>
      <c r="O831" s="20"/>
      <c r="P831" s="20"/>
      <c r="Q831" s="20"/>
      <c r="R831" s="20"/>
      <c r="S831" s="20"/>
      <c r="T831" s="20"/>
      <c r="U831" s="20"/>
      <c r="V831" s="20"/>
      <c r="W831" s="20"/>
      <c r="X831" s="20"/>
      <c r="Y831" s="20"/>
      <c r="Z831" s="20"/>
      <c r="AA831" s="20"/>
    </row>
    <row r="832">
      <c r="A832" s="20"/>
      <c r="B832" s="24"/>
      <c r="C832" s="24"/>
      <c r="D832" s="20"/>
      <c r="E832" s="20"/>
      <c r="F832" s="24"/>
      <c r="G832" s="20"/>
      <c r="H832" s="20"/>
      <c r="I832" s="20"/>
      <c r="J832" s="20"/>
      <c r="K832" s="20"/>
      <c r="L832" s="20"/>
      <c r="M832" s="20"/>
      <c r="N832" s="20"/>
      <c r="O832" s="20"/>
      <c r="P832" s="20"/>
      <c r="Q832" s="20"/>
      <c r="R832" s="20"/>
      <c r="S832" s="20"/>
      <c r="T832" s="20"/>
      <c r="U832" s="20"/>
      <c r="V832" s="20"/>
      <c r="W832" s="20"/>
      <c r="X832" s="20"/>
      <c r="Y832" s="20"/>
      <c r="Z832" s="20"/>
      <c r="AA832" s="20"/>
    </row>
    <row r="833">
      <c r="A833" s="20"/>
      <c r="B833" s="24"/>
      <c r="C833" s="24"/>
      <c r="D833" s="20"/>
      <c r="E833" s="20"/>
      <c r="F833" s="24"/>
      <c r="G833" s="20"/>
      <c r="H833" s="20"/>
      <c r="I833" s="20"/>
      <c r="J833" s="20"/>
      <c r="K833" s="20"/>
      <c r="L833" s="20"/>
      <c r="M833" s="20"/>
      <c r="N833" s="20"/>
      <c r="O833" s="20"/>
      <c r="P833" s="20"/>
      <c r="Q833" s="20"/>
      <c r="R833" s="20"/>
      <c r="S833" s="20"/>
      <c r="T833" s="20"/>
      <c r="U833" s="20"/>
      <c r="V833" s="20"/>
      <c r="W833" s="20"/>
      <c r="X833" s="20"/>
      <c r="Y833" s="20"/>
      <c r="Z833" s="20"/>
      <c r="AA833" s="20"/>
    </row>
    <row r="834">
      <c r="A834" s="20"/>
      <c r="B834" s="24"/>
      <c r="C834" s="24"/>
      <c r="D834" s="20"/>
      <c r="E834" s="20"/>
      <c r="F834" s="24"/>
      <c r="G834" s="20"/>
      <c r="H834" s="20"/>
      <c r="I834" s="20"/>
      <c r="J834" s="20"/>
      <c r="K834" s="20"/>
      <c r="L834" s="20"/>
      <c r="M834" s="20"/>
      <c r="N834" s="20"/>
      <c r="O834" s="20"/>
      <c r="P834" s="20"/>
      <c r="Q834" s="20"/>
      <c r="R834" s="20"/>
      <c r="S834" s="20"/>
      <c r="T834" s="20"/>
      <c r="U834" s="20"/>
      <c r="V834" s="20"/>
      <c r="W834" s="20"/>
      <c r="X834" s="20"/>
      <c r="Y834" s="20"/>
      <c r="Z834" s="20"/>
      <c r="AA834" s="20"/>
    </row>
    <row r="835">
      <c r="A835" s="20"/>
      <c r="B835" s="24"/>
      <c r="C835" s="24"/>
      <c r="D835" s="20"/>
      <c r="E835" s="20"/>
      <c r="F835" s="24"/>
      <c r="G835" s="20"/>
      <c r="H835" s="20"/>
      <c r="I835" s="20"/>
      <c r="J835" s="20"/>
      <c r="K835" s="20"/>
      <c r="L835" s="20"/>
      <c r="M835" s="20"/>
      <c r="N835" s="20"/>
      <c r="O835" s="20"/>
      <c r="P835" s="20"/>
      <c r="Q835" s="20"/>
      <c r="R835" s="20"/>
      <c r="S835" s="20"/>
      <c r="T835" s="20"/>
      <c r="U835" s="20"/>
      <c r="V835" s="20"/>
      <c r="W835" s="20"/>
      <c r="X835" s="20"/>
      <c r="Y835" s="20"/>
      <c r="Z835" s="20"/>
      <c r="AA835" s="20"/>
    </row>
    <row r="836">
      <c r="A836" s="20"/>
      <c r="B836" s="24"/>
      <c r="C836" s="24"/>
      <c r="D836" s="20"/>
      <c r="E836" s="20"/>
      <c r="F836" s="24"/>
      <c r="G836" s="20"/>
      <c r="H836" s="20"/>
      <c r="I836" s="20"/>
      <c r="J836" s="20"/>
      <c r="K836" s="20"/>
      <c r="L836" s="20"/>
      <c r="M836" s="20"/>
      <c r="N836" s="20"/>
      <c r="O836" s="20"/>
      <c r="P836" s="20"/>
      <c r="Q836" s="20"/>
      <c r="R836" s="20"/>
      <c r="S836" s="20"/>
      <c r="T836" s="20"/>
      <c r="U836" s="20"/>
      <c r="V836" s="20"/>
      <c r="W836" s="20"/>
      <c r="X836" s="20"/>
      <c r="Y836" s="20"/>
      <c r="Z836" s="20"/>
      <c r="AA836" s="20"/>
    </row>
    <row r="837">
      <c r="A837" s="20"/>
      <c r="B837" s="24"/>
      <c r="C837" s="24"/>
      <c r="D837" s="20"/>
      <c r="E837" s="20"/>
      <c r="F837" s="24"/>
      <c r="G837" s="20"/>
      <c r="H837" s="20"/>
      <c r="I837" s="20"/>
      <c r="J837" s="20"/>
      <c r="K837" s="20"/>
      <c r="L837" s="20"/>
      <c r="M837" s="20"/>
      <c r="N837" s="20"/>
      <c r="O837" s="20"/>
      <c r="P837" s="20"/>
      <c r="Q837" s="20"/>
      <c r="R837" s="20"/>
      <c r="S837" s="20"/>
      <c r="T837" s="20"/>
      <c r="U837" s="20"/>
      <c r="V837" s="20"/>
      <c r="W837" s="20"/>
      <c r="X837" s="20"/>
      <c r="Y837" s="20"/>
      <c r="Z837" s="20"/>
      <c r="AA837" s="20"/>
    </row>
    <row r="838">
      <c r="A838" s="20"/>
      <c r="B838" s="24"/>
      <c r="C838" s="24"/>
      <c r="D838" s="20"/>
      <c r="E838" s="20"/>
      <c r="F838" s="24"/>
      <c r="G838" s="20"/>
      <c r="H838" s="20"/>
      <c r="I838" s="20"/>
      <c r="J838" s="20"/>
      <c r="K838" s="20"/>
      <c r="L838" s="20"/>
      <c r="M838" s="20"/>
      <c r="N838" s="20"/>
      <c r="O838" s="20"/>
      <c r="P838" s="20"/>
      <c r="Q838" s="20"/>
      <c r="R838" s="20"/>
      <c r="S838" s="20"/>
      <c r="T838" s="20"/>
      <c r="U838" s="20"/>
      <c r="V838" s="20"/>
      <c r="W838" s="20"/>
      <c r="X838" s="20"/>
      <c r="Y838" s="20"/>
      <c r="Z838" s="20"/>
      <c r="AA838" s="20"/>
    </row>
    <row r="839">
      <c r="A839" s="20"/>
      <c r="B839" s="24"/>
      <c r="C839" s="24"/>
      <c r="D839" s="20"/>
      <c r="E839" s="20"/>
      <c r="F839" s="24"/>
      <c r="G839" s="20"/>
      <c r="H839" s="20"/>
      <c r="I839" s="20"/>
      <c r="J839" s="20"/>
      <c r="K839" s="20"/>
      <c r="L839" s="20"/>
      <c r="M839" s="20"/>
      <c r="N839" s="20"/>
      <c r="O839" s="20"/>
      <c r="P839" s="20"/>
      <c r="Q839" s="20"/>
      <c r="R839" s="20"/>
      <c r="S839" s="20"/>
      <c r="T839" s="20"/>
      <c r="U839" s="20"/>
      <c r="V839" s="20"/>
      <c r="W839" s="20"/>
      <c r="X839" s="20"/>
      <c r="Y839" s="20"/>
      <c r="Z839" s="20"/>
      <c r="AA839" s="20"/>
    </row>
    <row r="840">
      <c r="A840" s="20"/>
      <c r="B840" s="24"/>
      <c r="C840" s="24"/>
      <c r="D840" s="20"/>
      <c r="E840" s="20"/>
      <c r="F840" s="24"/>
      <c r="G840" s="20"/>
      <c r="H840" s="20"/>
      <c r="I840" s="20"/>
      <c r="J840" s="20"/>
      <c r="K840" s="20"/>
      <c r="L840" s="20"/>
      <c r="M840" s="20"/>
      <c r="N840" s="20"/>
      <c r="O840" s="20"/>
      <c r="P840" s="20"/>
      <c r="Q840" s="20"/>
      <c r="R840" s="20"/>
      <c r="S840" s="20"/>
      <c r="T840" s="20"/>
      <c r="U840" s="20"/>
      <c r="V840" s="20"/>
      <c r="W840" s="20"/>
      <c r="X840" s="20"/>
      <c r="Y840" s="20"/>
      <c r="Z840" s="20"/>
      <c r="AA840" s="20"/>
    </row>
    <row r="841">
      <c r="A841" s="20"/>
      <c r="B841" s="24"/>
      <c r="C841" s="24"/>
      <c r="D841" s="20"/>
      <c r="E841" s="20"/>
      <c r="F841" s="24"/>
      <c r="G841" s="20"/>
      <c r="H841" s="20"/>
      <c r="I841" s="20"/>
      <c r="J841" s="20"/>
      <c r="K841" s="20"/>
      <c r="L841" s="20"/>
      <c r="M841" s="20"/>
      <c r="N841" s="20"/>
      <c r="O841" s="20"/>
      <c r="P841" s="20"/>
      <c r="Q841" s="20"/>
      <c r="R841" s="20"/>
      <c r="S841" s="20"/>
      <c r="T841" s="20"/>
      <c r="U841" s="20"/>
      <c r="V841" s="20"/>
      <c r="W841" s="20"/>
      <c r="X841" s="20"/>
      <c r="Y841" s="20"/>
      <c r="Z841" s="20"/>
      <c r="AA841" s="20"/>
    </row>
    <row r="842">
      <c r="A842" s="20"/>
      <c r="B842" s="24"/>
      <c r="C842" s="24"/>
      <c r="D842" s="20"/>
      <c r="E842" s="20"/>
      <c r="F842" s="24"/>
      <c r="G842" s="20"/>
      <c r="H842" s="20"/>
      <c r="I842" s="20"/>
      <c r="J842" s="20"/>
      <c r="K842" s="20"/>
      <c r="L842" s="20"/>
      <c r="M842" s="20"/>
      <c r="N842" s="20"/>
      <c r="O842" s="20"/>
      <c r="P842" s="20"/>
      <c r="Q842" s="20"/>
      <c r="R842" s="20"/>
      <c r="S842" s="20"/>
      <c r="T842" s="20"/>
      <c r="U842" s="20"/>
      <c r="V842" s="20"/>
      <c r="W842" s="20"/>
      <c r="X842" s="20"/>
      <c r="Y842" s="20"/>
      <c r="Z842" s="20"/>
      <c r="AA842" s="20"/>
    </row>
    <row r="843">
      <c r="A843" s="20"/>
      <c r="B843" s="24"/>
      <c r="C843" s="24"/>
      <c r="D843" s="20"/>
      <c r="E843" s="20"/>
      <c r="F843" s="24"/>
      <c r="G843" s="20"/>
      <c r="H843" s="20"/>
      <c r="I843" s="20"/>
      <c r="J843" s="20"/>
      <c r="K843" s="20"/>
      <c r="L843" s="20"/>
      <c r="M843" s="20"/>
      <c r="N843" s="20"/>
      <c r="O843" s="20"/>
      <c r="P843" s="20"/>
      <c r="Q843" s="20"/>
      <c r="R843" s="20"/>
      <c r="S843" s="20"/>
      <c r="T843" s="20"/>
      <c r="U843" s="20"/>
      <c r="V843" s="20"/>
      <c r="W843" s="20"/>
      <c r="X843" s="20"/>
      <c r="Y843" s="20"/>
      <c r="Z843" s="20"/>
      <c r="AA843" s="20"/>
    </row>
    <row r="844">
      <c r="A844" s="20"/>
      <c r="B844" s="24"/>
      <c r="C844" s="24"/>
      <c r="D844" s="20"/>
      <c r="E844" s="20"/>
      <c r="F844" s="24"/>
      <c r="G844" s="20"/>
      <c r="H844" s="20"/>
      <c r="I844" s="20"/>
      <c r="J844" s="20"/>
      <c r="K844" s="20"/>
      <c r="L844" s="20"/>
      <c r="M844" s="20"/>
      <c r="N844" s="20"/>
      <c r="O844" s="20"/>
      <c r="P844" s="20"/>
      <c r="Q844" s="20"/>
      <c r="R844" s="20"/>
      <c r="S844" s="20"/>
      <c r="T844" s="20"/>
      <c r="U844" s="20"/>
      <c r="V844" s="20"/>
      <c r="W844" s="20"/>
      <c r="X844" s="20"/>
      <c r="Y844" s="20"/>
      <c r="Z844" s="20"/>
      <c r="AA844" s="20"/>
    </row>
    <row r="845">
      <c r="A845" s="20"/>
      <c r="B845" s="24"/>
      <c r="C845" s="24"/>
      <c r="D845" s="20"/>
      <c r="E845" s="20"/>
      <c r="F845" s="24"/>
      <c r="G845" s="20"/>
      <c r="H845" s="20"/>
      <c r="I845" s="20"/>
      <c r="J845" s="20"/>
      <c r="K845" s="20"/>
      <c r="L845" s="20"/>
      <c r="M845" s="20"/>
      <c r="N845" s="20"/>
      <c r="O845" s="20"/>
      <c r="P845" s="20"/>
      <c r="Q845" s="20"/>
      <c r="R845" s="20"/>
      <c r="S845" s="20"/>
      <c r="T845" s="20"/>
      <c r="U845" s="20"/>
      <c r="V845" s="20"/>
      <c r="W845" s="20"/>
      <c r="X845" s="20"/>
      <c r="Y845" s="20"/>
      <c r="Z845" s="20"/>
      <c r="AA845" s="20"/>
    </row>
    <row r="846">
      <c r="A846" s="20"/>
      <c r="B846" s="24"/>
      <c r="C846" s="24"/>
      <c r="D846" s="20"/>
      <c r="E846" s="20"/>
      <c r="F846" s="24"/>
      <c r="G846" s="20"/>
      <c r="H846" s="20"/>
      <c r="I846" s="20"/>
      <c r="J846" s="20"/>
      <c r="K846" s="20"/>
      <c r="L846" s="20"/>
      <c r="M846" s="20"/>
      <c r="N846" s="20"/>
      <c r="O846" s="20"/>
      <c r="P846" s="20"/>
      <c r="Q846" s="20"/>
      <c r="R846" s="20"/>
      <c r="S846" s="20"/>
      <c r="T846" s="20"/>
      <c r="U846" s="20"/>
      <c r="V846" s="20"/>
      <c r="W846" s="20"/>
      <c r="X846" s="20"/>
      <c r="Y846" s="20"/>
      <c r="Z846" s="20"/>
      <c r="AA846" s="20"/>
    </row>
    <row r="847">
      <c r="A847" s="20"/>
      <c r="B847" s="24"/>
      <c r="C847" s="24"/>
      <c r="D847" s="20"/>
      <c r="E847" s="20"/>
      <c r="F847" s="24"/>
      <c r="G847" s="20"/>
      <c r="H847" s="20"/>
      <c r="I847" s="20"/>
      <c r="J847" s="20"/>
      <c r="K847" s="20"/>
      <c r="L847" s="20"/>
      <c r="M847" s="20"/>
      <c r="N847" s="20"/>
      <c r="O847" s="20"/>
      <c r="P847" s="20"/>
      <c r="Q847" s="20"/>
      <c r="R847" s="20"/>
      <c r="S847" s="20"/>
      <c r="T847" s="20"/>
      <c r="U847" s="20"/>
      <c r="V847" s="20"/>
      <c r="W847" s="20"/>
      <c r="X847" s="20"/>
      <c r="Y847" s="20"/>
      <c r="Z847" s="20"/>
      <c r="AA847" s="20"/>
    </row>
    <row r="848">
      <c r="A848" s="20"/>
      <c r="B848" s="24"/>
      <c r="C848" s="24"/>
      <c r="D848" s="20"/>
      <c r="E848" s="20"/>
      <c r="F848" s="24"/>
      <c r="G848" s="20"/>
      <c r="H848" s="20"/>
      <c r="I848" s="20"/>
      <c r="J848" s="20"/>
      <c r="K848" s="20"/>
      <c r="L848" s="20"/>
      <c r="M848" s="20"/>
      <c r="N848" s="20"/>
      <c r="O848" s="20"/>
      <c r="P848" s="20"/>
      <c r="Q848" s="20"/>
      <c r="R848" s="20"/>
      <c r="S848" s="20"/>
      <c r="T848" s="20"/>
      <c r="U848" s="20"/>
      <c r="V848" s="20"/>
      <c r="W848" s="20"/>
      <c r="X848" s="20"/>
      <c r="Y848" s="20"/>
      <c r="Z848" s="20"/>
      <c r="AA848" s="20"/>
    </row>
    <row r="849">
      <c r="A849" s="20"/>
      <c r="B849" s="24"/>
      <c r="C849" s="24"/>
      <c r="D849" s="20"/>
      <c r="E849" s="20"/>
      <c r="F849" s="24"/>
      <c r="G849" s="20"/>
      <c r="H849" s="20"/>
      <c r="I849" s="20"/>
      <c r="J849" s="20"/>
      <c r="K849" s="20"/>
      <c r="L849" s="20"/>
      <c r="M849" s="20"/>
      <c r="N849" s="20"/>
      <c r="O849" s="20"/>
      <c r="P849" s="20"/>
      <c r="Q849" s="20"/>
      <c r="R849" s="20"/>
      <c r="S849" s="20"/>
      <c r="T849" s="20"/>
      <c r="U849" s="20"/>
      <c r="V849" s="20"/>
      <c r="W849" s="20"/>
      <c r="X849" s="20"/>
      <c r="Y849" s="20"/>
      <c r="Z849" s="20"/>
      <c r="AA849" s="20"/>
    </row>
    <row r="850">
      <c r="A850" s="20"/>
      <c r="B850" s="24"/>
      <c r="C850" s="24"/>
      <c r="D850" s="20"/>
      <c r="E850" s="20"/>
      <c r="F850" s="24"/>
      <c r="G850" s="20"/>
      <c r="H850" s="20"/>
      <c r="I850" s="20"/>
      <c r="J850" s="20"/>
      <c r="K850" s="20"/>
      <c r="L850" s="20"/>
      <c r="M850" s="20"/>
      <c r="N850" s="20"/>
      <c r="O850" s="20"/>
      <c r="P850" s="20"/>
      <c r="Q850" s="20"/>
      <c r="R850" s="20"/>
      <c r="S850" s="20"/>
      <c r="T850" s="20"/>
      <c r="U850" s="20"/>
      <c r="V850" s="20"/>
      <c r="W850" s="20"/>
      <c r="X850" s="20"/>
      <c r="Y850" s="20"/>
      <c r="Z850" s="20"/>
      <c r="AA850" s="20"/>
    </row>
    <row r="851">
      <c r="A851" s="20"/>
      <c r="B851" s="24"/>
      <c r="C851" s="24"/>
      <c r="D851" s="20"/>
      <c r="E851" s="20"/>
      <c r="F851" s="24"/>
      <c r="G851" s="20"/>
      <c r="H851" s="20"/>
      <c r="I851" s="20"/>
      <c r="J851" s="20"/>
      <c r="K851" s="20"/>
      <c r="L851" s="20"/>
      <c r="M851" s="20"/>
      <c r="N851" s="20"/>
      <c r="O851" s="20"/>
      <c r="P851" s="20"/>
      <c r="Q851" s="20"/>
      <c r="R851" s="20"/>
      <c r="S851" s="20"/>
      <c r="T851" s="20"/>
      <c r="U851" s="20"/>
      <c r="V851" s="20"/>
      <c r="W851" s="20"/>
      <c r="X851" s="20"/>
      <c r="Y851" s="20"/>
      <c r="Z851" s="20"/>
      <c r="AA851" s="20"/>
    </row>
    <row r="852">
      <c r="A852" s="20"/>
      <c r="B852" s="24"/>
      <c r="C852" s="24"/>
      <c r="D852" s="20"/>
      <c r="E852" s="20"/>
      <c r="F852" s="24"/>
      <c r="G852" s="20"/>
      <c r="H852" s="20"/>
      <c r="I852" s="20"/>
      <c r="J852" s="20"/>
      <c r="K852" s="20"/>
      <c r="L852" s="20"/>
      <c r="M852" s="20"/>
      <c r="N852" s="20"/>
      <c r="O852" s="20"/>
      <c r="P852" s="20"/>
      <c r="Q852" s="20"/>
      <c r="R852" s="20"/>
      <c r="S852" s="20"/>
      <c r="T852" s="20"/>
      <c r="U852" s="20"/>
      <c r="V852" s="20"/>
      <c r="W852" s="20"/>
      <c r="X852" s="20"/>
      <c r="Y852" s="20"/>
      <c r="Z852" s="20"/>
      <c r="AA852" s="20"/>
    </row>
    <row r="853">
      <c r="A853" s="20"/>
      <c r="B853" s="24"/>
      <c r="C853" s="24"/>
      <c r="D853" s="20"/>
      <c r="E853" s="20"/>
      <c r="F853" s="24"/>
      <c r="G853" s="20"/>
      <c r="H853" s="20"/>
      <c r="I853" s="20"/>
      <c r="J853" s="20"/>
      <c r="K853" s="20"/>
      <c r="L853" s="20"/>
      <c r="M853" s="20"/>
      <c r="N853" s="20"/>
      <c r="O853" s="20"/>
      <c r="P853" s="20"/>
      <c r="Q853" s="20"/>
      <c r="R853" s="20"/>
      <c r="S853" s="20"/>
      <c r="T853" s="20"/>
      <c r="U853" s="20"/>
      <c r="V853" s="20"/>
      <c r="W853" s="20"/>
      <c r="X853" s="20"/>
      <c r="Y853" s="20"/>
      <c r="Z853" s="20"/>
      <c r="AA853" s="20"/>
    </row>
    <row r="854">
      <c r="A854" s="20"/>
      <c r="B854" s="24"/>
      <c r="C854" s="24"/>
      <c r="D854" s="20"/>
      <c r="E854" s="20"/>
      <c r="F854" s="24"/>
      <c r="G854" s="20"/>
      <c r="H854" s="20"/>
      <c r="I854" s="20"/>
      <c r="J854" s="20"/>
      <c r="K854" s="20"/>
      <c r="L854" s="20"/>
      <c r="M854" s="20"/>
      <c r="N854" s="20"/>
      <c r="O854" s="20"/>
      <c r="P854" s="20"/>
      <c r="Q854" s="20"/>
      <c r="R854" s="20"/>
      <c r="S854" s="20"/>
      <c r="T854" s="20"/>
      <c r="U854" s="20"/>
      <c r="V854" s="20"/>
      <c r="W854" s="20"/>
      <c r="X854" s="20"/>
      <c r="Y854" s="20"/>
      <c r="Z854" s="20"/>
      <c r="AA854" s="20"/>
    </row>
    <row r="855">
      <c r="A855" s="20"/>
      <c r="B855" s="24"/>
      <c r="C855" s="24"/>
      <c r="D855" s="20"/>
      <c r="E855" s="20"/>
      <c r="F855" s="24"/>
      <c r="G855" s="20"/>
      <c r="H855" s="20"/>
      <c r="I855" s="20"/>
      <c r="J855" s="20"/>
      <c r="K855" s="20"/>
      <c r="L855" s="20"/>
      <c r="M855" s="20"/>
      <c r="N855" s="20"/>
      <c r="O855" s="20"/>
      <c r="P855" s="20"/>
      <c r="Q855" s="20"/>
      <c r="R855" s="20"/>
      <c r="S855" s="20"/>
      <c r="T855" s="20"/>
      <c r="U855" s="20"/>
      <c r="V855" s="20"/>
      <c r="W855" s="20"/>
      <c r="X855" s="20"/>
      <c r="Y855" s="20"/>
      <c r="Z855" s="20"/>
      <c r="AA855" s="20"/>
    </row>
    <row r="856">
      <c r="A856" s="20"/>
      <c r="B856" s="24"/>
      <c r="C856" s="24"/>
      <c r="D856" s="20"/>
      <c r="E856" s="20"/>
      <c r="F856" s="24"/>
      <c r="G856" s="20"/>
      <c r="H856" s="20"/>
      <c r="I856" s="20"/>
      <c r="J856" s="20"/>
      <c r="K856" s="20"/>
      <c r="L856" s="20"/>
      <c r="M856" s="20"/>
      <c r="N856" s="20"/>
      <c r="O856" s="20"/>
      <c r="P856" s="20"/>
      <c r="Q856" s="20"/>
      <c r="R856" s="20"/>
      <c r="S856" s="20"/>
      <c r="T856" s="20"/>
      <c r="U856" s="20"/>
      <c r="V856" s="20"/>
      <c r="W856" s="20"/>
      <c r="X856" s="20"/>
      <c r="Y856" s="20"/>
      <c r="Z856" s="20"/>
      <c r="AA856" s="20"/>
    </row>
    <row r="857">
      <c r="A857" s="20"/>
      <c r="B857" s="24"/>
      <c r="C857" s="24"/>
      <c r="D857" s="20"/>
      <c r="E857" s="20"/>
      <c r="F857" s="24"/>
      <c r="G857" s="20"/>
      <c r="H857" s="20"/>
      <c r="I857" s="20"/>
      <c r="J857" s="20"/>
      <c r="K857" s="20"/>
      <c r="L857" s="20"/>
      <c r="M857" s="20"/>
      <c r="N857" s="20"/>
      <c r="O857" s="20"/>
      <c r="P857" s="20"/>
      <c r="Q857" s="20"/>
      <c r="R857" s="20"/>
      <c r="S857" s="20"/>
      <c r="T857" s="20"/>
      <c r="U857" s="20"/>
      <c r="V857" s="20"/>
      <c r="W857" s="20"/>
      <c r="X857" s="20"/>
      <c r="Y857" s="20"/>
      <c r="Z857" s="20"/>
      <c r="AA857" s="20"/>
    </row>
    <row r="858">
      <c r="A858" s="20"/>
      <c r="B858" s="24"/>
      <c r="C858" s="24"/>
      <c r="D858" s="20"/>
      <c r="E858" s="20"/>
      <c r="F858" s="24"/>
      <c r="G858" s="20"/>
      <c r="H858" s="20"/>
      <c r="I858" s="20"/>
      <c r="J858" s="20"/>
      <c r="K858" s="20"/>
      <c r="L858" s="20"/>
      <c r="M858" s="20"/>
      <c r="N858" s="20"/>
      <c r="O858" s="20"/>
      <c r="P858" s="20"/>
      <c r="Q858" s="20"/>
      <c r="R858" s="20"/>
      <c r="S858" s="20"/>
      <c r="T858" s="20"/>
      <c r="U858" s="20"/>
      <c r="V858" s="20"/>
      <c r="W858" s="20"/>
      <c r="X858" s="20"/>
      <c r="Y858" s="20"/>
      <c r="Z858" s="20"/>
      <c r="AA858" s="20"/>
    </row>
    <row r="859">
      <c r="A859" s="20"/>
      <c r="B859" s="24"/>
      <c r="C859" s="24"/>
      <c r="D859" s="20"/>
      <c r="E859" s="20"/>
      <c r="F859" s="24"/>
      <c r="G859" s="20"/>
      <c r="H859" s="20"/>
      <c r="I859" s="20"/>
      <c r="J859" s="20"/>
      <c r="K859" s="20"/>
      <c r="L859" s="20"/>
      <c r="M859" s="20"/>
      <c r="N859" s="20"/>
      <c r="O859" s="20"/>
      <c r="P859" s="20"/>
      <c r="Q859" s="20"/>
      <c r="R859" s="20"/>
      <c r="S859" s="20"/>
      <c r="T859" s="20"/>
      <c r="U859" s="20"/>
      <c r="V859" s="20"/>
      <c r="W859" s="20"/>
      <c r="X859" s="20"/>
      <c r="Y859" s="20"/>
      <c r="Z859" s="20"/>
      <c r="AA859" s="20"/>
    </row>
    <row r="860">
      <c r="A860" s="20"/>
      <c r="B860" s="24"/>
      <c r="C860" s="24"/>
      <c r="D860" s="20"/>
      <c r="E860" s="20"/>
      <c r="F860" s="24"/>
      <c r="G860" s="20"/>
      <c r="H860" s="20"/>
      <c r="I860" s="20"/>
      <c r="J860" s="20"/>
      <c r="K860" s="20"/>
      <c r="L860" s="20"/>
      <c r="M860" s="20"/>
      <c r="N860" s="20"/>
      <c r="O860" s="20"/>
      <c r="P860" s="20"/>
      <c r="Q860" s="20"/>
      <c r="R860" s="20"/>
      <c r="S860" s="20"/>
      <c r="T860" s="20"/>
      <c r="U860" s="20"/>
      <c r="V860" s="20"/>
      <c r="W860" s="20"/>
      <c r="X860" s="20"/>
      <c r="Y860" s="20"/>
      <c r="Z860" s="20"/>
      <c r="AA860" s="20"/>
    </row>
    <row r="861">
      <c r="A861" s="20"/>
      <c r="B861" s="24"/>
      <c r="C861" s="24"/>
      <c r="D861" s="20"/>
      <c r="E861" s="20"/>
      <c r="F861" s="24"/>
      <c r="G861" s="20"/>
      <c r="H861" s="20"/>
      <c r="I861" s="20"/>
      <c r="J861" s="20"/>
      <c r="K861" s="20"/>
      <c r="L861" s="20"/>
      <c r="M861" s="20"/>
      <c r="N861" s="20"/>
      <c r="O861" s="20"/>
      <c r="P861" s="20"/>
      <c r="Q861" s="20"/>
      <c r="R861" s="20"/>
      <c r="S861" s="20"/>
      <c r="T861" s="20"/>
      <c r="U861" s="20"/>
      <c r="V861" s="20"/>
      <c r="W861" s="20"/>
      <c r="X861" s="20"/>
      <c r="Y861" s="20"/>
      <c r="Z861" s="20"/>
      <c r="AA861" s="20"/>
    </row>
    <row r="862">
      <c r="A862" s="20"/>
      <c r="B862" s="24"/>
      <c r="C862" s="24"/>
      <c r="D862" s="20"/>
      <c r="E862" s="20"/>
      <c r="F862" s="24"/>
      <c r="G862" s="20"/>
      <c r="H862" s="20"/>
      <c r="I862" s="20"/>
      <c r="J862" s="20"/>
      <c r="K862" s="20"/>
      <c r="L862" s="20"/>
      <c r="M862" s="20"/>
      <c r="N862" s="20"/>
      <c r="O862" s="20"/>
      <c r="P862" s="20"/>
      <c r="Q862" s="20"/>
      <c r="R862" s="20"/>
      <c r="S862" s="20"/>
      <c r="T862" s="20"/>
      <c r="U862" s="20"/>
      <c r="V862" s="20"/>
      <c r="W862" s="20"/>
      <c r="X862" s="20"/>
      <c r="Y862" s="20"/>
      <c r="Z862" s="20"/>
      <c r="AA862" s="20"/>
    </row>
    <row r="863">
      <c r="A863" s="20"/>
      <c r="B863" s="24"/>
      <c r="C863" s="24"/>
      <c r="D863" s="20"/>
      <c r="E863" s="20"/>
      <c r="F863" s="24"/>
      <c r="G863" s="20"/>
      <c r="H863" s="20"/>
      <c r="I863" s="20"/>
      <c r="J863" s="20"/>
      <c r="K863" s="20"/>
      <c r="L863" s="20"/>
      <c r="M863" s="20"/>
      <c r="N863" s="20"/>
      <c r="O863" s="20"/>
      <c r="P863" s="20"/>
      <c r="Q863" s="20"/>
      <c r="R863" s="20"/>
      <c r="S863" s="20"/>
      <c r="T863" s="20"/>
      <c r="U863" s="20"/>
      <c r="V863" s="20"/>
      <c r="W863" s="20"/>
      <c r="X863" s="20"/>
      <c r="Y863" s="20"/>
      <c r="Z863" s="20"/>
      <c r="AA863" s="20"/>
    </row>
    <row r="864">
      <c r="A864" s="20"/>
      <c r="B864" s="24"/>
      <c r="C864" s="24"/>
      <c r="D864" s="20"/>
      <c r="E864" s="20"/>
      <c r="F864" s="24"/>
      <c r="G864" s="20"/>
      <c r="H864" s="20"/>
      <c r="I864" s="20"/>
      <c r="J864" s="20"/>
      <c r="K864" s="20"/>
      <c r="L864" s="20"/>
      <c r="M864" s="20"/>
      <c r="N864" s="20"/>
      <c r="O864" s="20"/>
      <c r="P864" s="20"/>
      <c r="Q864" s="20"/>
      <c r="R864" s="20"/>
      <c r="S864" s="20"/>
      <c r="T864" s="20"/>
      <c r="U864" s="20"/>
      <c r="V864" s="20"/>
      <c r="W864" s="20"/>
      <c r="X864" s="20"/>
      <c r="Y864" s="20"/>
      <c r="Z864" s="20"/>
      <c r="AA864" s="20"/>
    </row>
    <row r="865">
      <c r="A865" s="20"/>
      <c r="B865" s="24"/>
      <c r="C865" s="24"/>
      <c r="D865" s="20"/>
      <c r="E865" s="20"/>
      <c r="F865" s="24"/>
      <c r="G865" s="20"/>
      <c r="H865" s="20"/>
      <c r="I865" s="20"/>
      <c r="J865" s="20"/>
      <c r="K865" s="20"/>
      <c r="L865" s="20"/>
      <c r="M865" s="20"/>
      <c r="N865" s="20"/>
      <c r="O865" s="20"/>
      <c r="P865" s="20"/>
      <c r="Q865" s="20"/>
      <c r="R865" s="20"/>
      <c r="S865" s="20"/>
      <c r="T865" s="20"/>
      <c r="U865" s="20"/>
      <c r="V865" s="20"/>
      <c r="W865" s="20"/>
      <c r="X865" s="20"/>
      <c r="Y865" s="20"/>
      <c r="Z865" s="20"/>
      <c r="AA865" s="20"/>
    </row>
    <row r="866">
      <c r="A866" s="20"/>
      <c r="B866" s="24"/>
      <c r="C866" s="24"/>
      <c r="D866" s="20"/>
      <c r="E866" s="20"/>
      <c r="F866" s="24"/>
      <c r="G866" s="20"/>
      <c r="H866" s="20"/>
      <c r="I866" s="20"/>
      <c r="J866" s="20"/>
      <c r="K866" s="20"/>
      <c r="L866" s="20"/>
      <c r="M866" s="20"/>
      <c r="N866" s="20"/>
      <c r="O866" s="20"/>
      <c r="P866" s="20"/>
      <c r="Q866" s="20"/>
      <c r="R866" s="20"/>
      <c r="S866" s="20"/>
      <c r="T866" s="20"/>
      <c r="U866" s="20"/>
      <c r="V866" s="20"/>
      <c r="W866" s="20"/>
      <c r="X866" s="20"/>
      <c r="Y866" s="20"/>
      <c r="Z866" s="20"/>
      <c r="AA866" s="20"/>
    </row>
    <row r="867">
      <c r="A867" s="20"/>
      <c r="B867" s="24"/>
      <c r="C867" s="24"/>
      <c r="D867" s="20"/>
      <c r="E867" s="20"/>
      <c r="F867" s="24"/>
      <c r="G867" s="20"/>
      <c r="H867" s="20"/>
      <c r="I867" s="20"/>
      <c r="J867" s="20"/>
      <c r="K867" s="20"/>
      <c r="L867" s="20"/>
      <c r="M867" s="20"/>
      <c r="N867" s="20"/>
      <c r="O867" s="20"/>
      <c r="P867" s="20"/>
      <c r="Q867" s="20"/>
      <c r="R867" s="20"/>
      <c r="S867" s="20"/>
      <c r="T867" s="20"/>
      <c r="U867" s="20"/>
      <c r="V867" s="20"/>
      <c r="W867" s="20"/>
      <c r="X867" s="20"/>
      <c r="Y867" s="20"/>
      <c r="Z867" s="20"/>
      <c r="AA867" s="20"/>
    </row>
    <row r="868">
      <c r="A868" s="20"/>
      <c r="B868" s="24"/>
      <c r="C868" s="24"/>
      <c r="D868" s="20"/>
      <c r="E868" s="20"/>
      <c r="F868" s="24"/>
      <c r="G868" s="20"/>
      <c r="H868" s="20"/>
      <c r="I868" s="20"/>
      <c r="J868" s="20"/>
      <c r="K868" s="20"/>
      <c r="L868" s="20"/>
      <c r="M868" s="20"/>
      <c r="N868" s="20"/>
      <c r="O868" s="20"/>
      <c r="P868" s="20"/>
      <c r="Q868" s="20"/>
      <c r="R868" s="20"/>
      <c r="S868" s="20"/>
      <c r="T868" s="20"/>
      <c r="U868" s="20"/>
      <c r="V868" s="20"/>
      <c r="W868" s="20"/>
      <c r="X868" s="20"/>
      <c r="Y868" s="20"/>
      <c r="Z868" s="20"/>
      <c r="AA868" s="20"/>
    </row>
    <row r="869">
      <c r="A869" s="20"/>
      <c r="B869" s="24"/>
      <c r="C869" s="24"/>
      <c r="D869" s="20"/>
      <c r="E869" s="20"/>
      <c r="F869" s="24"/>
      <c r="G869" s="20"/>
      <c r="H869" s="20"/>
      <c r="I869" s="20"/>
      <c r="J869" s="20"/>
      <c r="K869" s="20"/>
      <c r="L869" s="20"/>
      <c r="M869" s="20"/>
      <c r="N869" s="20"/>
      <c r="O869" s="20"/>
      <c r="P869" s="20"/>
      <c r="Q869" s="20"/>
      <c r="R869" s="20"/>
      <c r="S869" s="20"/>
      <c r="T869" s="20"/>
      <c r="U869" s="20"/>
      <c r="V869" s="20"/>
      <c r="W869" s="20"/>
      <c r="X869" s="20"/>
      <c r="Y869" s="20"/>
      <c r="Z869" s="20"/>
      <c r="AA869" s="20"/>
    </row>
    <row r="870">
      <c r="A870" s="20"/>
      <c r="B870" s="24"/>
      <c r="C870" s="24"/>
      <c r="D870" s="20"/>
      <c r="E870" s="20"/>
      <c r="F870" s="24"/>
      <c r="G870" s="20"/>
      <c r="H870" s="20"/>
      <c r="I870" s="20"/>
      <c r="J870" s="20"/>
      <c r="K870" s="20"/>
      <c r="L870" s="20"/>
      <c r="M870" s="20"/>
      <c r="N870" s="20"/>
      <c r="O870" s="20"/>
      <c r="P870" s="20"/>
      <c r="Q870" s="20"/>
      <c r="R870" s="20"/>
      <c r="S870" s="20"/>
      <c r="T870" s="20"/>
      <c r="U870" s="20"/>
      <c r="V870" s="20"/>
      <c r="W870" s="20"/>
      <c r="X870" s="20"/>
      <c r="Y870" s="20"/>
      <c r="Z870" s="20"/>
      <c r="AA870" s="20"/>
    </row>
    <row r="871">
      <c r="A871" s="20"/>
      <c r="B871" s="24"/>
      <c r="C871" s="24"/>
      <c r="D871" s="20"/>
      <c r="E871" s="20"/>
      <c r="F871" s="24"/>
      <c r="G871" s="20"/>
      <c r="H871" s="20"/>
      <c r="I871" s="20"/>
      <c r="J871" s="20"/>
      <c r="K871" s="20"/>
      <c r="L871" s="20"/>
      <c r="M871" s="20"/>
      <c r="N871" s="20"/>
      <c r="O871" s="20"/>
      <c r="P871" s="20"/>
      <c r="Q871" s="20"/>
      <c r="R871" s="20"/>
      <c r="S871" s="20"/>
      <c r="T871" s="20"/>
      <c r="U871" s="20"/>
      <c r="V871" s="20"/>
      <c r="W871" s="20"/>
      <c r="X871" s="20"/>
      <c r="Y871" s="20"/>
      <c r="Z871" s="20"/>
      <c r="AA871" s="20"/>
    </row>
    <row r="872">
      <c r="A872" s="20"/>
      <c r="B872" s="24"/>
      <c r="C872" s="24"/>
      <c r="D872" s="20"/>
      <c r="E872" s="20"/>
      <c r="F872" s="24"/>
      <c r="G872" s="20"/>
      <c r="H872" s="20"/>
      <c r="I872" s="20"/>
      <c r="J872" s="20"/>
      <c r="K872" s="20"/>
      <c r="L872" s="20"/>
      <c r="M872" s="20"/>
      <c r="N872" s="20"/>
      <c r="O872" s="20"/>
      <c r="P872" s="20"/>
      <c r="Q872" s="20"/>
      <c r="R872" s="20"/>
      <c r="S872" s="20"/>
      <c r="T872" s="20"/>
      <c r="U872" s="20"/>
      <c r="V872" s="20"/>
      <c r="W872" s="20"/>
      <c r="X872" s="20"/>
      <c r="Y872" s="20"/>
      <c r="Z872" s="20"/>
      <c r="AA872" s="20"/>
    </row>
    <row r="873">
      <c r="A873" s="20"/>
      <c r="B873" s="24"/>
      <c r="C873" s="24"/>
      <c r="D873" s="20"/>
      <c r="E873" s="20"/>
      <c r="F873" s="24"/>
      <c r="G873" s="20"/>
      <c r="H873" s="20"/>
      <c r="I873" s="20"/>
      <c r="J873" s="20"/>
      <c r="K873" s="20"/>
      <c r="L873" s="20"/>
      <c r="M873" s="20"/>
      <c r="N873" s="20"/>
      <c r="O873" s="20"/>
      <c r="P873" s="20"/>
      <c r="Q873" s="20"/>
      <c r="R873" s="20"/>
      <c r="S873" s="20"/>
      <c r="T873" s="20"/>
      <c r="U873" s="20"/>
      <c r="V873" s="20"/>
      <c r="W873" s="20"/>
      <c r="X873" s="20"/>
      <c r="Y873" s="20"/>
      <c r="Z873" s="20"/>
      <c r="AA873" s="20"/>
    </row>
    <row r="874">
      <c r="A874" s="20"/>
      <c r="B874" s="24"/>
      <c r="C874" s="24"/>
      <c r="D874" s="20"/>
      <c r="E874" s="20"/>
      <c r="F874" s="24"/>
      <c r="G874" s="20"/>
      <c r="H874" s="20"/>
      <c r="I874" s="20"/>
      <c r="J874" s="20"/>
      <c r="K874" s="20"/>
      <c r="L874" s="20"/>
      <c r="M874" s="20"/>
      <c r="N874" s="20"/>
      <c r="O874" s="20"/>
      <c r="P874" s="20"/>
      <c r="Q874" s="20"/>
      <c r="R874" s="20"/>
      <c r="S874" s="20"/>
      <c r="T874" s="20"/>
      <c r="U874" s="20"/>
      <c r="V874" s="20"/>
      <c r="W874" s="20"/>
      <c r="X874" s="20"/>
      <c r="Y874" s="20"/>
      <c r="Z874" s="20"/>
      <c r="AA874" s="20"/>
    </row>
    <row r="875">
      <c r="A875" s="20"/>
      <c r="B875" s="24"/>
      <c r="C875" s="24"/>
      <c r="D875" s="20"/>
      <c r="E875" s="20"/>
      <c r="F875" s="24"/>
      <c r="G875" s="20"/>
      <c r="H875" s="20"/>
      <c r="I875" s="20"/>
      <c r="J875" s="20"/>
      <c r="K875" s="20"/>
      <c r="L875" s="20"/>
      <c r="M875" s="20"/>
      <c r="N875" s="20"/>
      <c r="O875" s="20"/>
      <c r="P875" s="20"/>
      <c r="Q875" s="20"/>
      <c r="R875" s="20"/>
      <c r="S875" s="20"/>
      <c r="T875" s="20"/>
      <c r="U875" s="20"/>
      <c r="V875" s="20"/>
      <c r="W875" s="20"/>
      <c r="X875" s="20"/>
      <c r="Y875" s="20"/>
      <c r="Z875" s="20"/>
      <c r="AA875" s="20"/>
    </row>
    <row r="876">
      <c r="A876" s="20"/>
      <c r="B876" s="24"/>
      <c r="C876" s="24"/>
      <c r="D876" s="20"/>
      <c r="E876" s="20"/>
      <c r="F876" s="24"/>
      <c r="G876" s="20"/>
      <c r="H876" s="20"/>
      <c r="I876" s="20"/>
      <c r="J876" s="20"/>
      <c r="K876" s="20"/>
      <c r="L876" s="20"/>
      <c r="M876" s="20"/>
      <c r="N876" s="20"/>
      <c r="O876" s="20"/>
      <c r="P876" s="20"/>
      <c r="Q876" s="20"/>
      <c r="R876" s="20"/>
      <c r="S876" s="20"/>
      <c r="T876" s="20"/>
      <c r="U876" s="20"/>
      <c r="V876" s="20"/>
      <c r="W876" s="20"/>
      <c r="X876" s="20"/>
      <c r="Y876" s="20"/>
      <c r="Z876" s="20"/>
      <c r="AA876" s="20"/>
    </row>
    <row r="877">
      <c r="A877" s="20"/>
      <c r="B877" s="24"/>
      <c r="C877" s="24"/>
      <c r="D877" s="20"/>
      <c r="E877" s="20"/>
      <c r="F877" s="24"/>
      <c r="G877" s="20"/>
      <c r="H877" s="20"/>
      <c r="I877" s="20"/>
      <c r="J877" s="20"/>
      <c r="K877" s="20"/>
      <c r="L877" s="20"/>
      <c r="M877" s="20"/>
      <c r="N877" s="20"/>
      <c r="O877" s="20"/>
      <c r="P877" s="20"/>
      <c r="Q877" s="20"/>
      <c r="R877" s="20"/>
      <c r="S877" s="20"/>
      <c r="T877" s="20"/>
      <c r="U877" s="20"/>
      <c r="V877" s="20"/>
      <c r="W877" s="20"/>
      <c r="X877" s="20"/>
      <c r="Y877" s="20"/>
      <c r="Z877" s="20"/>
      <c r="AA877" s="20"/>
    </row>
    <row r="878">
      <c r="A878" s="20"/>
      <c r="B878" s="24"/>
      <c r="C878" s="24"/>
      <c r="D878" s="20"/>
      <c r="E878" s="20"/>
      <c r="F878" s="24"/>
      <c r="G878" s="20"/>
      <c r="H878" s="20"/>
      <c r="I878" s="20"/>
      <c r="J878" s="20"/>
      <c r="K878" s="20"/>
      <c r="L878" s="20"/>
      <c r="M878" s="20"/>
      <c r="N878" s="20"/>
      <c r="O878" s="20"/>
      <c r="P878" s="20"/>
      <c r="Q878" s="20"/>
      <c r="R878" s="20"/>
      <c r="S878" s="20"/>
      <c r="T878" s="20"/>
      <c r="U878" s="20"/>
      <c r="V878" s="20"/>
      <c r="W878" s="20"/>
      <c r="X878" s="20"/>
      <c r="Y878" s="20"/>
      <c r="Z878" s="20"/>
      <c r="AA878" s="20"/>
    </row>
    <row r="879">
      <c r="A879" s="20"/>
      <c r="B879" s="24"/>
      <c r="C879" s="24"/>
      <c r="D879" s="20"/>
      <c r="E879" s="20"/>
      <c r="F879" s="24"/>
      <c r="G879" s="20"/>
      <c r="H879" s="20"/>
      <c r="I879" s="20"/>
      <c r="J879" s="20"/>
      <c r="K879" s="20"/>
      <c r="L879" s="20"/>
      <c r="M879" s="20"/>
      <c r="N879" s="20"/>
      <c r="O879" s="20"/>
      <c r="P879" s="20"/>
      <c r="Q879" s="20"/>
      <c r="R879" s="20"/>
      <c r="S879" s="20"/>
      <c r="T879" s="20"/>
      <c r="U879" s="20"/>
      <c r="V879" s="20"/>
      <c r="W879" s="20"/>
      <c r="X879" s="20"/>
      <c r="Y879" s="20"/>
      <c r="Z879" s="20"/>
      <c r="AA879" s="20"/>
    </row>
    <row r="880">
      <c r="A880" s="20"/>
      <c r="B880" s="24"/>
      <c r="C880" s="24"/>
      <c r="D880" s="20"/>
      <c r="E880" s="20"/>
      <c r="F880" s="24"/>
      <c r="G880" s="20"/>
      <c r="H880" s="20"/>
      <c r="I880" s="20"/>
      <c r="J880" s="20"/>
      <c r="K880" s="20"/>
      <c r="L880" s="20"/>
      <c r="M880" s="20"/>
      <c r="N880" s="20"/>
      <c r="O880" s="20"/>
      <c r="P880" s="20"/>
      <c r="Q880" s="20"/>
      <c r="R880" s="20"/>
      <c r="S880" s="20"/>
      <c r="T880" s="20"/>
      <c r="U880" s="20"/>
      <c r="V880" s="20"/>
      <c r="W880" s="20"/>
      <c r="X880" s="20"/>
      <c r="Y880" s="20"/>
      <c r="Z880" s="20"/>
      <c r="AA880" s="20"/>
    </row>
    <row r="881">
      <c r="A881" s="20"/>
      <c r="B881" s="24"/>
      <c r="C881" s="24"/>
      <c r="D881" s="20"/>
      <c r="E881" s="20"/>
      <c r="F881" s="24"/>
      <c r="G881" s="20"/>
      <c r="H881" s="20"/>
      <c r="I881" s="20"/>
      <c r="J881" s="20"/>
      <c r="K881" s="20"/>
      <c r="L881" s="20"/>
      <c r="M881" s="20"/>
      <c r="N881" s="20"/>
      <c r="O881" s="20"/>
      <c r="P881" s="20"/>
      <c r="Q881" s="20"/>
      <c r="R881" s="20"/>
      <c r="S881" s="20"/>
      <c r="T881" s="20"/>
      <c r="U881" s="20"/>
      <c r="V881" s="20"/>
      <c r="W881" s="20"/>
      <c r="X881" s="20"/>
      <c r="Y881" s="20"/>
      <c r="Z881" s="20"/>
      <c r="AA881" s="20"/>
    </row>
    <row r="882">
      <c r="A882" s="20"/>
      <c r="B882" s="24"/>
      <c r="C882" s="24"/>
      <c r="D882" s="20"/>
      <c r="E882" s="20"/>
      <c r="F882" s="24"/>
      <c r="G882" s="20"/>
      <c r="H882" s="20"/>
      <c r="I882" s="20"/>
      <c r="J882" s="20"/>
      <c r="K882" s="20"/>
      <c r="L882" s="20"/>
      <c r="M882" s="20"/>
      <c r="N882" s="20"/>
      <c r="O882" s="20"/>
      <c r="P882" s="20"/>
      <c r="Q882" s="20"/>
      <c r="R882" s="20"/>
      <c r="S882" s="20"/>
      <c r="T882" s="20"/>
      <c r="U882" s="20"/>
      <c r="V882" s="20"/>
      <c r="W882" s="20"/>
      <c r="X882" s="20"/>
      <c r="Y882" s="20"/>
      <c r="Z882" s="20"/>
      <c r="AA882" s="20"/>
    </row>
    <row r="883">
      <c r="A883" s="20"/>
      <c r="B883" s="24"/>
      <c r="C883" s="24"/>
      <c r="D883" s="20"/>
      <c r="E883" s="20"/>
      <c r="F883" s="24"/>
      <c r="G883" s="20"/>
      <c r="H883" s="20"/>
      <c r="I883" s="20"/>
      <c r="J883" s="20"/>
      <c r="K883" s="20"/>
      <c r="L883" s="20"/>
      <c r="M883" s="20"/>
      <c r="N883" s="20"/>
      <c r="O883" s="20"/>
      <c r="P883" s="20"/>
      <c r="Q883" s="20"/>
      <c r="R883" s="20"/>
      <c r="S883" s="20"/>
      <c r="T883" s="20"/>
      <c r="U883" s="20"/>
      <c r="V883" s="20"/>
      <c r="W883" s="20"/>
      <c r="X883" s="20"/>
      <c r="Y883" s="20"/>
      <c r="Z883" s="20"/>
      <c r="AA883" s="20"/>
    </row>
    <row r="884">
      <c r="A884" s="20"/>
      <c r="B884" s="24"/>
      <c r="C884" s="24"/>
      <c r="D884" s="20"/>
      <c r="E884" s="20"/>
      <c r="F884" s="24"/>
      <c r="G884" s="20"/>
      <c r="H884" s="20"/>
      <c r="I884" s="20"/>
      <c r="J884" s="20"/>
      <c r="K884" s="20"/>
      <c r="L884" s="20"/>
      <c r="M884" s="20"/>
      <c r="N884" s="20"/>
      <c r="O884" s="20"/>
      <c r="P884" s="20"/>
      <c r="Q884" s="20"/>
      <c r="R884" s="20"/>
      <c r="S884" s="20"/>
      <c r="T884" s="20"/>
      <c r="U884" s="20"/>
      <c r="V884" s="20"/>
      <c r="W884" s="20"/>
      <c r="X884" s="20"/>
      <c r="Y884" s="20"/>
      <c r="Z884" s="20"/>
      <c r="AA884" s="20"/>
    </row>
    <row r="885">
      <c r="A885" s="20"/>
      <c r="B885" s="24"/>
      <c r="C885" s="24"/>
      <c r="D885" s="20"/>
      <c r="E885" s="20"/>
      <c r="F885" s="24"/>
      <c r="G885" s="20"/>
      <c r="H885" s="20"/>
      <c r="I885" s="20"/>
      <c r="J885" s="20"/>
      <c r="K885" s="20"/>
      <c r="L885" s="20"/>
      <c r="M885" s="20"/>
      <c r="N885" s="20"/>
      <c r="O885" s="20"/>
      <c r="P885" s="20"/>
      <c r="Q885" s="20"/>
      <c r="R885" s="20"/>
      <c r="S885" s="20"/>
      <c r="T885" s="20"/>
      <c r="U885" s="20"/>
      <c r="V885" s="20"/>
      <c r="W885" s="20"/>
      <c r="X885" s="20"/>
      <c r="Y885" s="20"/>
      <c r="Z885" s="20"/>
      <c r="AA885" s="20"/>
    </row>
    <row r="886">
      <c r="A886" s="20"/>
      <c r="B886" s="24"/>
      <c r="C886" s="24"/>
      <c r="D886" s="20"/>
      <c r="E886" s="20"/>
      <c r="F886" s="24"/>
      <c r="G886" s="20"/>
      <c r="H886" s="20"/>
      <c r="I886" s="20"/>
      <c r="J886" s="20"/>
      <c r="K886" s="20"/>
      <c r="L886" s="20"/>
      <c r="M886" s="20"/>
      <c r="N886" s="20"/>
      <c r="O886" s="20"/>
      <c r="P886" s="20"/>
      <c r="Q886" s="20"/>
      <c r="R886" s="20"/>
      <c r="S886" s="20"/>
      <c r="T886" s="20"/>
      <c r="U886" s="20"/>
      <c r="V886" s="20"/>
      <c r="W886" s="20"/>
      <c r="X886" s="20"/>
      <c r="Y886" s="20"/>
      <c r="Z886" s="20"/>
      <c r="AA886" s="20"/>
    </row>
    <row r="887">
      <c r="A887" s="20"/>
      <c r="B887" s="24"/>
      <c r="C887" s="24"/>
      <c r="D887" s="20"/>
      <c r="E887" s="20"/>
      <c r="F887" s="24"/>
      <c r="G887" s="20"/>
      <c r="H887" s="20"/>
      <c r="I887" s="20"/>
      <c r="J887" s="20"/>
      <c r="K887" s="20"/>
      <c r="L887" s="20"/>
      <c r="M887" s="20"/>
      <c r="N887" s="20"/>
      <c r="O887" s="20"/>
      <c r="P887" s="20"/>
      <c r="Q887" s="20"/>
      <c r="R887" s="20"/>
      <c r="S887" s="20"/>
      <c r="T887" s="20"/>
      <c r="U887" s="20"/>
      <c r="V887" s="20"/>
      <c r="W887" s="20"/>
      <c r="X887" s="20"/>
      <c r="Y887" s="20"/>
      <c r="Z887" s="20"/>
      <c r="AA887" s="20"/>
    </row>
    <row r="888">
      <c r="A888" s="20"/>
      <c r="B888" s="24"/>
      <c r="C888" s="24"/>
      <c r="D888" s="20"/>
      <c r="E888" s="20"/>
      <c r="F888" s="24"/>
      <c r="G888" s="20"/>
      <c r="H888" s="20"/>
      <c r="I888" s="20"/>
      <c r="J888" s="20"/>
      <c r="K888" s="20"/>
      <c r="L888" s="20"/>
      <c r="M888" s="20"/>
      <c r="N888" s="20"/>
      <c r="O888" s="20"/>
      <c r="P888" s="20"/>
      <c r="Q888" s="20"/>
      <c r="R888" s="20"/>
      <c r="S888" s="20"/>
      <c r="T888" s="20"/>
      <c r="U888" s="20"/>
      <c r="V888" s="20"/>
      <c r="W888" s="20"/>
      <c r="X888" s="20"/>
      <c r="Y888" s="20"/>
      <c r="Z888" s="20"/>
      <c r="AA888" s="20"/>
    </row>
    <row r="889">
      <c r="A889" s="20"/>
      <c r="B889" s="24"/>
      <c r="C889" s="24"/>
      <c r="D889" s="20"/>
      <c r="E889" s="20"/>
      <c r="F889" s="24"/>
      <c r="G889" s="20"/>
      <c r="H889" s="20"/>
      <c r="I889" s="20"/>
      <c r="J889" s="20"/>
      <c r="K889" s="20"/>
      <c r="L889" s="20"/>
      <c r="M889" s="20"/>
      <c r="N889" s="20"/>
      <c r="O889" s="20"/>
      <c r="P889" s="20"/>
      <c r="Q889" s="20"/>
      <c r="R889" s="20"/>
      <c r="S889" s="20"/>
      <c r="T889" s="20"/>
      <c r="U889" s="20"/>
      <c r="V889" s="20"/>
      <c r="W889" s="20"/>
      <c r="X889" s="20"/>
      <c r="Y889" s="20"/>
      <c r="Z889" s="20"/>
      <c r="AA889" s="20"/>
    </row>
    <row r="890">
      <c r="A890" s="20"/>
      <c r="B890" s="24"/>
      <c r="C890" s="24"/>
      <c r="D890" s="20"/>
      <c r="E890" s="20"/>
      <c r="F890" s="24"/>
      <c r="G890" s="20"/>
      <c r="H890" s="20"/>
      <c r="I890" s="20"/>
      <c r="J890" s="20"/>
      <c r="K890" s="20"/>
      <c r="L890" s="20"/>
      <c r="M890" s="20"/>
      <c r="N890" s="20"/>
      <c r="O890" s="20"/>
      <c r="P890" s="20"/>
      <c r="Q890" s="20"/>
      <c r="R890" s="20"/>
      <c r="S890" s="20"/>
      <c r="T890" s="20"/>
      <c r="U890" s="20"/>
      <c r="V890" s="20"/>
      <c r="W890" s="20"/>
      <c r="X890" s="20"/>
      <c r="Y890" s="20"/>
      <c r="Z890" s="20"/>
      <c r="AA890" s="20"/>
    </row>
    <row r="891">
      <c r="A891" s="20"/>
      <c r="B891" s="24"/>
      <c r="C891" s="24"/>
      <c r="D891" s="20"/>
      <c r="E891" s="20"/>
      <c r="F891" s="24"/>
      <c r="G891" s="20"/>
      <c r="H891" s="20"/>
      <c r="I891" s="20"/>
      <c r="J891" s="20"/>
      <c r="K891" s="20"/>
      <c r="L891" s="20"/>
      <c r="M891" s="20"/>
      <c r="N891" s="20"/>
      <c r="O891" s="20"/>
      <c r="P891" s="20"/>
      <c r="Q891" s="20"/>
      <c r="R891" s="20"/>
      <c r="S891" s="20"/>
      <c r="T891" s="20"/>
      <c r="U891" s="20"/>
      <c r="V891" s="20"/>
      <c r="W891" s="20"/>
      <c r="X891" s="20"/>
      <c r="Y891" s="20"/>
      <c r="Z891" s="20"/>
      <c r="AA891" s="20"/>
    </row>
    <row r="892">
      <c r="A892" s="20"/>
      <c r="B892" s="24"/>
      <c r="C892" s="24"/>
      <c r="D892" s="20"/>
      <c r="E892" s="20"/>
      <c r="F892" s="24"/>
      <c r="G892" s="20"/>
      <c r="H892" s="20"/>
      <c r="I892" s="20"/>
      <c r="J892" s="20"/>
      <c r="K892" s="20"/>
      <c r="L892" s="20"/>
      <c r="M892" s="20"/>
      <c r="N892" s="20"/>
      <c r="O892" s="20"/>
      <c r="P892" s="20"/>
      <c r="Q892" s="20"/>
      <c r="R892" s="20"/>
      <c r="S892" s="20"/>
      <c r="T892" s="20"/>
      <c r="U892" s="20"/>
      <c r="V892" s="20"/>
      <c r="W892" s="20"/>
      <c r="X892" s="20"/>
      <c r="Y892" s="20"/>
      <c r="Z892" s="20"/>
      <c r="AA892" s="20"/>
    </row>
    <row r="893">
      <c r="A893" s="20"/>
      <c r="B893" s="24"/>
      <c r="C893" s="24"/>
      <c r="D893" s="20"/>
      <c r="E893" s="20"/>
      <c r="F893" s="24"/>
      <c r="G893" s="20"/>
      <c r="H893" s="20"/>
      <c r="I893" s="20"/>
      <c r="J893" s="20"/>
      <c r="K893" s="20"/>
      <c r="L893" s="20"/>
      <c r="M893" s="20"/>
      <c r="N893" s="20"/>
      <c r="O893" s="20"/>
      <c r="P893" s="20"/>
      <c r="Q893" s="20"/>
      <c r="R893" s="20"/>
      <c r="S893" s="20"/>
      <c r="T893" s="20"/>
      <c r="U893" s="20"/>
      <c r="V893" s="20"/>
      <c r="W893" s="20"/>
      <c r="X893" s="20"/>
      <c r="Y893" s="20"/>
      <c r="Z893" s="20"/>
      <c r="AA893" s="20"/>
    </row>
    <row r="894">
      <c r="A894" s="20"/>
      <c r="B894" s="24"/>
      <c r="C894" s="24"/>
      <c r="D894" s="20"/>
      <c r="E894" s="20"/>
      <c r="F894" s="24"/>
      <c r="G894" s="20"/>
      <c r="H894" s="20"/>
      <c r="I894" s="20"/>
      <c r="J894" s="20"/>
      <c r="K894" s="20"/>
      <c r="L894" s="20"/>
      <c r="M894" s="20"/>
      <c r="N894" s="20"/>
      <c r="O894" s="20"/>
      <c r="P894" s="20"/>
      <c r="Q894" s="20"/>
      <c r="R894" s="20"/>
      <c r="S894" s="20"/>
      <c r="T894" s="20"/>
      <c r="U894" s="20"/>
      <c r="V894" s="20"/>
      <c r="W894" s="20"/>
      <c r="X894" s="20"/>
      <c r="Y894" s="20"/>
      <c r="Z894" s="20"/>
      <c r="AA894" s="20"/>
    </row>
    <row r="895">
      <c r="A895" s="20"/>
      <c r="B895" s="24"/>
      <c r="C895" s="24"/>
      <c r="D895" s="20"/>
      <c r="E895" s="20"/>
      <c r="F895" s="24"/>
      <c r="G895" s="20"/>
      <c r="H895" s="20"/>
      <c r="I895" s="20"/>
      <c r="J895" s="20"/>
      <c r="K895" s="20"/>
      <c r="L895" s="20"/>
      <c r="M895" s="20"/>
      <c r="N895" s="20"/>
      <c r="O895" s="20"/>
      <c r="P895" s="20"/>
      <c r="Q895" s="20"/>
      <c r="R895" s="20"/>
      <c r="S895" s="20"/>
      <c r="T895" s="20"/>
      <c r="U895" s="20"/>
      <c r="V895" s="20"/>
      <c r="W895" s="20"/>
      <c r="X895" s="20"/>
      <c r="Y895" s="20"/>
      <c r="Z895" s="20"/>
      <c r="AA895" s="20"/>
    </row>
    <row r="896">
      <c r="A896" s="20"/>
      <c r="B896" s="24"/>
      <c r="C896" s="24"/>
      <c r="D896" s="20"/>
      <c r="E896" s="20"/>
      <c r="F896" s="24"/>
      <c r="G896" s="20"/>
      <c r="H896" s="20"/>
      <c r="I896" s="20"/>
      <c r="J896" s="20"/>
      <c r="K896" s="20"/>
      <c r="L896" s="20"/>
      <c r="M896" s="20"/>
      <c r="N896" s="20"/>
      <c r="O896" s="20"/>
      <c r="P896" s="20"/>
      <c r="Q896" s="20"/>
      <c r="R896" s="20"/>
      <c r="S896" s="20"/>
      <c r="T896" s="20"/>
      <c r="U896" s="20"/>
      <c r="V896" s="20"/>
      <c r="W896" s="20"/>
      <c r="X896" s="20"/>
      <c r="Y896" s="20"/>
      <c r="Z896" s="20"/>
      <c r="AA896" s="20"/>
    </row>
    <row r="897">
      <c r="A897" s="20"/>
      <c r="B897" s="24"/>
      <c r="C897" s="24"/>
      <c r="D897" s="20"/>
      <c r="E897" s="20"/>
      <c r="F897" s="24"/>
      <c r="G897" s="20"/>
      <c r="H897" s="20"/>
      <c r="I897" s="20"/>
      <c r="J897" s="20"/>
      <c r="K897" s="20"/>
      <c r="L897" s="20"/>
      <c r="M897" s="20"/>
      <c r="N897" s="20"/>
      <c r="O897" s="20"/>
      <c r="P897" s="20"/>
      <c r="Q897" s="20"/>
      <c r="R897" s="20"/>
      <c r="S897" s="20"/>
      <c r="T897" s="20"/>
      <c r="U897" s="20"/>
      <c r="V897" s="20"/>
      <c r="W897" s="20"/>
      <c r="X897" s="20"/>
      <c r="Y897" s="20"/>
      <c r="Z897" s="20"/>
      <c r="AA897" s="20"/>
    </row>
    <row r="898">
      <c r="A898" s="20"/>
      <c r="B898" s="24"/>
      <c r="C898" s="24"/>
      <c r="D898" s="20"/>
      <c r="E898" s="20"/>
      <c r="F898" s="24"/>
      <c r="G898" s="20"/>
      <c r="H898" s="20"/>
      <c r="I898" s="20"/>
      <c r="J898" s="20"/>
      <c r="K898" s="20"/>
      <c r="L898" s="20"/>
      <c r="M898" s="20"/>
      <c r="N898" s="20"/>
      <c r="O898" s="20"/>
      <c r="P898" s="20"/>
      <c r="Q898" s="20"/>
      <c r="R898" s="20"/>
      <c r="S898" s="20"/>
      <c r="T898" s="20"/>
      <c r="U898" s="20"/>
      <c r="V898" s="20"/>
      <c r="W898" s="20"/>
      <c r="X898" s="20"/>
      <c r="Y898" s="20"/>
      <c r="Z898" s="20"/>
      <c r="AA898" s="20"/>
    </row>
    <row r="899">
      <c r="A899" s="20"/>
      <c r="B899" s="24"/>
      <c r="C899" s="24"/>
      <c r="D899" s="20"/>
      <c r="E899" s="20"/>
      <c r="F899" s="24"/>
      <c r="G899" s="20"/>
      <c r="H899" s="20"/>
      <c r="I899" s="20"/>
      <c r="J899" s="20"/>
      <c r="K899" s="20"/>
      <c r="L899" s="20"/>
      <c r="M899" s="20"/>
      <c r="N899" s="20"/>
      <c r="O899" s="20"/>
      <c r="P899" s="20"/>
      <c r="Q899" s="20"/>
      <c r="R899" s="20"/>
      <c r="S899" s="20"/>
      <c r="T899" s="20"/>
      <c r="U899" s="20"/>
      <c r="V899" s="20"/>
      <c r="W899" s="20"/>
      <c r="X899" s="20"/>
      <c r="Y899" s="20"/>
      <c r="Z899" s="20"/>
      <c r="AA899" s="20"/>
    </row>
    <row r="900">
      <c r="A900" s="20"/>
      <c r="B900" s="24"/>
      <c r="C900" s="24"/>
      <c r="D900" s="20"/>
      <c r="E900" s="20"/>
      <c r="F900" s="24"/>
      <c r="G900" s="20"/>
      <c r="H900" s="20"/>
      <c r="I900" s="20"/>
      <c r="J900" s="20"/>
      <c r="K900" s="20"/>
      <c r="L900" s="20"/>
      <c r="M900" s="20"/>
      <c r="N900" s="20"/>
      <c r="O900" s="20"/>
      <c r="P900" s="20"/>
      <c r="Q900" s="20"/>
      <c r="R900" s="20"/>
      <c r="S900" s="20"/>
      <c r="T900" s="20"/>
      <c r="U900" s="20"/>
      <c r="V900" s="20"/>
      <c r="W900" s="20"/>
      <c r="X900" s="20"/>
      <c r="Y900" s="20"/>
      <c r="Z900" s="20"/>
      <c r="AA900" s="20"/>
    </row>
    <row r="901">
      <c r="A901" s="20"/>
      <c r="B901" s="24"/>
      <c r="C901" s="24"/>
      <c r="D901" s="20"/>
      <c r="E901" s="20"/>
      <c r="F901" s="24"/>
      <c r="G901" s="20"/>
      <c r="H901" s="20"/>
      <c r="I901" s="20"/>
      <c r="J901" s="20"/>
      <c r="K901" s="20"/>
      <c r="L901" s="20"/>
      <c r="M901" s="20"/>
      <c r="N901" s="20"/>
      <c r="O901" s="20"/>
      <c r="P901" s="20"/>
      <c r="Q901" s="20"/>
      <c r="R901" s="20"/>
      <c r="S901" s="20"/>
      <c r="T901" s="20"/>
      <c r="U901" s="20"/>
      <c r="V901" s="20"/>
      <c r="W901" s="20"/>
      <c r="X901" s="20"/>
      <c r="Y901" s="20"/>
      <c r="Z901" s="20"/>
      <c r="AA901" s="20"/>
    </row>
    <row r="902">
      <c r="A902" s="20"/>
      <c r="B902" s="24"/>
      <c r="C902" s="24"/>
      <c r="D902" s="20"/>
      <c r="E902" s="20"/>
      <c r="F902" s="24"/>
      <c r="G902" s="20"/>
      <c r="H902" s="20"/>
      <c r="I902" s="20"/>
      <c r="J902" s="20"/>
      <c r="K902" s="20"/>
      <c r="L902" s="20"/>
      <c r="M902" s="20"/>
      <c r="N902" s="20"/>
      <c r="O902" s="20"/>
      <c r="P902" s="20"/>
      <c r="Q902" s="20"/>
      <c r="R902" s="20"/>
      <c r="S902" s="20"/>
      <c r="T902" s="20"/>
      <c r="U902" s="20"/>
      <c r="V902" s="20"/>
      <c r="W902" s="20"/>
      <c r="X902" s="20"/>
      <c r="Y902" s="20"/>
      <c r="Z902" s="20"/>
      <c r="AA902" s="20"/>
    </row>
    <row r="903">
      <c r="A903" s="20"/>
      <c r="B903" s="24"/>
      <c r="C903" s="24"/>
      <c r="D903" s="20"/>
      <c r="E903" s="20"/>
      <c r="F903" s="24"/>
      <c r="G903" s="20"/>
      <c r="H903" s="20"/>
      <c r="I903" s="20"/>
      <c r="J903" s="20"/>
      <c r="K903" s="20"/>
      <c r="L903" s="20"/>
      <c r="M903" s="20"/>
      <c r="N903" s="20"/>
      <c r="O903" s="20"/>
      <c r="P903" s="20"/>
      <c r="Q903" s="20"/>
      <c r="R903" s="20"/>
      <c r="S903" s="20"/>
      <c r="T903" s="20"/>
      <c r="U903" s="20"/>
      <c r="V903" s="20"/>
      <c r="W903" s="20"/>
      <c r="X903" s="20"/>
      <c r="Y903" s="20"/>
      <c r="Z903" s="20"/>
      <c r="AA903" s="20"/>
    </row>
    <row r="904">
      <c r="A904" s="20"/>
      <c r="B904" s="24"/>
      <c r="C904" s="24"/>
      <c r="D904" s="20"/>
      <c r="E904" s="20"/>
      <c r="F904" s="24"/>
      <c r="G904" s="20"/>
      <c r="H904" s="20"/>
      <c r="I904" s="20"/>
      <c r="J904" s="20"/>
      <c r="K904" s="20"/>
      <c r="L904" s="20"/>
      <c r="M904" s="20"/>
      <c r="N904" s="20"/>
      <c r="O904" s="20"/>
      <c r="P904" s="20"/>
      <c r="Q904" s="20"/>
      <c r="R904" s="20"/>
      <c r="S904" s="20"/>
      <c r="T904" s="20"/>
      <c r="U904" s="20"/>
      <c r="V904" s="20"/>
      <c r="W904" s="20"/>
      <c r="X904" s="20"/>
      <c r="Y904" s="20"/>
      <c r="Z904" s="20"/>
      <c r="AA904" s="20"/>
    </row>
    <row r="905">
      <c r="A905" s="20"/>
      <c r="B905" s="24"/>
      <c r="C905" s="24"/>
      <c r="D905" s="20"/>
      <c r="E905" s="20"/>
      <c r="F905" s="24"/>
      <c r="G905" s="20"/>
      <c r="H905" s="20"/>
      <c r="I905" s="20"/>
      <c r="J905" s="20"/>
      <c r="K905" s="20"/>
      <c r="L905" s="20"/>
      <c r="M905" s="20"/>
      <c r="N905" s="20"/>
      <c r="O905" s="20"/>
      <c r="P905" s="20"/>
      <c r="Q905" s="20"/>
      <c r="R905" s="20"/>
      <c r="S905" s="20"/>
      <c r="T905" s="20"/>
      <c r="U905" s="20"/>
      <c r="V905" s="20"/>
      <c r="W905" s="20"/>
      <c r="X905" s="20"/>
      <c r="Y905" s="20"/>
      <c r="Z905" s="20"/>
      <c r="AA905" s="20"/>
    </row>
    <row r="906">
      <c r="A906" s="20"/>
      <c r="B906" s="24"/>
      <c r="C906" s="24"/>
      <c r="D906" s="20"/>
      <c r="E906" s="20"/>
      <c r="F906" s="24"/>
      <c r="G906" s="20"/>
      <c r="H906" s="20"/>
      <c r="I906" s="20"/>
      <c r="J906" s="20"/>
      <c r="K906" s="20"/>
      <c r="L906" s="20"/>
      <c r="M906" s="20"/>
      <c r="N906" s="20"/>
      <c r="O906" s="20"/>
      <c r="P906" s="20"/>
      <c r="Q906" s="20"/>
      <c r="R906" s="20"/>
      <c r="S906" s="20"/>
      <c r="T906" s="20"/>
      <c r="U906" s="20"/>
      <c r="V906" s="20"/>
      <c r="W906" s="20"/>
      <c r="X906" s="20"/>
      <c r="Y906" s="20"/>
      <c r="Z906" s="20"/>
      <c r="AA906" s="20"/>
    </row>
    <row r="907">
      <c r="A907" s="20"/>
      <c r="B907" s="24"/>
      <c r="C907" s="24"/>
      <c r="D907" s="20"/>
      <c r="E907" s="20"/>
      <c r="F907" s="24"/>
      <c r="G907" s="20"/>
      <c r="H907" s="20"/>
      <c r="I907" s="20"/>
      <c r="J907" s="20"/>
      <c r="K907" s="20"/>
      <c r="L907" s="20"/>
      <c r="M907" s="20"/>
      <c r="N907" s="20"/>
      <c r="O907" s="20"/>
      <c r="P907" s="20"/>
      <c r="Q907" s="20"/>
      <c r="R907" s="20"/>
      <c r="S907" s="20"/>
      <c r="T907" s="20"/>
      <c r="U907" s="20"/>
      <c r="V907" s="20"/>
      <c r="W907" s="20"/>
      <c r="X907" s="20"/>
      <c r="Y907" s="20"/>
      <c r="Z907" s="20"/>
      <c r="AA907" s="20"/>
    </row>
    <row r="908">
      <c r="A908" s="20"/>
      <c r="B908" s="24"/>
      <c r="C908" s="24"/>
      <c r="D908" s="20"/>
      <c r="E908" s="20"/>
      <c r="F908" s="24"/>
      <c r="G908" s="20"/>
      <c r="H908" s="20"/>
      <c r="I908" s="20"/>
      <c r="J908" s="20"/>
      <c r="K908" s="20"/>
      <c r="L908" s="20"/>
      <c r="M908" s="20"/>
      <c r="N908" s="20"/>
      <c r="O908" s="20"/>
      <c r="P908" s="20"/>
      <c r="Q908" s="20"/>
      <c r="R908" s="20"/>
      <c r="S908" s="20"/>
      <c r="T908" s="20"/>
      <c r="U908" s="20"/>
      <c r="V908" s="20"/>
      <c r="W908" s="20"/>
      <c r="X908" s="20"/>
      <c r="Y908" s="20"/>
      <c r="Z908" s="20"/>
      <c r="AA908" s="20"/>
    </row>
    <row r="909">
      <c r="A909" s="20"/>
      <c r="B909" s="24"/>
      <c r="C909" s="24"/>
      <c r="D909" s="20"/>
      <c r="E909" s="20"/>
      <c r="F909" s="24"/>
      <c r="G909" s="20"/>
      <c r="H909" s="20"/>
      <c r="I909" s="20"/>
      <c r="J909" s="20"/>
      <c r="K909" s="20"/>
      <c r="L909" s="20"/>
      <c r="M909" s="20"/>
      <c r="N909" s="20"/>
      <c r="O909" s="20"/>
      <c r="P909" s="20"/>
      <c r="Q909" s="20"/>
      <c r="R909" s="20"/>
      <c r="S909" s="20"/>
      <c r="T909" s="20"/>
      <c r="U909" s="20"/>
      <c r="V909" s="20"/>
      <c r="W909" s="20"/>
      <c r="X909" s="20"/>
      <c r="Y909" s="20"/>
      <c r="Z909" s="20"/>
      <c r="AA909" s="20"/>
    </row>
    <row r="910">
      <c r="A910" s="20"/>
      <c r="B910" s="24"/>
      <c r="C910" s="24"/>
      <c r="D910" s="20"/>
      <c r="E910" s="20"/>
      <c r="F910" s="24"/>
      <c r="G910" s="20"/>
      <c r="H910" s="20"/>
      <c r="I910" s="20"/>
      <c r="J910" s="20"/>
      <c r="K910" s="20"/>
      <c r="L910" s="20"/>
      <c r="M910" s="20"/>
      <c r="N910" s="20"/>
      <c r="O910" s="20"/>
      <c r="P910" s="20"/>
      <c r="Q910" s="20"/>
      <c r="R910" s="20"/>
      <c r="S910" s="20"/>
      <c r="T910" s="20"/>
      <c r="U910" s="20"/>
      <c r="V910" s="20"/>
      <c r="W910" s="20"/>
      <c r="X910" s="20"/>
      <c r="Y910" s="20"/>
      <c r="Z910" s="20"/>
      <c r="AA910" s="20"/>
    </row>
    <row r="911">
      <c r="A911" s="20"/>
      <c r="B911" s="24"/>
      <c r="C911" s="24"/>
      <c r="D911" s="20"/>
      <c r="E911" s="20"/>
      <c r="F911" s="24"/>
      <c r="G911" s="20"/>
      <c r="H911" s="20"/>
      <c r="I911" s="20"/>
      <c r="J911" s="20"/>
      <c r="K911" s="20"/>
      <c r="L911" s="20"/>
      <c r="M911" s="20"/>
      <c r="N911" s="20"/>
      <c r="O911" s="20"/>
      <c r="P911" s="20"/>
      <c r="Q911" s="20"/>
      <c r="R911" s="20"/>
      <c r="S911" s="20"/>
      <c r="T911" s="20"/>
      <c r="U911" s="20"/>
      <c r="V911" s="20"/>
      <c r="W911" s="20"/>
      <c r="X911" s="20"/>
      <c r="Y911" s="20"/>
      <c r="Z911" s="20"/>
      <c r="AA911" s="20"/>
    </row>
    <row r="912">
      <c r="A912" s="20"/>
      <c r="B912" s="24"/>
      <c r="C912" s="24"/>
      <c r="D912" s="20"/>
      <c r="E912" s="20"/>
      <c r="F912" s="24"/>
      <c r="G912" s="20"/>
      <c r="H912" s="20"/>
      <c r="I912" s="20"/>
      <c r="J912" s="20"/>
      <c r="K912" s="20"/>
      <c r="L912" s="20"/>
      <c r="M912" s="20"/>
      <c r="N912" s="20"/>
      <c r="O912" s="20"/>
      <c r="P912" s="20"/>
      <c r="Q912" s="20"/>
      <c r="R912" s="20"/>
      <c r="S912" s="20"/>
      <c r="T912" s="20"/>
      <c r="U912" s="20"/>
      <c r="V912" s="20"/>
      <c r="W912" s="20"/>
      <c r="X912" s="20"/>
      <c r="Y912" s="20"/>
      <c r="Z912" s="20"/>
      <c r="AA912" s="20"/>
    </row>
    <row r="913">
      <c r="A913" s="20"/>
      <c r="B913" s="24"/>
      <c r="C913" s="24"/>
      <c r="D913" s="20"/>
      <c r="E913" s="20"/>
      <c r="F913" s="24"/>
      <c r="G913" s="20"/>
      <c r="H913" s="20"/>
      <c r="I913" s="20"/>
      <c r="J913" s="20"/>
      <c r="K913" s="20"/>
      <c r="L913" s="20"/>
      <c r="M913" s="20"/>
      <c r="N913" s="20"/>
      <c r="O913" s="20"/>
      <c r="P913" s="20"/>
      <c r="Q913" s="20"/>
      <c r="R913" s="20"/>
      <c r="S913" s="20"/>
      <c r="T913" s="20"/>
      <c r="U913" s="20"/>
      <c r="V913" s="20"/>
      <c r="W913" s="20"/>
      <c r="X913" s="20"/>
      <c r="Y913" s="20"/>
      <c r="Z913" s="20"/>
      <c r="AA913" s="20"/>
    </row>
    <row r="914">
      <c r="A914" s="20"/>
      <c r="B914" s="24"/>
      <c r="C914" s="24"/>
      <c r="D914" s="20"/>
      <c r="E914" s="20"/>
      <c r="F914" s="24"/>
      <c r="G914" s="20"/>
      <c r="H914" s="20"/>
      <c r="I914" s="20"/>
      <c r="J914" s="20"/>
      <c r="K914" s="20"/>
      <c r="L914" s="20"/>
      <c r="M914" s="20"/>
      <c r="N914" s="20"/>
      <c r="O914" s="20"/>
      <c r="P914" s="20"/>
      <c r="Q914" s="20"/>
      <c r="R914" s="20"/>
      <c r="S914" s="20"/>
      <c r="T914" s="20"/>
      <c r="U914" s="20"/>
      <c r="V914" s="20"/>
      <c r="W914" s="20"/>
      <c r="X914" s="20"/>
      <c r="Y914" s="20"/>
      <c r="Z914" s="20"/>
      <c r="AA914" s="20"/>
    </row>
    <row r="915">
      <c r="A915" s="20"/>
      <c r="B915" s="24"/>
      <c r="C915" s="24"/>
      <c r="D915" s="20"/>
      <c r="E915" s="20"/>
      <c r="F915" s="24"/>
      <c r="G915" s="20"/>
      <c r="H915" s="20"/>
      <c r="I915" s="20"/>
      <c r="J915" s="20"/>
      <c r="K915" s="20"/>
      <c r="L915" s="20"/>
      <c r="M915" s="20"/>
      <c r="N915" s="20"/>
      <c r="O915" s="20"/>
      <c r="P915" s="20"/>
      <c r="Q915" s="20"/>
      <c r="R915" s="20"/>
      <c r="S915" s="20"/>
      <c r="T915" s="20"/>
      <c r="U915" s="20"/>
      <c r="V915" s="20"/>
      <c r="W915" s="20"/>
      <c r="X915" s="20"/>
      <c r="Y915" s="20"/>
      <c r="Z915" s="20"/>
      <c r="AA915" s="20"/>
    </row>
    <row r="916">
      <c r="A916" s="20"/>
      <c r="B916" s="24"/>
      <c r="C916" s="24"/>
      <c r="D916" s="20"/>
      <c r="E916" s="20"/>
      <c r="F916" s="24"/>
      <c r="G916" s="20"/>
      <c r="H916" s="20"/>
      <c r="I916" s="20"/>
      <c r="J916" s="20"/>
      <c r="K916" s="20"/>
      <c r="L916" s="20"/>
      <c r="M916" s="20"/>
      <c r="N916" s="20"/>
      <c r="O916" s="20"/>
      <c r="P916" s="20"/>
      <c r="Q916" s="20"/>
      <c r="R916" s="20"/>
      <c r="S916" s="20"/>
      <c r="T916" s="20"/>
      <c r="U916" s="20"/>
      <c r="V916" s="20"/>
      <c r="W916" s="20"/>
      <c r="X916" s="20"/>
      <c r="Y916" s="20"/>
      <c r="Z916" s="20"/>
      <c r="AA916" s="20"/>
    </row>
    <row r="917">
      <c r="A917" s="20"/>
      <c r="B917" s="24"/>
      <c r="C917" s="24"/>
      <c r="D917" s="20"/>
      <c r="E917" s="20"/>
      <c r="F917" s="24"/>
      <c r="G917" s="20"/>
      <c r="H917" s="20"/>
      <c r="I917" s="20"/>
      <c r="J917" s="20"/>
      <c r="K917" s="20"/>
      <c r="L917" s="20"/>
      <c r="M917" s="20"/>
      <c r="N917" s="20"/>
      <c r="O917" s="20"/>
      <c r="P917" s="20"/>
      <c r="Q917" s="20"/>
      <c r="R917" s="20"/>
      <c r="S917" s="20"/>
      <c r="T917" s="20"/>
      <c r="U917" s="20"/>
      <c r="V917" s="20"/>
      <c r="W917" s="20"/>
      <c r="X917" s="20"/>
      <c r="Y917" s="20"/>
      <c r="Z917" s="20"/>
      <c r="AA917" s="20"/>
    </row>
    <row r="918">
      <c r="A918" s="20"/>
      <c r="B918" s="24"/>
      <c r="C918" s="24"/>
      <c r="D918" s="20"/>
      <c r="E918" s="20"/>
      <c r="F918" s="24"/>
      <c r="G918" s="20"/>
      <c r="H918" s="20"/>
      <c r="I918" s="20"/>
      <c r="J918" s="20"/>
      <c r="K918" s="20"/>
      <c r="L918" s="20"/>
      <c r="M918" s="20"/>
      <c r="N918" s="20"/>
      <c r="O918" s="20"/>
      <c r="P918" s="20"/>
      <c r="Q918" s="20"/>
      <c r="R918" s="20"/>
      <c r="S918" s="20"/>
      <c r="T918" s="20"/>
      <c r="U918" s="20"/>
      <c r="V918" s="20"/>
      <c r="W918" s="20"/>
      <c r="X918" s="20"/>
      <c r="Y918" s="20"/>
      <c r="Z918" s="20"/>
      <c r="AA918" s="20"/>
    </row>
    <row r="919">
      <c r="A919" s="20"/>
      <c r="B919" s="24"/>
      <c r="C919" s="24"/>
      <c r="D919" s="20"/>
      <c r="E919" s="20"/>
      <c r="F919" s="24"/>
      <c r="G919" s="20"/>
      <c r="H919" s="20"/>
      <c r="I919" s="20"/>
      <c r="J919" s="20"/>
      <c r="K919" s="20"/>
      <c r="L919" s="20"/>
      <c r="M919" s="20"/>
      <c r="N919" s="20"/>
      <c r="O919" s="20"/>
      <c r="P919" s="20"/>
      <c r="Q919" s="20"/>
      <c r="R919" s="20"/>
      <c r="S919" s="20"/>
      <c r="T919" s="20"/>
      <c r="U919" s="20"/>
      <c r="V919" s="20"/>
      <c r="W919" s="20"/>
      <c r="X919" s="20"/>
      <c r="Y919" s="20"/>
      <c r="Z919" s="20"/>
      <c r="AA919" s="20"/>
    </row>
    <row r="920">
      <c r="A920" s="20"/>
      <c r="B920" s="24"/>
      <c r="C920" s="24"/>
      <c r="D920" s="20"/>
      <c r="E920" s="20"/>
      <c r="F920" s="24"/>
      <c r="G920" s="20"/>
      <c r="H920" s="20"/>
      <c r="I920" s="20"/>
      <c r="J920" s="20"/>
      <c r="K920" s="20"/>
      <c r="L920" s="20"/>
      <c r="M920" s="20"/>
      <c r="N920" s="20"/>
      <c r="O920" s="20"/>
      <c r="P920" s="20"/>
      <c r="Q920" s="20"/>
      <c r="R920" s="20"/>
      <c r="S920" s="20"/>
      <c r="T920" s="20"/>
      <c r="U920" s="20"/>
      <c r="V920" s="20"/>
      <c r="W920" s="20"/>
      <c r="X920" s="20"/>
      <c r="Y920" s="20"/>
      <c r="Z920" s="20"/>
      <c r="AA920" s="20"/>
    </row>
    <row r="921">
      <c r="A921" s="20"/>
      <c r="B921" s="24"/>
      <c r="C921" s="24"/>
      <c r="D921" s="20"/>
      <c r="E921" s="20"/>
      <c r="F921" s="24"/>
      <c r="G921" s="20"/>
      <c r="H921" s="20"/>
      <c r="I921" s="20"/>
      <c r="J921" s="20"/>
      <c r="K921" s="20"/>
      <c r="L921" s="20"/>
      <c r="M921" s="20"/>
      <c r="N921" s="20"/>
      <c r="O921" s="20"/>
      <c r="P921" s="20"/>
      <c r="Q921" s="20"/>
      <c r="R921" s="20"/>
      <c r="S921" s="20"/>
      <c r="T921" s="20"/>
      <c r="U921" s="20"/>
      <c r="V921" s="20"/>
      <c r="W921" s="20"/>
      <c r="X921" s="20"/>
      <c r="Y921" s="20"/>
      <c r="Z921" s="20"/>
      <c r="AA921" s="20"/>
    </row>
    <row r="922">
      <c r="A922" s="20"/>
      <c r="B922" s="24"/>
      <c r="C922" s="24"/>
      <c r="D922" s="20"/>
      <c r="E922" s="20"/>
      <c r="F922" s="24"/>
      <c r="G922" s="20"/>
      <c r="H922" s="20"/>
      <c r="I922" s="20"/>
      <c r="J922" s="20"/>
      <c r="K922" s="20"/>
      <c r="L922" s="20"/>
      <c r="M922" s="20"/>
      <c r="N922" s="20"/>
      <c r="O922" s="20"/>
      <c r="P922" s="20"/>
      <c r="Q922" s="20"/>
      <c r="R922" s="20"/>
      <c r="S922" s="20"/>
      <c r="T922" s="20"/>
      <c r="U922" s="20"/>
      <c r="V922" s="20"/>
      <c r="W922" s="20"/>
      <c r="X922" s="20"/>
      <c r="Y922" s="20"/>
      <c r="Z922" s="20"/>
      <c r="AA922" s="20"/>
    </row>
    <row r="923">
      <c r="A923" s="20"/>
      <c r="B923" s="24"/>
      <c r="C923" s="24"/>
      <c r="D923" s="20"/>
      <c r="E923" s="20"/>
      <c r="F923" s="24"/>
      <c r="G923" s="20"/>
      <c r="H923" s="20"/>
      <c r="I923" s="20"/>
      <c r="J923" s="20"/>
      <c r="K923" s="20"/>
      <c r="L923" s="20"/>
      <c r="M923" s="20"/>
      <c r="N923" s="20"/>
      <c r="O923" s="20"/>
      <c r="P923" s="20"/>
      <c r="Q923" s="20"/>
      <c r="R923" s="20"/>
      <c r="S923" s="20"/>
      <c r="T923" s="20"/>
      <c r="U923" s="20"/>
      <c r="V923" s="20"/>
      <c r="W923" s="20"/>
      <c r="X923" s="20"/>
      <c r="Y923" s="20"/>
      <c r="Z923" s="20"/>
      <c r="AA923" s="20"/>
    </row>
    <row r="924">
      <c r="A924" s="20"/>
      <c r="B924" s="24"/>
      <c r="C924" s="24"/>
      <c r="D924" s="20"/>
      <c r="E924" s="20"/>
      <c r="F924" s="24"/>
      <c r="G924" s="20"/>
      <c r="H924" s="20"/>
      <c r="I924" s="20"/>
      <c r="J924" s="20"/>
      <c r="K924" s="20"/>
      <c r="L924" s="20"/>
      <c r="M924" s="20"/>
      <c r="N924" s="20"/>
      <c r="O924" s="20"/>
      <c r="P924" s="20"/>
      <c r="Q924" s="20"/>
      <c r="R924" s="20"/>
      <c r="S924" s="20"/>
      <c r="T924" s="20"/>
      <c r="U924" s="20"/>
      <c r="V924" s="20"/>
      <c r="W924" s="20"/>
      <c r="X924" s="20"/>
      <c r="Y924" s="20"/>
      <c r="Z924" s="20"/>
      <c r="AA924" s="20"/>
    </row>
    <row r="925">
      <c r="A925" s="20"/>
      <c r="B925" s="24"/>
      <c r="C925" s="24"/>
      <c r="D925" s="20"/>
      <c r="E925" s="20"/>
      <c r="F925" s="24"/>
      <c r="G925" s="20"/>
      <c r="H925" s="20"/>
      <c r="I925" s="20"/>
      <c r="J925" s="20"/>
      <c r="K925" s="20"/>
      <c r="L925" s="20"/>
      <c r="M925" s="20"/>
      <c r="N925" s="20"/>
      <c r="O925" s="20"/>
      <c r="P925" s="20"/>
      <c r="Q925" s="20"/>
      <c r="R925" s="20"/>
      <c r="S925" s="20"/>
      <c r="T925" s="20"/>
      <c r="U925" s="20"/>
      <c r="V925" s="20"/>
      <c r="W925" s="20"/>
      <c r="X925" s="20"/>
      <c r="Y925" s="20"/>
      <c r="Z925" s="20"/>
      <c r="AA925" s="20"/>
    </row>
    <row r="926">
      <c r="A926" s="20"/>
      <c r="B926" s="24"/>
      <c r="C926" s="24"/>
      <c r="D926" s="20"/>
      <c r="E926" s="20"/>
      <c r="F926" s="24"/>
      <c r="G926" s="20"/>
      <c r="H926" s="20"/>
      <c r="I926" s="20"/>
      <c r="J926" s="20"/>
      <c r="K926" s="20"/>
      <c r="L926" s="20"/>
      <c r="M926" s="20"/>
      <c r="N926" s="20"/>
      <c r="O926" s="20"/>
      <c r="P926" s="20"/>
      <c r="Q926" s="20"/>
      <c r="R926" s="20"/>
      <c r="S926" s="20"/>
      <c r="T926" s="20"/>
      <c r="U926" s="20"/>
      <c r="V926" s="20"/>
      <c r="W926" s="20"/>
      <c r="X926" s="20"/>
      <c r="Y926" s="20"/>
      <c r="Z926" s="20"/>
      <c r="AA926" s="20"/>
    </row>
    <row r="927">
      <c r="A927" s="20"/>
      <c r="B927" s="24"/>
      <c r="C927" s="24"/>
      <c r="D927" s="20"/>
      <c r="E927" s="20"/>
      <c r="F927" s="24"/>
      <c r="G927" s="20"/>
      <c r="H927" s="20"/>
      <c r="I927" s="20"/>
      <c r="J927" s="20"/>
      <c r="K927" s="20"/>
      <c r="L927" s="20"/>
      <c r="M927" s="20"/>
      <c r="N927" s="20"/>
      <c r="O927" s="20"/>
      <c r="P927" s="20"/>
      <c r="Q927" s="20"/>
      <c r="R927" s="20"/>
      <c r="S927" s="20"/>
      <c r="T927" s="20"/>
      <c r="U927" s="20"/>
      <c r="V927" s="20"/>
      <c r="W927" s="20"/>
      <c r="X927" s="20"/>
      <c r="Y927" s="20"/>
      <c r="Z927" s="20"/>
      <c r="AA927" s="20"/>
    </row>
    <row r="928">
      <c r="A928" s="20"/>
      <c r="B928" s="24"/>
      <c r="C928" s="24"/>
      <c r="D928" s="20"/>
      <c r="E928" s="20"/>
      <c r="F928" s="24"/>
      <c r="G928" s="20"/>
      <c r="H928" s="20"/>
      <c r="I928" s="20"/>
      <c r="J928" s="20"/>
      <c r="K928" s="20"/>
      <c r="L928" s="20"/>
      <c r="M928" s="20"/>
      <c r="N928" s="20"/>
      <c r="O928" s="20"/>
      <c r="P928" s="20"/>
      <c r="Q928" s="20"/>
      <c r="R928" s="20"/>
      <c r="S928" s="20"/>
      <c r="T928" s="20"/>
      <c r="U928" s="20"/>
      <c r="V928" s="20"/>
      <c r="W928" s="20"/>
      <c r="X928" s="20"/>
      <c r="Y928" s="20"/>
      <c r="Z928" s="20"/>
      <c r="AA928" s="20"/>
    </row>
    <row r="929">
      <c r="A929" s="20"/>
      <c r="B929" s="24"/>
      <c r="C929" s="24"/>
      <c r="D929" s="20"/>
      <c r="E929" s="20"/>
      <c r="F929" s="24"/>
      <c r="G929" s="20"/>
      <c r="H929" s="20"/>
      <c r="I929" s="20"/>
      <c r="J929" s="20"/>
      <c r="K929" s="20"/>
      <c r="L929" s="20"/>
      <c r="M929" s="20"/>
      <c r="N929" s="20"/>
      <c r="O929" s="20"/>
      <c r="P929" s="20"/>
      <c r="Q929" s="20"/>
      <c r="R929" s="20"/>
      <c r="S929" s="20"/>
      <c r="T929" s="20"/>
      <c r="U929" s="20"/>
      <c r="V929" s="20"/>
      <c r="W929" s="20"/>
      <c r="X929" s="20"/>
      <c r="Y929" s="20"/>
      <c r="Z929" s="20"/>
      <c r="AA929" s="20"/>
    </row>
    <row r="930">
      <c r="A930" s="20"/>
      <c r="B930" s="24"/>
      <c r="C930" s="24"/>
      <c r="D930" s="20"/>
      <c r="E930" s="20"/>
      <c r="F930" s="24"/>
      <c r="G930" s="20"/>
      <c r="H930" s="20"/>
      <c r="I930" s="20"/>
      <c r="J930" s="20"/>
      <c r="K930" s="20"/>
      <c r="L930" s="20"/>
      <c r="M930" s="20"/>
      <c r="N930" s="20"/>
      <c r="O930" s="20"/>
      <c r="P930" s="20"/>
      <c r="Q930" s="20"/>
      <c r="R930" s="20"/>
      <c r="S930" s="20"/>
      <c r="T930" s="20"/>
      <c r="U930" s="20"/>
      <c r="V930" s="20"/>
      <c r="W930" s="20"/>
      <c r="X930" s="20"/>
      <c r="Y930" s="20"/>
      <c r="Z930" s="20"/>
      <c r="AA930" s="20"/>
    </row>
    <row r="931">
      <c r="A931" s="20"/>
      <c r="B931" s="24"/>
      <c r="C931" s="24"/>
      <c r="D931" s="20"/>
      <c r="E931" s="20"/>
      <c r="F931" s="24"/>
      <c r="G931" s="20"/>
      <c r="H931" s="20"/>
      <c r="I931" s="20"/>
      <c r="J931" s="20"/>
      <c r="K931" s="20"/>
      <c r="L931" s="20"/>
      <c r="M931" s="20"/>
      <c r="N931" s="20"/>
      <c r="O931" s="20"/>
      <c r="P931" s="20"/>
      <c r="Q931" s="20"/>
      <c r="R931" s="20"/>
      <c r="S931" s="20"/>
      <c r="T931" s="20"/>
      <c r="U931" s="20"/>
      <c r="V931" s="20"/>
      <c r="W931" s="20"/>
      <c r="X931" s="20"/>
      <c r="Y931" s="20"/>
      <c r="Z931" s="20"/>
      <c r="AA931" s="20"/>
    </row>
    <row r="932">
      <c r="A932" s="20"/>
      <c r="B932" s="24"/>
      <c r="C932" s="24"/>
      <c r="D932" s="20"/>
      <c r="E932" s="20"/>
      <c r="F932" s="24"/>
      <c r="G932" s="20"/>
      <c r="H932" s="20"/>
      <c r="I932" s="20"/>
      <c r="J932" s="20"/>
      <c r="K932" s="20"/>
      <c r="L932" s="20"/>
      <c r="M932" s="20"/>
      <c r="N932" s="20"/>
      <c r="O932" s="20"/>
      <c r="P932" s="20"/>
      <c r="Q932" s="20"/>
      <c r="R932" s="20"/>
      <c r="S932" s="20"/>
      <c r="T932" s="20"/>
      <c r="U932" s="20"/>
      <c r="V932" s="20"/>
      <c r="W932" s="20"/>
      <c r="X932" s="20"/>
      <c r="Y932" s="20"/>
      <c r="Z932" s="20"/>
      <c r="AA932" s="20"/>
    </row>
    <row r="933">
      <c r="A933" s="20"/>
      <c r="B933" s="24"/>
      <c r="C933" s="24"/>
      <c r="D933" s="20"/>
      <c r="E933" s="20"/>
      <c r="F933" s="24"/>
      <c r="G933" s="20"/>
      <c r="H933" s="20"/>
      <c r="I933" s="20"/>
      <c r="J933" s="20"/>
      <c r="K933" s="20"/>
      <c r="L933" s="20"/>
      <c r="M933" s="20"/>
      <c r="N933" s="20"/>
      <c r="O933" s="20"/>
      <c r="P933" s="20"/>
      <c r="Q933" s="20"/>
      <c r="R933" s="20"/>
      <c r="S933" s="20"/>
      <c r="T933" s="20"/>
      <c r="U933" s="20"/>
      <c r="V933" s="20"/>
      <c r="W933" s="20"/>
      <c r="X933" s="20"/>
      <c r="Y933" s="20"/>
      <c r="Z933" s="20"/>
      <c r="AA933" s="20"/>
    </row>
    <row r="934">
      <c r="A934" s="20"/>
      <c r="B934" s="24"/>
      <c r="C934" s="24"/>
      <c r="D934" s="20"/>
      <c r="E934" s="20"/>
      <c r="F934" s="24"/>
      <c r="G934" s="20"/>
      <c r="H934" s="20"/>
      <c r="I934" s="20"/>
      <c r="J934" s="20"/>
      <c r="K934" s="20"/>
      <c r="L934" s="20"/>
      <c r="M934" s="20"/>
      <c r="N934" s="20"/>
      <c r="O934" s="20"/>
      <c r="P934" s="20"/>
      <c r="Q934" s="20"/>
      <c r="R934" s="20"/>
      <c r="S934" s="20"/>
      <c r="T934" s="20"/>
      <c r="U934" s="20"/>
      <c r="V934" s="20"/>
      <c r="W934" s="20"/>
      <c r="X934" s="20"/>
      <c r="Y934" s="20"/>
      <c r="Z934" s="20"/>
      <c r="AA934" s="20"/>
    </row>
    <row r="935">
      <c r="A935" s="20"/>
      <c r="B935" s="24"/>
      <c r="C935" s="24"/>
      <c r="D935" s="20"/>
      <c r="E935" s="20"/>
      <c r="F935" s="24"/>
      <c r="G935" s="20"/>
      <c r="H935" s="20"/>
      <c r="I935" s="20"/>
      <c r="J935" s="20"/>
      <c r="K935" s="20"/>
      <c r="L935" s="20"/>
      <c r="M935" s="20"/>
      <c r="N935" s="20"/>
      <c r="O935" s="20"/>
      <c r="P935" s="20"/>
      <c r="Q935" s="20"/>
      <c r="R935" s="20"/>
      <c r="S935" s="20"/>
      <c r="T935" s="20"/>
      <c r="U935" s="20"/>
      <c r="V935" s="20"/>
      <c r="W935" s="20"/>
      <c r="X935" s="20"/>
      <c r="Y935" s="20"/>
      <c r="Z935" s="20"/>
      <c r="AA935" s="20"/>
    </row>
    <row r="936">
      <c r="A936" s="20"/>
      <c r="B936" s="24"/>
      <c r="C936" s="24"/>
      <c r="D936" s="20"/>
      <c r="E936" s="20"/>
      <c r="F936" s="24"/>
      <c r="G936" s="20"/>
      <c r="H936" s="20"/>
      <c r="I936" s="20"/>
      <c r="J936" s="20"/>
      <c r="K936" s="20"/>
      <c r="L936" s="20"/>
      <c r="M936" s="20"/>
      <c r="N936" s="20"/>
      <c r="O936" s="20"/>
      <c r="P936" s="20"/>
      <c r="Q936" s="20"/>
      <c r="R936" s="20"/>
      <c r="S936" s="20"/>
      <c r="T936" s="20"/>
      <c r="U936" s="20"/>
      <c r="V936" s="20"/>
      <c r="W936" s="20"/>
      <c r="X936" s="20"/>
      <c r="Y936" s="20"/>
      <c r="Z936" s="20"/>
      <c r="AA936" s="20"/>
    </row>
    <row r="937">
      <c r="A937" s="20"/>
      <c r="B937" s="24"/>
      <c r="C937" s="24"/>
      <c r="D937" s="20"/>
      <c r="E937" s="20"/>
      <c r="F937" s="24"/>
      <c r="G937" s="20"/>
      <c r="H937" s="20"/>
      <c r="I937" s="20"/>
      <c r="J937" s="20"/>
      <c r="K937" s="20"/>
      <c r="L937" s="20"/>
      <c r="M937" s="20"/>
      <c r="N937" s="20"/>
      <c r="O937" s="20"/>
      <c r="P937" s="20"/>
      <c r="Q937" s="20"/>
      <c r="R937" s="20"/>
      <c r="S937" s="20"/>
      <c r="T937" s="20"/>
      <c r="U937" s="20"/>
      <c r="V937" s="20"/>
      <c r="W937" s="20"/>
      <c r="X937" s="20"/>
      <c r="Y937" s="20"/>
      <c r="Z937" s="20"/>
      <c r="AA937" s="20"/>
    </row>
    <row r="938">
      <c r="A938" s="20"/>
      <c r="B938" s="24"/>
      <c r="C938" s="24"/>
      <c r="D938" s="20"/>
      <c r="E938" s="20"/>
      <c r="F938" s="24"/>
      <c r="G938" s="20"/>
      <c r="H938" s="20"/>
      <c r="I938" s="20"/>
      <c r="J938" s="20"/>
      <c r="K938" s="20"/>
      <c r="L938" s="20"/>
      <c r="M938" s="20"/>
      <c r="N938" s="20"/>
      <c r="O938" s="20"/>
      <c r="P938" s="20"/>
      <c r="Q938" s="20"/>
      <c r="R938" s="20"/>
      <c r="S938" s="20"/>
      <c r="T938" s="20"/>
      <c r="U938" s="20"/>
      <c r="V938" s="20"/>
      <c r="W938" s="20"/>
      <c r="X938" s="20"/>
      <c r="Y938" s="20"/>
      <c r="Z938" s="20"/>
      <c r="AA938" s="20"/>
    </row>
    <row r="939">
      <c r="A939" s="20"/>
      <c r="B939" s="24"/>
      <c r="C939" s="24"/>
      <c r="D939" s="20"/>
      <c r="E939" s="20"/>
      <c r="F939" s="24"/>
      <c r="G939" s="20"/>
      <c r="H939" s="20"/>
      <c r="I939" s="20"/>
      <c r="J939" s="20"/>
      <c r="K939" s="20"/>
      <c r="L939" s="20"/>
      <c r="M939" s="20"/>
      <c r="N939" s="20"/>
      <c r="O939" s="20"/>
      <c r="P939" s="20"/>
      <c r="Q939" s="20"/>
      <c r="R939" s="20"/>
      <c r="S939" s="20"/>
      <c r="T939" s="20"/>
      <c r="U939" s="20"/>
      <c r="V939" s="20"/>
      <c r="W939" s="20"/>
      <c r="X939" s="20"/>
      <c r="Y939" s="20"/>
      <c r="Z939" s="20"/>
      <c r="AA939" s="20"/>
    </row>
    <row r="940">
      <c r="A940" s="20"/>
      <c r="B940" s="24"/>
      <c r="C940" s="24"/>
      <c r="D940" s="20"/>
      <c r="E940" s="20"/>
      <c r="F940" s="24"/>
      <c r="G940" s="20"/>
      <c r="H940" s="20"/>
      <c r="I940" s="20"/>
      <c r="J940" s="20"/>
      <c r="K940" s="20"/>
      <c r="L940" s="20"/>
      <c r="M940" s="20"/>
      <c r="N940" s="20"/>
      <c r="O940" s="20"/>
      <c r="P940" s="20"/>
      <c r="Q940" s="20"/>
      <c r="R940" s="20"/>
      <c r="S940" s="20"/>
      <c r="T940" s="20"/>
      <c r="U940" s="20"/>
      <c r="V940" s="20"/>
      <c r="W940" s="20"/>
      <c r="X940" s="20"/>
      <c r="Y940" s="20"/>
      <c r="Z940" s="20"/>
      <c r="AA940" s="20"/>
    </row>
    <row r="941">
      <c r="A941" s="20"/>
      <c r="B941" s="24"/>
      <c r="C941" s="24"/>
      <c r="D941" s="20"/>
      <c r="E941" s="20"/>
      <c r="F941" s="24"/>
      <c r="G941" s="20"/>
      <c r="H941" s="20"/>
      <c r="I941" s="20"/>
      <c r="J941" s="20"/>
      <c r="K941" s="20"/>
      <c r="L941" s="20"/>
      <c r="M941" s="20"/>
      <c r="N941" s="20"/>
      <c r="O941" s="20"/>
      <c r="P941" s="20"/>
      <c r="Q941" s="20"/>
      <c r="R941" s="20"/>
      <c r="S941" s="20"/>
      <c r="T941" s="20"/>
      <c r="U941" s="20"/>
      <c r="V941" s="20"/>
      <c r="W941" s="20"/>
      <c r="X941" s="20"/>
      <c r="Y941" s="20"/>
      <c r="Z941" s="20"/>
      <c r="AA941" s="20"/>
    </row>
    <row r="942">
      <c r="A942" s="20"/>
      <c r="B942" s="24"/>
      <c r="C942" s="24"/>
      <c r="D942" s="20"/>
      <c r="E942" s="20"/>
      <c r="F942" s="24"/>
      <c r="G942" s="20"/>
      <c r="H942" s="20"/>
      <c r="I942" s="20"/>
      <c r="J942" s="20"/>
      <c r="K942" s="20"/>
      <c r="L942" s="20"/>
      <c r="M942" s="20"/>
      <c r="N942" s="20"/>
      <c r="O942" s="20"/>
      <c r="P942" s="20"/>
      <c r="Q942" s="20"/>
      <c r="R942" s="20"/>
      <c r="S942" s="20"/>
      <c r="T942" s="20"/>
      <c r="U942" s="20"/>
      <c r="V942" s="20"/>
      <c r="W942" s="20"/>
      <c r="X942" s="20"/>
      <c r="Y942" s="20"/>
      <c r="Z942" s="20"/>
      <c r="AA942" s="20"/>
    </row>
    <row r="943">
      <c r="A943" s="20"/>
      <c r="B943" s="24"/>
      <c r="C943" s="24"/>
      <c r="D943" s="20"/>
      <c r="E943" s="20"/>
      <c r="F943" s="24"/>
      <c r="G943" s="20"/>
      <c r="H943" s="20"/>
      <c r="I943" s="20"/>
      <c r="J943" s="20"/>
      <c r="K943" s="20"/>
      <c r="L943" s="20"/>
      <c r="M943" s="20"/>
      <c r="N943" s="20"/>
      <c r="O943" s="20"/>
      <c r="P943" s="20"/>
      <c r="Q943" s="20"/>
      <c r="R943" s="20"/>
      <c r="S943" s="20"/>
      <c r="T943" s="20"/>
      <c r="U943" s="20"/>
      <c r="V943" s="20"/>
      <c r="W943" s="20"/>
      <c r="X943" s="20"/>
      <c r="Y943" s="20"/>
      <c r="Z943" s="20"/>
      <c r="AA943" s="20"/>
    </row>
    <row r="944">
      <c r="A944" s="20"/>
      <c r="B944" s="24"/>
      <c r="C944" s="24"/>
      <c r="D944" s="20"/>
      <c r="E944" s="20"/>
      <c r="F944" s="24"/>
      <c r="G944" s="20"/>
      <c r="H944" s="20"/>
      <c r="I944" s="20"/>
      <c r="J944" s="20"/>
      <c r="K944" s="20"/>
      <c r="L944" s="20"/>
      <c r="M944" s="20"/>
      <c r="N944" s="20"/>
      <c r="O944" s="20"/>
      <c r="P944" s="20"/>
      <c r="Q944" s="20"/>
      <c r="R944" s="20"/>
      <c r="S944" s="20"/>
      <c r="T944" s="20"/>
      <c r="U944" s="20"/>
      <c r="V944" s="20"/>
      <c r="W944" s="20"/>
      <c r="X944" s="20"/>
      <c r="Y944" s="20"/>
      <c r="Z944" s="20"/>
      <c r="AA944" s="20"/>
    </row>
    <row r="945">
      <c r="A945" s="20"/>
      <c r="B945" s="24"/>
      <c r="C945" s="24"/>
      <c r="D945" s="20"/>
      <c r="E945" s="20"/>
      <c r="F945" s="24"/>
      <c r="G945" s="20"/>
      <c r="H945" s="20"/>
      <c r="I945" s="20"/>
      <c r="J945" s="20"/>
      <c r="K945" s="20"/>
      <c r="L945" s="20"/>
      <c r="M945" s="20"/>
      <c r="N945" s="20"/>
      <c r="O945" s="20"/>
      <c r="P945" s="20"/>
      <c r="Q945" s="20"/>
      <c r="R945" s="20"/>
      <c r="S945" s="20"/>
      <c r="T945" s="20"/>
      <c r="U945" s="20"/>
      <c r="V945" s="20"/>
      <c r="W945" s="20"/>
      <c r="X945" s="20"/>
      <c r="Y945" s="20"/>
      <c r="Z945" s="20"/>
      <c r="AA945" s="20"/>
    </row>
    <row r="946">
      <c r="A946" s="20"/>
      <c r="B946" s="24"/>
      <c r="C946" s="24"/>
      <c r="D946" s="20"/>
      <c r="E946" s="20"/>
      <c r="F946" s="24"/>
      <c r="G946" s="20"/>
      <c r="H946" s="20"/>
      <c r="I946" s="20"/>
      <c r="J946" s="20"/>
      <c r="K946" s="20"/>
      <c r="L946" s="20"/>
      <c r="M946" s="20"/>
      <c r="N946" s="20"/>
      <c r="O946" s="20"/>
      <c r="P946" s="20"/>
      <c r="Q946" s="20"/>
      <c r="R946" s="20"/>
      <c r="S946" s="20"/>
      <c r="T946" s="20"/>
      <c r="U946" s="20"/>
      <c r="V946" s="20"/>
      <c r="W946" s="20"/>
      <c r="X946" s="20"/>
      <c r="Y946" s="20"/>
      <c r="Z946" s="20"/>
      <c r="AA946" s="20"/>
    </row>
    <row r="947">
      <c r="A947" s="20"/>
      <c r="B947" s="24"/>
      <c r="C947" s="24"/>
      <c r="D947" s="20"/>
      <c r="E947" s="20"/>
      <c r="F947" s="24"/>
      <c r="G947" s="20"/>
      <c r="H947" s="20"/>
      <c r="I947" s="20"/>
      <c r="J947" s="20"/>
      <c r="K947" s="20"/>
      <c r="L947" s="20"/>
      <c r="M947" s="20"/>
      <c r="N947" s="20"/>
      <c r="O947" s="20"/>
      <c r="P947" s="20"/>
      <c r="Q947" s="20"/>
      <c r="R947" s="20"/>
      <c r="S947" s="20"/>
      <c r="T947" s="20"/>
      <c r="U947" s="20"/>
      <c r="V947" s="20"/>
      <c r="W947" s="20"/>
      <c r="X947" s="20"/>
      <c r="Y947" s="20"/>
      <c r="Z947" s="20"/>
      <c r="AA947" s="20"/>
    </row>
    <row r="948">
      <c r="A948" s="20"/>
      <c r="B948" s="24"/>
      <c r="C948" s="24"/>
      <c r="D948" s="20"/>
      <c r="E948" s="20"/>
      <c r="F948" s="24"/>
      <c r="G948" s="20"/>
      <c r="H948" s="20"/>
      <c r="I948" s="20"/>
      <c r="J948" s="20"/>
      <c r="K948" s="20"/>
      <c r="L948" s="20"/>
      <c r="M948" s="20"/>
      <c r="N948" s="20"/>
      <c r="O948" s="20"/>
      <c r="P948" s="20"/>
      <c r="Q948" s="20"/>
      <c r="R948" s="20"/>
      <c r="S948" s="20"/>
      <c r="T948" s="20"/>
      <c r="U948" s="20"/>
      <c r="V948" s="20"/>
      <c r="W948" s="20"/>
      <c r="X948" s="20"/>
      <c r="Y948" s="20"/>
      <c r="Z948" s="20"/>
      <c r="AA948" s="20"/>
    </row>
    <row r="949">
      <c r="A949" s="20"/>
      <c r="B949" s="24"/>
      <c r="C949" s="24"/>
      <c r="D949" s="20"/>
      <c r="E949" s="20"/>
      <c r="F949" s="24"/>
      <c r="G949" s="20"/>
      <c r="H949" s="20"/>
      <c r="I949" s="20"/>
      <c r="J949" s="20"/>
      <c r="K949" s="20"/>
      <c r="L949" s="20"/>
      <c r="M949" s="20"/>
      <c r="N949" s="20"/>
      <c r="O949" s="20"/>
      <c r="P949" s="20"/>
      <c r="Q949" s="20"/>
      <c r="R949" s="20"/>
      <c r="S949" s="20"/>
      <c r="T949" s="20"/>
      <c r="U949" s="20"/>
      <c r="V949" s="20"/>
      <c r="W949" s="20"/>
      <c r="X949" s="20"/>
      <c r="Y949" s="20"/>
      <c r="Z949" s="20"/>
      <c r="AA949" s="20"/>
    </row>
    <row r="950">
      <c r="A950" s="20"/>
      <c r="B950" s="24"/>
      <c r="C950" s="24"/>
      <c r="D950" s="20"/>
      <c r="E950" s="20"/>
      <c r="F950" s="24"/>
      <c r="G950" s="20"/>
      <c r="H950" s="20"/>
      <c r="I950" s="20"/>
      <c r="J950" s="20"/>
      <c r="K950" s="20"/>
      <c r="L950" s="20"/>
      <c r="M950" s="20"/>
      <c r="N950" s="20"/>
      <c r="O950" s="20"/>
      <c r="P950" s="20"/>
      <c r="Q950" s="20"/>
      <c r="R950" s="20"/>
      <c r="S950" s="20"/>
      <c r="T950" s="20"/>
      <c r="U950" s="20"/>
      <c r="V950" s="20"/>
      <c r="W950" s="20"/>
      <c r="X950" s="20"/>
      <c r="Y950" s="20"/>
      <c r="Z950" s="20"/>
      <c r="AA950" s="20"/>
    </row>
    <row r="951">
      <c r="A951" s="20"/>
      <c r="B951" s="24"/>
      <c r="C951" s="24"/>
      <c r="D951" s="20"/>
      <c r="E951" s="20"/>
      <c r="F951" s="24"/>
      <c r="G951" s="20"/>
      <c r="H951" s="20"/>
      <c r="I951" s="20"/>
      <c r="J951" s="20"/>
      <c r="K951" s="20"/>
      <c r="L951" s="20"/>
      <c r="M951" s="20"/>
      <c r="N951" s="20"/>
      <c r="O951" s="20"/>
      <c r="P951" s="20"/>
      <c r="Q951" s="20"/>
      <c r="R951" s="20"/>
      <c r="S951" s="20"/>
      <c r="T951" s="20"/>
      <c r="U951" s="20"/>
      <c r="V951" s="20"/>
      <c r="W951" s="20"/>
      <c r="X951" s="20"/>
      <c r="Y951" s="20"/>
      <c r="Z951" s="20"/>
      <c r="AA951" s="20"/>
    </row>
    <row r="952">
      <c r="A952" s="20"/>
      <c r="B952" s="24"/>
      <c r="C952" s="24"/>
      <c r="D952" s="20"/>
      <c r="E952" s="20"/>
      <c r="F952" s="24"/>
      <c r="G952" s="20"/>
      <c r="H952" s="20"/>
      <c r="I952" s="20"/>
      <c r="J952" s="20"/>
      <c r="K952" s="20"/>
      <c r="L952" s="20"/>
      <c r="M952" s="20"/>
      <c r="N952" s="20"/>
      <c r="O952" s="20"/>
      <c r="P952" s="20"/>
      <c r="Q952" s="20"/>
      <c r="R952" s="20"/>
      <c r="S952" s="20"/>
      <c r="T952" s="20"/>
      <c r="U952" s="20"/>
      <c r="V952" s="20"/>
      <c r="W952" s="20"/>
      <c r="X952" s="20"/>
      <c r="Y952" s="20"/>
      <c r="Z952" s="20"/>
      <c r="AA952" s="20"/>
    </row>
    <row r="953">
      <c r="A953" s="20"/>
      <c r="B953" s="24"/>
      <c r="C953" s="24"/>
      <c r="D953" s="20"/>
      <c r="E953" s="20"/>
      <c r="F953" s="24"/>
      <c r="G953" s="20"/>
      <c r="H953" s="20"/>
      <c r="I953" s="20"/>
      <c r="J953" s="20"/>
      <c r="K953" s="20"/>
      <c r="L953" s="20"/>
      <c r="M953" s="20"/>
      <c r="N953" s="20"/>
      <c r="O953" s="20"/>
      <c r="P953" s="20"/>
      <c r="Q953" s="20"/>
      <c r="R953" s="20"/>
      <c r="S953" s="20"/>
      <c r="T953" s="20"/>
      <c r="U953" s="20"/>
      <c r="V953" s="20"/>
      <c r="W953" s="20"/>
      <c r="X953" s="20"/>
      <c r="Y953" s="20"/>
      <c r="Z953" s="20"/>
      <c r="AA953" s="20"/>
    </row>
    <row r="954">
      <c r="A954" s="20"/>
      <c r="B954" s="24"/>
      <c r="C954" s="24"/>
      <c r="D954" s="20"/>
      <c r="E954" s="20"/>
      <c r="F954" s="24"/>
      <c r="G954" s="20"/>
      <c r="H954" s="20"/>
      <c r="I954" s="20"/>
      <c r="J954" s="20"/>
      <c r="K954" s="20"/>
      <c r="L954" s="20"/>
      <c r="M954" s="20"/>
      <c r="N954" s="20"/>
      <c r="O954" s="20"/>
      <c r="P954" s="20"/>
      <c r="Q954" s="20"/>
      <c r="R954" s="20"/>
      <c r="S954" s="20"/>
      <c r="T954" s="20"/>
      <c r="U954" s="20"/>
      <c r="V954" s="20"/>
      <c r="W954" s="20"/>
      <c r="X954" s="20"/>
      <c r="Y954" s="20"/>
      <c r="Z954" s="20"/>
      <c r="AA954" s="20"/>
    </row>
    <row r="955">
      <c r="A955" s="20"/>
      <c r="B955" s="24"/>
      <c r="C955" s="24"/>
      <c r="D955" s="20"/>
      <c r="E955" s="20"/>
      <c r="F955" s="24"/>
      <c r="G955" s="20"/>
      <c r="H955" s="20"/>
      <c r="I955" s="20"/>
      <c r="J955" s="20"/>
      <c r="K955" s="20"/>
      <c r="L955" s="20"/>
      <c r="M955" s="20"/>
      <c r="N955" s="20"/>
      <c r="O955" s="20"/>
      <c r="P955" s="20"/>
      <c r="Q955" s="20"/>
      <c r="R955" s="20"/>
      <c r="S955" s="20"/>
      <c r="T955" s="20"/>
      <c r="U955" s="20"/>
      <c r="V955" s="20"/>
      <c r="W955" s="20"/>
      <c r="X955" s="20"/>
      <c r="Y955" s="20"/>
      <c r="Z955" s="20"/>
      <c r="AA955" s="20"/>
    </row>
    <row r="956">
      <c r="A956" s="20"/>
      <c r="B956" s="24"/>
      <c r="C956" s="24"/>
      <c r="D956" s="20"/>
      <c r="E956" s="20"/>
      <c r="F956" s="24"/>
      <c r="G956" s="20"/>
      <c r="H956" s="20"/>
      <c r="I956" s="20"/>
      <c r="J956" s="20"/>
      <c r="K956" s="20"/>
      <c r="L956" s="20"/>
      <c r="M956" s="20"/>
      <c r="N956" s="20"/>
      <c r="O956" s="20"/>
      <c r="P956" s="20"/>
      <c r="Q956" s="20"/>
      <c r="R956" s="20"/>
      <c r="S956" s="20"/>
      <c r="T956" s="20"/>
      <c r="U956" s="20"/>
      <c r="V956" s="20"/>
      <c r="W956" s="20"/>
      <c r="X956" s="20"/>
      <c r="Y956" s="20"/>
      <c r="Z956" s="20"/>
      <c r="AA956" s="20"/>
    </row>
  </sheetData>
  <autoFilter ref="$A$1:$AA$187">
    <sortState ref="A1:AA187">
      <sortCondition ref="A1:A187"/>
    </sortState>
  </autoFilter>
  <mergeCells count="186">
    <mergeCell ref="L164:M164"/>
    <mergeCell ref="L165:M165"/>
    <mergeCell ref="L161:M161"/>
    <mergeCell ref="L162:M162"/>
    <mergeCell ref="L160:M160"/>
    <mergeCell ref="L163:M163"/>
    <mergeCell ref="L168:M168"/>
    <mergeCell ref="L167:M167"/>
    <mergeCell ref="L166:M166"/>
    <mergeCell ref="L169:M169"/>
    <mergeCell ref="L176:M176"/>
    <mergeCell ref="L178:M178"/>
    <mergeCell ref="L177:M177"/>
    <mergeCell ref="L180:M180"/>
    <mergeCell ref="L175:M175"/>
    <mergeCell ref="L181:M181"/>
    <mergeCell ref="L171:M171"/>
    <mergeCell ref="L172:M172"/>
    <mergeCell ref="L179:M179"/>
    <mergeCell ref="L122:M122"/>
    <mergeCell ref="L124:M124"/>
    <mergeCell ref="L123:M123"/>
    <mergeCell ref="L131:M131"/>
    <mergeCell ref="L132:M132"/>
    <mergeCell ref="L111:M111"/>
    <mergeCell ref="L129:M129"/>
    <mergeCell ref="L114:M114"/>
    <mergeCell ref="L118:M118"/>
    <mergeCell ref="L117:M117"/>
    <mergeCell ref="L140:M140"/>
    <mergeCell ref="L126:M126"/>
    <mergeCell ref="L133:M133"/>
    <mergeCell ref="L135:M135"/>
    <mergeCell ref="L112:M112"/>
    <mergeCell ref="L113:M113"/>
    <mergeCell ref="L96:M96"/>
    <mergeCell ref="L95:M95"/>
    <mergeCell ref="L127:M127"/>
    <mergeCell ref="L125:M125"/>
    <mergeCell ref="L107:M107"/>
    <mergeCell ref="L108:M108"/>
    <mergeCell ref="L93:M93"/>
    <mergeCell ref="L94:M94"/>
    <mergeCell ref="L120:M120"/>
    <mergeCell ref="L119:M119"/>
    <mergeCell ref="L139:M139"/>
    <mergeCell ref="L138:M138"/>
    <mergeCell ref="L141:M141"/>
    <mergeCell ref="L134:M134"/>
    <mergeCell ref="L137:M137"/>
    <mergeCell ref="L121:M121"/>
    <mergeCell ref="L128:M128"/>
    <mergeCell ref="L136:M136"/>
    <mergeCell ref="L130:M130"/>
    <mergeCell ref="L82:M82"/>
    <mergeCell ref="L78:M78"/>
    <mergeCell ref="L79:M79"/>
    <mergeCell ref="L80:M80"/>
    <mergeCell ref="L85:M85"/>
    <mergeCell ref="L83:M83"/>
    <mergeCell ref="L84:M84"/>
    <mergeCell ref="L88:M88"/>
    <mergeCell ref="L92:M92"/>
    <mergeCell ref="L89:M89"/>
    <mergeCell ref="L87:M87"/>
    <mergeCell ref="L100:M100"/>
    <mergeCell ref="L90:M90"/>
    <mergeCell ref="L91:M91"/>
    <mergeCell ref="L142:M142"/>
    <mergeCell ref="L145:M145"/>
    <mergeCell ref="L147:M147"/>
    <mergeCell ref="L146:M146"/>
    <mergeCell ref="L144:M144"/>
    <mergeCell ref="L143:M143"/>
    <mergeCell ref="L159:M159"/>
    <mergeCell ref="L156:M156"/>
    <mergeCell ref="L157:M157"/>
    <mergeCell ref="L158:M158"/>
    <mergeCell ref="L155:M155"/>
    <mergeCell ref="L173:M173"/>
    <mergeCell ref="L174:M174"/>
    <mergeCell ref="L170:M170"/>
    <mergeCell ref="L115:M115"/>
    <mergeCell ref="L116:M116"/>
    <mergeCell ref="L25:M25"/>
    <mergeCell ref="L22:M22"/>
    <mergeCell ref="L15:M15"/>
    <mergeCell ref="L26:M26"/>
    <mergeCell ref="L29:M29"/>
    <mergeCell ref="L11:M11"/>
    <mergeCell ref="L14:M14"/>
    <mergeCell ref="L27:M27"/>
    <mergeCell ref="L19:M19"/>
    <mergeCell ref="L39:M39"/>
    <mergeCell ref="L38:M38"/>
    <mergeCell ref="L24:M24"/>
    <mergeCell ref="L23:M23"/>
    <mergeCell ref="L6:M6"/>
    <mergeCell ref="L7:M7"/>
    <mergeCell ref="L31:M31"/>
    <mergeCell ref="L34:M34"/>
    <mergeCell ref="L33:M33"/>
    <mergeCell ref="L47:M47"/>
    <mergeCell ref="L44:M44"/>
    <mergeCell ref="L35:M35"/>
    <mergeCell ref="L36:M36"/>
    <mergeCell ref="L53:M53"/>
    <mergeCell ref="L48:M48"/>
    <mergeCell ref="L52:M52"/>
    <mergeCell ref="L49:M49"/>
    <mergeCell ref="L41:M41"/>
    <mergeCell ref="L50:M50"/>
    <mergeCell ref="L51:M51"/>
    <mergeCell ref="L43:M43"/>
    <mergeCell ref="L10:M10"/>
    <mergeCell ref="L9:M9"/>
    <mergeCell ref="L8:M8"/>
    <mergeCell ref="L13:M13"/>
    <mergeCell ref="L12:M12"/>
    <mergeCell ref="L46:M46"/>
    <mergeCell ref="L45:M45"/>
    <mergeCell ref="L32:M32"/>
    <mergeCell ref="L37:M37"/>
    <mergeCell ref="L28:M28"/>
    <mergeCell ref="L30:M30"/>
    <mergeCell ref="L40:M40"/>
    <mergeCell ref="L42:M42"/>
    <mergeCell ref="L187:M187"/>
    <mergeCell ref="L186:M186"/>
    <mergeCell ref="L185:M185"/>
    <mergeCell ref="L184:M184"/>
    <mergeCell ref="L183:M183"/>
    <mergeCell ref="L182:M182"/>
    <mergeCell ref="L21:M21"/>
    <mergeCell ref="L20:M20"/>
    <mergeCell ref="L17:M17"/>
    <mergeCell ref="L16:M16"/>
    <mergeCell ref="L18:M18"/>
    <mergeCell ref="L5:M5"/>
    <mergeCell ref="L4:M4"/>
    <mergeCell ref="L2:M2"/>
    <mergeCell ref="L3:M3"/>
    <mergeCell ref="L152:M152"/>
    <mergeCell ref="L153:M153"/>
    <mergeCell ref="L154:M154"/>
    <mergeCell ref="L148:M148"/>
    <mergeCell ref="L151:M151"/>
    <mergeCell ref="L150:M150"/>
    <mergeCell ref="L149:M149"/>
    <mergeCell ref="L76:M76"/>
    <mergeCell ref="L75:M75"/>
    <mergeCell ref="L60:M60"/>
    <mergeCell ref="L70:M70"/>
    <mergeCell ref="L63:M63"/>
    <mergeCell ref="L64:M64"/>
    <mergeCell ref="L67:M67"/>
    <mergeCell ref="L62:M62"/>
    <mergeCell ref="L65:M65"/>
    <mergeCell ref="L57:M57"/>
    <mergeCell ref="L61:M61"/>
    <mergeCell ref="L74:M74"/>
    <mergeCell ref="L54:M54"/>
    <mergeCell ref="L72:M72"/>
    <mergeCell ref="L77:M77"/>
    <mergeCell ref="L71:M71"/>
    <mergeCell ref="L55:M55"/>
    <mergeCell ref="L73:M73"/>
    <mergeCell ref="L56:M56"/>
    <mergeCell ref="L66:M66"/>
    <mergeCell ref="L99:M99"/>
    <mergeCell ref="L97:M97"/>
    <mergeCell ref="L98:M98"/>
    <mergeCell ref="L104:M104"/>
    <mergeCell ref="L106:M106"/>
    <mergeCell ref="L105:M105"/>
    <mergeCell ref="L86:M86"/>
    <mergeCell ref="L81:M81"/>
    <mergeCell ref="L103:M103"/>
    <mergeCell ref="L101:M101"/>
    <mergeCell ref="L102:M102"/>
    <mergeCell ref="L109:M109"/>
    <mergeCell ref="L110:M110"/>
    <mergeCell ref="L59:M59"/>
    <mergeCell ref="L58:M58"/>
    <mergeCell ref="L68:M68"/>
    <mergeCell ref="L69:M6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75"/>
    <col customWidth="1" min="3" max="3" width="12.63"/>
  </cols>
  <sheetData>
    <row r="1">
      <c r="A1" s="3" t="s">
        <v>54</v>
      </c>
      <c r="B1" s="5" t="s">
        <v>65</v>
      </c>
      <c r="C1" s="5" t="s">
        <v>70</v>
      </c>
    </row>
    <row r="2">
      <c r="A2" s="7">
        <v>184240.0</v>
      </c>
      <c r="B2" s="8" t="s">
        <v>77</v>
      </c>
      <c r="C2" s="8" t="s">
        <v>78</v>
      </c>
    </row>
    <row r="3">
      <c r="A3" s="7">
        <v>898532.0</v>
      </c>
      <c r="B3" s="8" t="s">
        <v>81</v>
      </c>
      <c r="C3" s="8" t="s">
        <v>78</v>
      </c>
    </row>
    <row r="4">
      <c r="A4" s="7">
        <v>919068.0</v>
      </c>
      <c r="B4" s="8" t="s">
        <v>83</v>
      </c>
      <c r="C4" s="8" t="s">
        <v>78</v>
      </c>
    </row>
    <row r="5">
      <c r="A5" s="7">
        <v>984067.0</v>
      </c>
      <c r="B5" s="8" t="s">
        <v>85</v>
      </c>
      <c r="C5" s="8" t="s">
        <v>78</v>
      </c>
    </row>
    <row r="6">
      <c r="A6" s="7">
        <v>1711043.0</v>
      </c>
      <c r="B6" s="8" t="s">
        <v>88</v>
      </c>
      <c r="C6" s="8" t="s">
        <v>78</v>
      </c>
    </row>
    <row r="7">
      <c r="A7" s="10">
        <v>1979172.0</v>
      </c>
      <c r="B7" s="12" t="s">
        <v>95</v>
      </c>
      <c r="C7" s="12" t="s">
        <v>78</v>
      </c>
    </row>
    <row r="8">
      <c r="A8" s="7">
        <v>2686933.0</v>
      </c>
      <c r="B8" s="8" t="s">
        <v>97</v>
      </c>
      <c r="C8" s="8" t="s">
        <v>78</v>
      </c>
    </row>
    <row r="9">
      <c r="A9" s="7">
        <v>3231860.0</v>
      </c>
      <c r="B9" s="8" t="s">
        <v>99</v>
      </c>
      <c r="C9" s="8" t="s">
        <v>101</v>
      </c>
    </row>
    <row r="10">
      <c r="A10" s="7">
        <v>3291340.0</v>
      </c>
      <c r="B10" s="8" t="s">
        <v>102</v>
      </c>
      <c r="C10" s="8" t="s">
        <v>78</v>
      </c>
    </row>
    <row r="11">
      <c r="A11" s="10">
        <v>3375729.0</v>
      </c>
      <c r="B11" s="12" t="s">
        <v>105</v>
      </c>
      <c r="C11" s="12" t="s">
        <v>78</v>
      </c>
    </row>
    <row r="12">
      <c r="A12" s="7">
        <v>3416745.0</v>
      </c>
      <c r="B12" s="8" t="s">
        <v>109</v>
      </c>
      <c r="C12" s="8" t="s">
        <v>78</v>
      </c>
    </row>
    <row r="13">
      <c r="A13" s="7">
        <v>4059496.0</v>
      </c>
      <c r="B13" s="8" t="s">
        <v>111</v>
      </c>
      <c r="C13" s="8" t="s">
        <v>101</v>
      </c>
    </row>
    <row r="14">
      <c r="A14" s="7">
        <v>4059496.0</v>
      </c>
      <c r="B14" s="8" t="s">
        <v>111</v>
      </c>
      <c r="C14" s="8" t="s">
        <v>101</v>
      </c>
    </row>
    <row r="15">
      <c r="A15" s="7">
        <v>4119396.0</v>
      </c>
      <c r="B15" s="8" t="s">
        <v>114</v>
      </c>
      <c r="C15" s="8" t="s">
        <v>78</v>
      </c>
    </row>
    <row r="16">
      <c r="A16" s="7">
        <v>4129412.0</v>
      </c>
      <c r="B16" s="8" t="s">
        <v>116</v>
      </c>
      <c r="C16" s="8" t="s">
        <v>101</v>
      </c>
    </row>
    <row r="17">
      <c r="A17" s="10">
        <v>4248588.0</v>
      </c>
      <c r="B17" s="12" t="s">
        <v>118</v>
      </c>
      <c r="C17" s="12" t="s">
        <v>101</v>
      </c>
    </row>
    <row r="18">
      <c r="A18" s="7">
        <v>4558336.0</v>
      </c>
      <c r="B18" s="8" t="s">
        <v>122</v>
      </c>
      <c r="C18" s="8" t="s">
        <v>78</v>
      </c>
    </row>
    <row r="19">
      <c r="A19" s="7">
        <v>4673632.0</v>
      </c>
      <c r="B19" s="8" t="s">
        <v>124</v>
      </c>
      <c r="C19" s="8" t="s">
        <v>78</v>
      </c>
    </row>
    <row r="20">
      <c r="A20" s="7">
        <v>5067908.0</v>
      </c>
      <c r="B20" s="8" t="s">
        <v>126</v>
      </c>
      <c r="C20" s="8" t="s">
        <v>101</v>
      </c>
    </row>
    <row r="21">
      <c r="A21" s="7">
        <v>5153546.0</v>
      </c>
      <c r="B21" s="8" t="s">
        <v>129</v>
      </c>
      <c r="C21" s="8" t="s">
        <v>78</v>
      </c>
    </row>
    <row r="22">
      <c r="A22" s="7">
        <v>5409900.0</v>
      </c>
      <c r="B22" s="8" t="s">
        <v>131</v>
      </c>
      <c r="C22" s="8" t="s">
        <v>78</v>
      </c>
    </row>
    <row r="23">
      <c r="A23" s="10">
        <v>5743652.0</v>
      </c>
      <c r="B23" s="12" t="s">
        <v>134</v>
      </c>
      <c r="C23" s="12" t="s">
        <v>78</v>
      </c>
    </row>
    <row r="24">
      <c r="A24" s="10">
        <v>5810032.0</v>
      </c>
      <c r="B24" s="12" t="s">
        <v>136</v>
      </c>
      <c r="C24" s="12" t="s">
        <v>78</v>
      </c>
    </row>
    <row r="25">
      <c r="A25" s="7">
        <v>6014590.0</v>
      </c>
      <c r="B25" s="8" t="s">
        <v>138</v>
      </c>
      <c r="C25" s="8" t="s">
        <v>78</v>
      </c>
    </row>
    <row r="26">
      <c r="A26" s="7">
        <v>6152718.0</v>
      </c>
      <c r="B26" s="8" t="s">
        <v>141</v>
      </c>
      <c r="C26" s="8" t="s">
        <v>78</v>
      </c>
    </row>
    <row r="27">
      <c r="A27" s="10">
        <v>6395644.0</v>
      </c>
      <c r="B27" s="12" t="s">
        <v>143</v>
      </c>
      <c r="C27" s="12" t="s">
        <v>78</v>
      </c>
    </row>
    <row r="28">
      <c r="A28" s="7">
        <v>7353773.0</v>
      </c>
      <c r="B28" s="8" t="s">
        <v>145</v>
      </c>
      <c r="C28" s="8" t="s">
        <v>101</v>
      </c>
    </row>
    <row r="29">
      <c r="A29" s="7">
        <v>7536923.0</v>
      </c>
      <c r="B29" s="8" t="s">
        <v>144</v>
      </c>
      <c r="C29" s="8" t="s">
        <v>101</v>
      </c>
    </row>
    <row r="30">
      <c r="A30" s="7">
        <v>7656895.0</v>
      </c>
      <c r="B30" s="8" t="s">
        <v>151</v>
      </c>
      <c r="C30" s="8" t="s">
        <v>78</v>
      </c>
    </row>
    <row r="31">
      <c r="A31" s="7">
        <v>7732258.0</v>
      </c>
      <c r="B31" s="8" t="s">
        <v>154</v>
      </c>
      <c r="C31" s="8" t="s">
        <v>101</v>
      </c>
    </row>
    <row r="32">
      <c r="A32" s="7">
        <v>8017398.0</v>
      </c>
      <c r="B32" s="8" t="s">
        <v>135</v>
      </c>
      <c r="C32" s="8" t="s">
        <v>161</v>
      </c>
    </row>
    <row r="33">
      <c r="A33" s="7">
        <v>8661711.0</v>
      </c>
      <c r="B33" s="8" t="s">
        <v>165</v>
      </c>
      <c r="C33" s="8" t="s">
        <v>101</v>
      </c>
    </row>
    <row r="34">
      <c r="A34" s="7">
        <v>9102592.0</v>
      </c>
      <c r="B34" s="8" t="s">
        <v>168</v>
      </c>
      <c r="C34" s="8" t="s">
        <v>78</v>
      </c>
    </row>
    <row r="35">
      <c r="A35" s="7">
        <v>9211835.0</v>
      </c>
      <c r="B35" s="8" t="s">
        <v>170</v>
      </c>
      <c r="C35" s="8" t="s">
        <v>101</v>
      </c>
    </row>
    <row r="36">
      <c r="A36" s="7">
        <v>9728443.0</v>
      </c>
      <c r="B36" s="8" t="s">
        <v>173</v>
      </c>
      <c r="C36" s="8" t="s">
        <v>101</v>
      </c>
    </row>
    <row r="37">
      <c r="A37" s="7">
        <v>1.0029788E7</v>
      </c>
      <c r="B37" s="8" t="s">
        <v>175</v>
      </c>
      <c r="C37" s="8" t="s">
        <v>78</v>
      </c>
    </row>
    <row r="38">
      <c r="A38" s="7">
        <v>1.0135648E7</v>
      </c>
      <c r="B38" s="8" t="s">
        <v>178</v>
      </c>
      <c r="C38" s="8" t="s">
        <v>101</v>
      </c>
    </row>
    <row r="39">
      <c r="A39" s="7">
        <v>1.0435246E7</v>
      </c>
      <c r="B39" s="8" t="s">
        <v>181</v>
      </c>
      <c r="C39" s="8" t="s">
        <v>161</v>
      </c>
    </row>
    <row r="40">
      <c r="A40" s="7">
        <v>1.05987E7</v>
      </c>
      <c r="B40" s="8" t="s">
        <v>184</v>
      </c>
      <c r="C40" s="8" t="s">
        <v>78</v>
      </c>
    </row>
    <row r="41">
      <c r="A41" s="7">
        <v>1.1120604E7</v>
      </c>
      <c r="B41" s="8" t="s">
        <v>187</v>
      </c>
      <c r="C41" s="8" t="s">
        <v>101</v>
      </c>
    </row>
    <row r="42">
      <c r="A42" s="7">
        <v>1.1287397E7</v>
      </c>
      <c r="B42" s="8" t="s">
        <v>189</v>
      </c>
      <c r="C42" s="8" t="s">
        <v>78</v>
      </c>
    </row>
    <row r="43">
      <c r="A43" s="7">
        <v>1.1987739E7</v>
      </c>
      <c r="B43" s="8" t="s">
        <v>194</v>
      </c>
      <c r="C43" s="8" t="s">
        <v>78</v>
      </c>
    </row>
    <row r="44">
      <c r="A44" s="7">
        <v>1.1991438E7</v>
      </c>
      <c r="B44" s="8" t="s">
        <v>196</v>
      </c>
      <c r="C44" s="8" t="s">
        <v>101</v>
      </c>
    </row>
    <row r="45">
      <c r="A45" s="7">
        <v>1.2104812E7</v>
      </c>
      <c r="B45" s="8" t="s">
        <v>199</v>
      </c>
      <c r="C45" s="8" t="s">
        <v>78</v>
      </c>
    </row>
    <row r="46">
      <c r="A46" s="10">
        <v>1.2261129E7</v>
      </c>
      <c r="B46" s="12" t="s">
        <v>202</v>
      </c>
      <c r="C46" s="12" t="s">
        <v>101</v>
      </c>
    </row>
    <row r="47">
      <c r="A47" s="7">
        <v>1.270443E7</v>
      </c>
      <c r="B47" s="8" t="s">
        <v>204</v>
      </c>
      <c r="C47" s="8" t="s">
        <v>78</v>
      </c>
    </row>
    <row r="48">
      <c r="A48" s="10">
        <v>1.2975626E7</v>
      </c>
      <c r="B48" s="12" t="s">
        <v>207</v>
      </c>
      <c r="C48" s="12" t="s">
        <v>101</v>
      </c>
    </row>
    <row r="49">
      <c r="A49" s="7">
        <v>1.3026536E7</v>
      </c>
      <c r="B49" s="8" t="s">
        <v>209</v>
      </c>
      <c r="C49" s="8" t="s">
        <v>78</v>
      </c>
    </row>
    <row r="50">
      <c r="A50" s="7">
        <v>1.3076366E7</v>
      </c>
      <c r="B50" s="8" t="s">
        <v>212</v>
      </c>
      <c r="C50" s="8" t="s">
        <v>101</v>
      </c>
    </row>
    <row r="51">
      <c r="A51" s="7">
        <v>1.3076366E7</v>
      </c>
      <c r="B51" s="8" t="s">
        <v>212</v>
      </c>
      <c r="C51" s="8" t="s">
        <v>101</v>
      </c>
    </row>
    <row r="52">
      <c r="A52" s="10">
        <v>1.3085682E7</v>
      </c>
      <c r="B52" s="12" t="s">
        <v>216</v>
      </c>
      <c r="C52" s="12" t="s">
        <v>78</v>
      </c>
    </row>
    <row r="53">
      <c r="A53" s="7">
        <v>1.3090188E7</v>
      </c>
      <c r="B53" s="8" t="s">
        <v>198</v>
      </c>
      <c r="C53" s="8" t="s">
        <v>161</v>
      </c>
    </row>
    <row r="54">
      <c r="A54" s="10">
        <v>1.3192339E7</v>
      </c>
      <c r="B54" s="12" t="s">
        <v>222</v>
      </c>
      <c r="C54" s="12" t="s">
        <v>161</v>
      </c>
    </row>
    <row r="55">
      <c r="A55" s="10">
        <v>1.3363445E7</v>
      </c>
      <c r="B55" s="12" t="s">
        <v>104</v>
      </c>
      <c r="C55" s="12" t="s">
        <v>78</v>
      </c>
    </row>
    <row r="56">
      <c r="A56" s="7">
        <v>1.353247E7</v>
      </c>
      <c r="B56" s="8" t="s">
        <v>227</v>
      </c>
      <c r="C56" s="8" t="s">
        <v>101</v>
      </c>
    </row>
    <row r="57">
      <c r="A57" s="10">
        <v>1.4044605E7</v>
      </c>
      <c r="B57" s="12" t="s">
        <v>229</v>
      </c>
      <c r="C57" s="12" t="s">
        <v>101</v>
      </c>
    </row>
    <row r="58">
      <c r="A58" s="7">
        <v>1.4214444E7</v>
      </c>
      <c r="B58" s="8" t="s">
        <v>232</v>
      </c>
      <c r="C58" s="8" t="s">
        <v>101</v>
      </c>
    </row>
    <row r="59">
      <c r="A59" s="7">
        <v>1.4974823E7</v>
      </c>
      <c r="B59" s="8" t="s">
        <v>162</v>
      </c>
      <c r="C59" s="8" t="s">
        <v>101</v>
      </c>
    </row>
    <row r="60">
      <c r="A60" s="7">
        <v>1.4974823E7</v>
      </c>
      <c r="B60" s="8" t="s">
        <v>162</v>
      </c>
      <c r="C60" s="8" t="s">
        <v>101</v>
      </c>
    </row>
    <row r="61">
      <c r="A61" s="10">
        <v>1.5085999E7</v>
      </c>
      <c r="B61" s="12" t="s">
        <v>239</v>
      </c>
      <c r="C61" s="12" t="s">
        <v>78</v>
      </c>
    </row>
    <row r="62">
      <c r="A62" s="7">
        <v>1.522508E7</v>
      </c>
      <c r="B62" s="8" t="s">
        <v>240</v>
      </c>
      <c r="C62" s="8" t="s">
        <v>101</v>
      </c>
    </row>
    <row r="63">
      <c r="A63" s="7">
        <v>1.5560185E7</v>
      </c>
      <c r="B63" s="8" t="s">
        <v>243</v>
      </c>
      <c r="C63" s="8" t="s">
        <v>101</v>
      </c>
    </row>
    <row r="64">
      <c r="A64" s="7">
        <v>1.6042959E7</v>
      </c>
      <c r="B64" s="8" t="s">
        <v>245</v>
      </c>
      <c r="C64" s="8" t="s">
        <v>78</v>
      </c>
    </row>
    <row r="65">
      <c r="A65" s="7">
        <v>1.6366305E7</v>
      </c>
      <c r="B65" s="8" t="s">
        <v>248</v>
      </c>
      <c r="C65" s="8" t="s">
        <v>101</v>
      </c>
    </row>
    <row r="66">
      <c r="A66" s="7">
        <v>1.6367752E7</v>
      </c>
      <c r="B66" s="8" t="s">
        <v>249</v>
      </c>
      <c r="C66" s="8" t="s">
        <v>101</v>
      </c>
    </row>
    <row r="67">
      <c r="A67" s="7">
        <v>1.6648949E7</v>
      </c>
      <c r="B67" s="8" t="s">
        <v>251</v>
      </c>
      <c r="C67" s="8" t="s">
        <v>78</v>
      </c>
    </row>
    <row r="68">
      <c r="A68" s="7">
        <v>1.7025317E7</v>
      </c>
      <c r="B68" s="8" t="s">
        <v>183</v>
      </c>
      <c r="C68" s="8" t="s">
        <v>101</v>
      </c>
    </row>
    <row r="69">
      <c r="A69" s="7">
        <v>1.7025317E7</v>
      </c>
      <c r="B69" s="8" t="s">
        <v>183</v>
      </c>
      <c r="C69" s="8" t="s">
        <v>101</v>
      </c>
    </row>
    <row r="70">
      <c r="A70" s="10">
        <v>1.7339986E7</v>
      </c>
      <c r="B70" s="12" t="s">
        <v>256</v>
      </c>
      <c r="C70" s="12" t="s">
        <v>161</v>
      </c>
    </row>
    <row r="71">
      <c r="A71" s="10">
        <v>1.8310476E7</v>
      </c>
      <c r="B71" s="12" t="s">
        <v>258</v>
      </c>
      <c r="C71" s="12" t="s">
        <v>101</v>
      </c>
    </row>
    <row r="72">
      <c r="A72" s="7">
        <v>1.8436915E7</v>
      </c>
      <c r="B72" s="8" t="s">
        <v>260</v>
      </c>
      <c r="C72" s="8" t="s">
        <v>78</v>
      </c>
    </row>
    <row r="73">
      <c r="A73" s="7">
        <v>1.8552945E7</v>
      </c>
      <c r="B73" s="8" t="s">
        <v>263</v>
      </c>
      <c r="C73" s="8" t="s">
        <v>101</v>
      </c>
    </row>
    <row r="74">
      <c r="A74" s="7">
        <v>1.8900773E7</v>
      </c>
      <c r="B74" s="8" t="s">
        <v>265</v>
      </c>
      <c r="C74" s="8" t="s">
        <v>78</v>
      </c>
    </row>
    <row r="75">
      <c r="A75" s="7">
        <v>2.022792E7</v>
      </c>
      <c r="B75" s="8" t="s">
        <v>139</v>
      </c>
      <c r="C75" s="8" t="s">
        <v>101</v>
      </c>
    </row>
    <row r="76">
      <c r="A76" s="7">
        <v>2.0690536E7</v>
      </c>
      <c r="B76" s="8" t="s">
        <v>272</v>
      </c>
      <c r="C76" s="8" t="s">
        <v>78</v>
      </c>
    </row>
    <row r="77">
      <c r="A77" s="7">
        <v>2.0702017E7</v>
      </c>
      <c r="B77" s="8" t="s">
        <v>274</v>
      </c>
      <c r="C77" s="8" t="s">
        <v>78</v>
      </c>
    </row>
    <row r="78">
      <c r="A78" s="7">
        <v>2.0739235E7</v>
      </c>
      <c r="B78" s="8" t="s">
        <v>276</v>
      </c>
      <c r="C78" s="8" t="s">
        <v>78</v>
      </c>
    </row>
    <row r="79">
      <c r="A79" s="10">
        <v>2.1304862E7</v>
      </c>
      <c r="B79" s="12" t="s">
        <v>279</v>
      </c>
      <c r="C79" s="12" t="s">
        <v>101</v>
      </c>
    </row>
    <row r="80">
      <c r="A80" s="10">
        <v>2.1506816E7</v>
      </c>
      <c r="B80" s="12" t="s">
        <v>278</v>
      </c>
      <c r="C80" s="12" t="s">
        <v>101</v>
      </c>
    </row>
    <row r="81">
      <c r="A81" s="7">
        <v>2.1970723E7</v>
      </c>
      <c r="B81" s="8" t="s">
        <v>283</v>
      </c>
      <c r="C81" s="8" t="s">
        <v>78</v>
      </c>
    </row>
    <row r="82">
      <c r="A82" s="10">
        <v>2.2572974E7</v>
      </c>
      <c r="B82" s="12" t="s">
        <v>127</v>
      </c>
      <c r="C82" s="12" t="s">
        <v>78</v>
      </c>
    </row>
    <row r="83">
      <c r="A83" s="7">
        <v>2.2876757E7</v>
      </c>
      <c r="B83" s="8" t="s">
        <v>289</v>
      </c>
      <c r="C83" s="8" t="s">
        <v>101</v>
      </c>
    </row>
    <row r="84">
      <c r="A84" s="7">
        <v>2.3389026E7</v>
      </c>
      <c r="B84" s="8" t="s">
        <v>223</v>
      </c>
      <c r="C84" s="8" t="s">
        <v>101</v>
      </c>
    </row>
    <row r="85">
      <c r="A85" s="10">
        <v>2.4125647E7</v>
      </c>
      <c r="B85" s="12" t="s">
        <v>295</v>
      </c>
      <c r="C85" s="12" t="s">
        <v>78</v>
      </c>
    </row>
    <row r="86">
      <c r="A86" s="7">
        <v>2.6912791E7</v>
      </c>
      <c r="B86" s="8" t="s">
        <v>177</v>
      </c>
      <c r="C86" s="8" t="s">
        <v>78</v>
      </c>
    </row>
    <row r="87">
      <c r="A87" s="7">
        <v>2.701303E7</v>
      </c>
      <c r="B87" s="8" t="s">
        <v>300</v>
      </c>
      <c r="C87" s="8" t="s">
        <v>101</v>
      </c>
    </row>
    <row r="88">
      <c r="A88" s="7">
        <v>2.7924577E7</v>
      </c>
      <c r="B88" s="8" t="s">
        <v>201</v>
      </c>
      <c r="C88" s="8" t="s">
        <v>101</v>
      </c>
    </row>
    <row r="89">
      <c r="A89" s="7">
        <v>2.797386E7</v>
      </c>
      <c r="B89" s="8" t="s">
        <v>292</v>
      </c>
      <c r="C89" s="8" t="s">
        <v>101</v>
      </c>
    </row>
    <row r="90">
      <c r="A90" s="7">
        <v>2.7985896E7</v>
      </c>
      <c r="B90" s="8" t="s">
        <v>306</v>
      </c>
      <c r="C90" s="8" t="s">
        <v>78</v>
      </c>
    </row>
    <row r="91">
      <c r="A91" s="7">
        <v>2.9342272E7</v>
      </c>
      <c r="B91" s="8" t="s">
        <v>308</v>
      </c>
      <c r="C91" s="8" t="s">
        <v>78</v>
      </c>
    </row>
    <row r="92">
      <c r="A92" s="7">
        <v>3.15089E7</v>
      </c>
      <c r="B92" s="8" t="s">
        <v>311</v>
      </c>
      <c r="C92" s="8" t="s">
        <v>78</v>
      </c>
    </row>
    <row r="93">
      <c r="A93" s="7">
        <v>3.2052237E7</v>
      </c>
      <c r="B93" s="8" t="s">
        <v>313</v>
      </c>
      <c r="C93" s="8" t="s">
        <v>161</v>
      </c>
    </row>
    <row r="94">
      <c r="A94" s="7">
        <v>3.284898E7</v>
      </c>
      <c r="B94" s="8" t="s">
        <v>269</v>
      </c>
      <c r="C94" s="8" t="s">
        <v>78</v>
      </c>
    </row>
    <row r="95">
      <c r="A95" s="7">
        <v>3.3223591E7</v>
      </c>
      <c r="B95" s="8" t="s">
        <v>319</v>
      </c>
      <c r="C95" s="8" t="s">
        <v>101</v>
      </c>
    </row>
    <row r="96">
      <c r="A96" s="7">
        <v>3.3985284E7</v>
      </c>
      <c r="B96" s="8" t="s">
        <v>322</v>
      </c>
      <c r="C96" s="8" t="s">
        <v>161</v>
      </c>
    </row>
    <row r="97">
      <c r="A97" s="7">
        <v>3.4843916E7</v>
      </c>
      <c r="B97" s="8" t="s">
        <v>244</v>
      </c>
      <c r="C97" s="8" t="s">
        <v>101</v>
      </c>
    </row>
    <row r="98">
      <c r="A98" s="7">
        <v>3.6019519E7</v>
      </c>
      <c r="B98" s="8" t="s">
        <v>327</v>
      </c>
      <c r="C98" s="8" t="s">
        <v>78</v>
      </c>
    </row>
    <row r="99">
      <c r="A99" s="7">
        <v>3.7285431E7</v>
      </c>
      <c r="B99" s="8" t="s">
        <v>330</v>
      </c>
      <c r="C99" s="8" t="s">
        <v>101</v>
      </c>
    </row>
    <row r="100">
      <c r="A100" s="7">
        <v>3.7730059E7</v>
      </c>
      <c r="B100" s="8" t="s">
        <v>333</v>
      </c>
      <c r="C100" s="8" t="s">
        <v>78</v>
      </c>
    </row>
    <row r="101">
      <c r="A101" s="7">
        <v>3.8268203E7</v>
      </c>
      <c r="B101" s="8" t="s">
        <v>172</v>
      </c>
      <c r="C101" s="8" t="s">
        <v>78</v>
      </c>
    </row>
    <row r="102">
      <c r="A102" s="7">
        <v>4.1212314E7</v>
      </c>
      <c r="B102" s="8" t="s">
        <v>340</v>
      </c>
      <c r="C102" s="8" t="s">
        <v>78</v>
      </c>
    </row>
    <row r="103">
      <c r="A103" s="7">
        <v>4.1354861E7</v>
      </c>
      <c r="B103" s="8" t="s">
        <v>220</v>
      </c>
      <c r="C103" s="8" t="s">
        <v>101</v>
      </c>
    </row>
    <row r="104">
      <c r="A104" s="7">
        <v>4.1642509E7</v>
      </c>
      <c r="B104" s="8" t="s">
        <v>241</v>
      </c>
      <c r="C104" s="8" t="s">
        <v>101</v>
      </c>
    </row>
    <row r="105">
      <c r="A105" s="7">
        <v>4.3866055E7</v>
      </c>
      <c r="B105" s="8" t="s">
        <v>347</v>
      </c>
      <c r="C105" s="8" t="s">
        <v>78</v>
      </c>
    </row>
    <row r="106">
      <c r="A106" s="7">
        <v>4.4898883E7</v>
      </c>
      <c r="B106" s="8" t="s">
        <v>284</v>
      </c>
      <c r="C106" s="8" t="s">
        <v>101</v>
      </c>
    </row>
    <row r="107">
      <c r="A107" s="10">
        <v>4.8027994E7</v>
      </c>
      <c r="B107" s="12" t="s">
        <v>217</v>
      </c>
      <c r="C107" s="12" t="s">
        <v>78</v>
      </c>
    </row>
    <row r="108">
      <c r="A108" s="10">
        <v>5.1081349E7</v>
      </c>
      <c r="B108" s="12" t="s">
        <v>353</v>
      </c>
      <c r="C108" s="12" t="s">
        <v>78</v>
      </c>
    </row>
    <row r="109">
      <c r="A109" s="7">
        <v>5.122483E7</v>
      </c>
      <c r="B109" s="8" t="s">
        <v>358</v>
      </c>
      <c r="C109" s="8" t="s">
        <v>78</v>
      </c>
    </row>
    <row r="110">
      <c r="A110" s="7">
        <v>5.1668346E7</v>
      </c>
      <c r="B110" s="8" t="s">
        <v>360</v>
      </c>
      <c r="C110" s="8" t="s">
        <v>101</v>
      </c>
    </row>
    <row r="111">
      <c r="A111" s="7">
        <v>5.2961095E7</v>
      </c>
      <c r="B111" s="8" t="s">
        <v>230</v>
      </c>
      <c r="C111" s="8" t="s">
        <v>101</v>
      </c>
    </row>
    <row r="112">
      <c r="A112" s="7">
        <v>5.5473823E7</v>
      </c>
      <c r="B112" s="8" t="s">
        <v>365</v>
      </c>
      <c r="C112" s="8" t="s">
        <v>161</v>
      </c>
    </row>
    <row r="113">
      <c r="A113" s="7">
        <v>5.7713975E7</v>
      </c>
      <c r="B113" s="8" t="s">
        <v>368</v>
      </c>
      <c r="C113" s="8" t="s">
        <v>78</v>
      </c>
    </row>
    <row r="114">
      <c r="A114" s="7">
        <v>5.8497939E7</v>
      </c>
      <c r="B114" s="8" t="s">
        <v>237</v>
      </c>
      <c r="C114" s="8" t="s">
        <v>101</v>
      </c>
    </row>
    <row r="115">
      <c r="A115" s="10">
        <v>5.8860212E7</v>
      </c>
      <c r="B115" s="12" t="s">
        <v>374</v>
      </c>
      <c r="C115" s="12" t="s">
        <v>161</v>
      </c>
    </row>
    <row r="116">
      <c r="A116" s="7">
        <v>6.4370063E7</v>
      </c>
      <c r="B116" s="8" t="s">
        <v>378</v>
      </c>
      <c r="C116" s="8" t="s">
        <v>78</v>
      </c>
    </row>
    <row r="117">
      <c r="A117" s="7">
        <v>7.241262E7</v>
      </c>
      <c r="B117" s="8" t="s">
        <v>380</v>
      </c>
      <c r="C117" s="8" t="s">
        <v>78</v>
      </c>
    </row>
    <row r="118">
      <c r="A118" s="7">
        <v>7.442675E7</v>
      </c>
      <c r="B118" s="8" t="s">
        <v>298</v>
      </c>
      <c r="C118" s="8" t="s">
        <v>101</v>
      </c>
    </row>
    <row r="119">
      <c r="A119" s="7">
        <v>7.6981547E7</v>
      </c>
      <c r="B119" s="8" t="s">
        <v>384</v>
      </c>
      <c r="C119" s="8" t="s">
        <v>78</v>
      </c>
    </row>
    <row r="120">
      <c r="A120" s="7">
        <v>7.7914363E7</v>
      </c>
      <c r="B120" s="8" t="s">
        <v>387</v>
      </c>
      <c r="C120" s="8" t="s">
        <v>78</v>
      </c>
    </row>
    <row r="121">
      <c r="A121" s="10">
        <v>8.0311945E7</v>
      </c>
      <c r="B121" s="12" t="s">
        <v>389</v>
      </c>
      <c r="C121" s="12" t="s">
        <v>161</v>
      </c>
    </row>
    <row r="122">
      <c r="A122" s="7">
        <v>8.1028103E7</v>
      </c>
      <c r="B122" s="8" t="s">
        <v>391</v>
      </c>
      <c r="C122" s="8" t="s">
        <v>101</v>
      </c>
    </row>
    <row r="123">
      <c r="A123" s="7">
        <v>8.2336224E7</v>
      </c>
      <c r="B123" s="8" t="s">
        <v>393</v>
      </c>
      <c r="C123" s="8" t="s">
        <v>78</v>
      </c>
    </row>
    <row r="124">
      <c r="A124" s="7">
        <v>8.4880782E7</v>
      </c>
      <c r="B124" s="8" t="s">
        <v>395</v>
      </c>
      <c r="C124" s="8" t="s">
        <v>78</v>
      </c>
    </row>
    <row r="125">
      <c r="A125" s="7">
        <v>8.5209457E7</v>
      </c>
      <c r="B125" s="8" t="s">
        <v>191</v>
      </c>
      <c r="C125" s="8" t="s">
        <v>78</v>
      </c>
    </row>
    <row r="126">
      <c r="A126" s="7">
        <v>8.7103939E7</v>
      </c>
      <c r="B126" s="8" t="s">
        <v>399</v>
      </c>
      <c r="C126" s="8" t="s">
        <v>78</v>
      </c>
    </row>
    <row r="127">
      <c r="A127" s="7">
        <v>9.0921141E7</v>
      </c>
      <c r="B127" s="8" t="s">
        <v>402</v>
      </c>
      <c r="C127" s="8" t="s">
        <v>78</v>
      </c>
    </row>
    <row r="128">
      <c r="A128" s="7">
        <v>9.2709485E7</v>
      </c>
      <c r="B128" s="8" t="s">
        <v>404</v>
      </c>
      <c r="C128" s="8" t="s">
        <v>78</v>
      </c>
    </row>
    <row r="129">
      <c r="A129" s="7">
        <v>9.5198267E7</v>
      </c>
      <c r="B129" s="8" t="s">
        <v>406</v>
      </c>
      <c r="C129" s="8" t="s">
        <v>161</v>
      </c>
    </row>
    <row r="130">
      <c r="A130" s="7">
        <v>1.01136927E8</v>
      </c>
      <c r="B130" s="8" t="s">
        <v>409</v>
      </c>
      <c r="C130" s="8" t="s">
        <v>78</v>
      </c>
    </row>
    <row r="131">
      <c r="A131" s="7">
        <v>1.01544801E8</v>
      </c>
      <c r="B131" s="8" t="s">
        <v>302</v>
      </c>
      <c r="C131" s="8" t="s">
        <v>101</v>
      </c>
    </row>
    <row r="132">
      <c r="A132" s="7">
        <v>1.03412754E8</v>
      </c>
      <c r="B132" s="8" t="s">
        <v>412</v>
      </c>
      <c r="C132" s="8" t="s">
        <v>78</v>
      </c>
    </row>
    <row r="133">
      <c r="A133" s="7">
        <v>1.06397018E8</v>
      </c>
      <c r="B133" s="8" t="s">
        <v>414</v>
      </c>
      <c r="C133" s="8" t="s">
        <v>101</v>
      </c>
    </row>
    <row r="134">
      <c r="A134" s="7">
        <v>1.13337306E8</v>
      </c>
      <c r="B134" s="8" t="s">
        <v>416</v>
      </c>
      <c r="C134" s="8" t="s">
        <v>101</v>
      </c>
    </row>
    <row r="135">
      <c r="A135" s="7">
        <v>1.21877693E8</v>
      </c>
      <c r="B135" s="8" t="s">
        <v>420</v>
      </c>
      <c r="C135" s="8" t="s">
        <v>78</v>
      </c>
    </row>
    <row r="136">
      <c r="A136" s="7">
        <v>1.26327487E8</v>
      </c>
      <c r="B136" s="8" t="s">
        <v>422</v>
      </c>
      <c r="C136" s="8" t="s">
        <v>78</v>
      </c>
    </row>
    <row r="137">
      <c r="A137" s="7">
        <v>1.30160841E8</v>
      </c>
      <c r="B137" s="8" t="s">
        <v>425</v>
      </c>
      <c r="C137" s="8" t="s">
        <v>78</v>
      </c>
    </row>
    <row r="138">
      <c r="A138" s="7">
        <v>1.35787442E8</v>
      </c>
      <c r="B138" s="8" t="s">
        <v>427</v>
      </c>
      <c r="C138" s="8" t="s">
        <v>78</v>
      </c>
    </row>
    <row r="139">
      <c r="A139" s="7">
        <v>1.41855211E8</v>
      </c>
      <c r="B139" s="8" t="s">
        <v>429</v>
      </c>
      <c r="C139" s="8" t="s">
        <v>78</v>
      </c>
    </row>
    <row r="140">
      <c r="A140" s="7">
        <v>1.470747E8</v>
      </c>
      <c r="B140" s="8" t="s">
        <v>431</v>
      </c>
      <c r="C140" s="8" t="s">
        <v>78</v>
      </c>
    </row>
    <row r="141">
      <c r="A141" s="7">
        <v>1.68113775E8</v>
      </c>
      <c r="B141" s="8" t="s">
        <v>262</v>
      </c>
      <c r="C141" s="8" t="s">
        <v>161</v>
      </c>
    </row>
    <row r="142">
      <c r="A142" s="7">
        <v>1.77698539E8</v>
      </c>
      <c r="B142" s="8" t="s">
        <v>434</v>
      </c>
      <c r="C142" s="8" t="s">
        <v>78</v>
      </c>
    </row>
    <row r="143">
      <c r="A143" s="7">
        <v>1.878145E8</v>
      </c>
      <c r="B143" s="8" t="s">
        <v>437</v>
      </c>
      <c r="C143" s="8" t="s">
        <v>101</v>
      </c>
    </row>
    <row r="144">
      <c r="A144" s="7">
        <v>1.88767942E8</v>
      </c>
      <c r="B144" s="8" t="s">
        <v>226</v>
      </c>
      <c r="C144" s="8" t="s">
        <v>101</v>
      </c>
    </row>
    <row r="145">
      <c r="A145" s="7">
        <v>1.88995231E8</v>
      </c>
      <c r="B145" s="8" t="s">
        <v>440</v>
      </c>
      <c r="C145" s="8" t="s">
        <v>78</v>
      </c>
    </row>
    <row r="146">
      <c r="A146" s="7">
        <v>1.91841056E8</v>
      </c>
      <c r="B146" s="8" t="s">
        <v>442</v>
      </c>
      <c r="C146" s="8" t="s">
        <v>101</v>
      </c>
    </row>
    <row r="147">
      <c r="A147" s="7">
        <v>1.96689059E8</v>
      </c>
      <c r="B147" s="8" t="s">
        <v>206</v>
      </c>
      <c r="C147" s="8" t="s">
        <v>101</v>
      </c>
    </row>
    <row r="148">
      <c r="A148" s="7">
        <v>2.085513E8</v>
      </c>
      <c r="B148" s="8" t="s">
        <v>447</v>
      </c>
      <c r="C148" s="8" t="s">
        <v>78</v>
      </c>
    </row>
    <row r="149">
      <c r="A149" s="7">
        <v>2.1220671E8</v>
      </c>
      <c r="B149" s="8" t="s">
        <v>449</v>
      </c>
      <c r="C149" s="8" t="s">
        <v>78</v>
      </c>
    </row>
    <row r="150">
      <c r="A150" s="10">
        <v>2.17040742E8</v>
      </c>
      <c r="B150" s="12" t="s">
        <v>451</v>
      </c>
      <c r="C150" s="12" t="s">
        <v>161</v>
      </c>
    </row>
    <row r="151">
      <c r="A151" s="10">
        <v>2.28571927E8</v>
      </c>
      <c r="B151" s="12" t="s">
        <v>166</v>
      </c>
      <c r="C151" s="12" t="s">
        <v>161</v>
      </c>
    </row>
    <row r="152">
      <c r="A152" s="7">
        <v>2.44852232E8</v>
      </c>
      <c r="B152" s="8" t="s">
        <v>455</v>
      </c>
      <c r="C152" s="8" t="s">
        <v>78</v>
      </c>
    </row>
    <row r="153">
      <c r="A153" s="7">
        <v>2.4643893E8</v>
      </c>
      <c r="B153" s="8" t="s">
        <v>287</v>
      </c>
      <c r="C153" s="8" t="s">
        <v>101</v>
      </c>
    </row>
    <row r="154">
      <c r="A154" s="7">
        <v>2.51150448E8</v>
      </c>
      <c r="B154" s="8" t="s">
        <v>459</v>
      </c>
      <c r="C154" s="8" t="s">
        <v>78</v>
      </c>
    </row>
    <row r="155">
      <c r="A155" s="7">
        <v>2.55723931E8</v>
      </c>
      <c r="B155" s="8" t="s">
        <v>463</v>
      </c>
      <c r="C155" s="8" t="s">
        <v>78</v>
      </c>
    </row>
    <row r="156">
      <c r="A156" s="7">
        <v>2.55774182E8</v>
      </c>
      <c r="B156" s="8" t="s">
        <v>113</v>
      </c>
      <c r="C156" s="8" t="s">
        <v>101</v>
      </c>
    </row>
    <row r="157">
      <c r="A157" s="10">
        <v>2.66926831E8</v>
      </c>
      <c r="B157" s="12" t="s">
        <v>149</v>
      </c>
      <c r="C157" s="12" t="s">
        <v>101</v>
      </c>
    </row>
    <row r="158">
      <c r="A158" s="7">
        <v>2.72241067E8</v>
      </c>
      <c r="B158" s="8" t="s">
        <v>467</v>
      </c>
      <c r="C158" s="8" t="s">
        <v>78</v>
      </c>
    </row>
    <row r="159">
      <c r="A159" s="7">
        <v>2.79141159E8</v>
      </c>
      <c r="B159" s="8" t="s">
        <v>188</v>
      </c>
      <c r="C159" s="8" t="s">
        <v>78</v>
      </c>
    </row>
    <row r="160">
      <c r="A160" s="10">
        <v>2.83138233E8</v>
      </c>
      <c r="B160" s="12" t="s">
        <v>471</v>
      </c>
      <c r="C160" s="12" t="s">
        <v>101</v>
      </c>
    </row>
    <row r="161">
      <c r="A161" s="7">
        <v>2.95349984E8</v>
      </c>
      <c r="B161" s="8" t="s">
        <v>473</v>
      </c>
      <c r="C161" s="8" t="s">
        <v>78</v>
      </c>
    </row>
    <row r="162">
      <c r="A162" s="7">
        <v>3.01729949E8</v>
      </c>
      <c r="B162" s="8" t="s">
        <v>296</v>
      </c>
      <c r="C162" s="8" t="s">
        <v>101</v>
      </c>
    </row>
    <row r="163">
      <c r="A163" s="7">
        <v>3.03920964E8</v>
      </c>
      <c r="B163" s="8" t="s">
        <v>479</v>
      </c>
      <c r="C163" s="8" t="s">
        <v>78</v>
      </c>
    </row>
    <row r="164">
      <c r="A164" s="7">
        <v>3.12423855E8</v>
      </c>
      <c r="B164" s="8" t="s">
        <v>482</v>
      </c>
      <c r="C164" s="8" t="s">
        <v>78</v>
      </c>
    </row>
    <row r="165">
      <c r="A165" s="7">
        <v>3.18752916E8</v>
      </c>
      <c r="B165" s="8" t="s">
        <v>485</v>
      </c>
      <c r="C165" s="8" t="s">
        <v>78</v>
      </c>
    </row>
    <row r="166">
      <c r="A166" s="7">
        <v>3.18994237E8</v>
      </c>
      <c r="B166" s="8" t="s">
        <v>487</v>
      </c>
      <c r="C166" s="8" t="s">
        <v>78</v>
      </c>
    </row>
    <row r="167">
      <c r="A167" s="7">
        <v>3.24505112E8</v>
      </c>
      <c r="B167" s="8" t="s">
        <v>490</v>
      </c>
      <c r="C167" s="8" t="s">
        <v>78</v>
      </c>
    </row>
    <row r="168">
      <c r="A168" s="7">
        <v>3.3386179E8</v>
      </c>
      <c r="B168" s="8" t="s">
        <v>494</v>
      </c>
      <c r="C168" s="8" t="s">
        <v>78</v>
      </c>
    </row>
    <row r="169">
      <c r="A169" s="7">
        <v>3.35204856E8</v>
      </c>
      <c r="B169" s="8" t="s">
        <v>498</v>
      </c>
      <c r="C169" s="8" t="s">
        <v>78</v>
      </c>
    </row>
    <row r="170">
      <c r="A170" s="7">
        <v>3.43672848E8</v>
      </c>
      <c r="B170" s="8" t="s">
        <v>247</v>
      </c>
      <c r="C170" s="8" t="s">
        <v>101</v>
      </c>
    </row>
    <row r="171">
      <c r="A171" s="7">
        <v>3.48680849E8</v>
      </c>
      <c r="B171" s="8" t="s">
        <v>503</v>
      </c>
      <c r="C171" s="8" t="s">
        <v>78</v>
      </c>
    </row>
    <row r="172">
      <c r="A172" s="7">
        <v>3.5043307E8</v>
      </c>
      <c r="B172" s="8" t="s">
        <v>505</v>
      </c>
      <c r="C172" s="8" t="s">
        <v>78</v>
      </c>
    </row>
    <row r="173">
      <c r="A173" s="7">
        <v>3.60434936E8</v>
      </c>
      <c r="B173" s="8" t="s">
        <v>508</v>
      </c>
      <c r="C173" s="8" t="s">
        <v>78</v>
      </c>
    </row>
    <row r="174">
      <c r="A174" s="7">
        <v>3.70148448E8</v>
      </c>
      <c r="B174" s="8" t="s">
        <v>157</v>
      </c>
      <c r="C174" s="8" t="s">
        <v>78</v>
      </c>
    </row>
    <row r="175">
      <c r="A175" s="7">
        <v>3.70148448E8</v>
      </c>
      <c r="B175" s="8" t="s">
        <v>157</v>
      </c>
      <c r="C175" s="8" t="s">
        <v>78</v>
      </c>
    </row>
    <row r="176">
      <c r="A176" s="10">
        <v>3.71007716E8</v>
      </c>
      <c r="B176" s="12" t="s">
        <v>514</v>
      </c>
      <c r="C176" s="12" t="s">
        <v>101</v>
      </c>
    </row>
    <row r="177">
      <c r="A177" s="7">
        <v>3.91599279E8</v>
      </c>
      <c r="B177" s="8" t="s">
        <v>119</v>
      </c>
      <c r="C177" s="8" t="s">
        <v>78</v>
      </c>
    </row>
    <row r="178">
      <c r="A178" s="10">
        <v>3.91759252E8</v>
      </c>
      <c r="B178" s="12" t="s">
        <v>520</v>
      </c>
      <c r="C178" s="12" t="s">
        <v>101</v>
      </c>
    </row>
    <row r="179">
      <c r="A179" s="7">
        <v>3.98364727E8</v>
      </c>
      <c r="B179" s="8" t="s">
        <v>523</v>
      </c>
      <c r="C179" s="8" t="s">
        <v>78</v>
      </c>
    </row>
    <row r="180">
      <c r="A180" s="7">
        <v>4.22922528E8</v>
      </c>
      <c r="B180" s="8" t="s">
        <v>526</v>
      </c>
      <c r="C180" s="8" t="s">
        <v>101</v>
      </c>
    </row>
    <row r="181">
      <c r="A181" s="10">
        <v>4.25421363E8</v>
      </c>
      <c r="B181" s="12" t="s">
        <v>528</v>
      </c>
      <c r="C181" s="12" t="s">
        <v>161</v>
      </c>
    </row>
    <row r="182">
      <c r="A182" s="10">
        <v>4.34795606E8</v>
      </c>
      <c r="B182" s="12" t="s">
        <v>211</v>
      </c>
      <c r="C182" s="12" t="s">
        <v>78</v>
      </c>
    </row>
    <row r="183">
      <c r="A183" s="7">
        <v>4.36926807E8</v>
      </c>
      <c r="B183" s="8" t="s">
        <v>489</v>
      </c>
      <c r="C183" s="8" t="s">
        <v>78</v>
      </c>
    </row>
    <row r="184">
      <c r="A184" s="7">
        <v>4.44069068E8</v>
      </c>
      <c r="B184" s="8" t="s">
        <v>539</v>
      </c>
      <c r="C184" s="8" t="s">
        <v>78</v>
      </c>
    </row>
    <row r="185">
      <c r="A185" s="7">
        <v>4.55398434E8</v>
      </c>
      <c r="B185" s="8" t="s">
        <v>542</v>
      </c>
      <c r="C185" s="8" t="s">
        <v>78</v>
      </c>
    </row>
    <row r="186">
      <c r="A186" s="10">
        <v>4.89775138E8</v>
      </c>
      <c r="B186" s="12" t="s">
        <v>545</v>
      </c>
      <c r="C186" s="12" t="s">
        <v>161</v>
      </c>
    </row>
    <row r="187">
      <c r="A187" s="7">
        <v>4.90563386E8</v>
      </c>
      <c r="B187" s="8" t="s">
        <v>14</v>
      </c>
      <c r="C187" s="8" t="s">
        <v>78</v>
      </c>
    </row>
    <row r="188">
      <c r="A188" s="20"/>
      <c r="B188" s="24"/>
      <c r="C188" s="24"/>
    </row>
    <row r="189">
      <c r="A189" s="20"/>
      <c r="B189" s="24"/>
      <c r="C189" s="24"/>
    </row>
    <row r="190">
      <c r="A190" s="20"/>
      <c r="B190" s="24"/>
      <c r="C190" s="24"/>
    </row>
    <row r="191">
      <c r="A191" s="20"/>
      <c r="B191" s="24"/>
      <c r="C191" s="24"/>
    </row>
    <row r="192">
      <c r="A192" s="20"/>
      <c r="B192" s="24"/>
      <c r="C192" s="24"/>
    </row>
    <row r="193">
      <c r="A193" s="20"/>
      <c r="B193" s="24"/>
      <c r="C193" s="24"/>
    </row>
    <row r="194">
      <c r="A194" s="20"/>
      <c r="B194" s="24"/>
      <c r="C194" s="24"/>
    </row>
    <row r="195">
      <c r="A195" s="20"/>
      <c r="B195" s="24"/>
      <c r="C195" s="24"/>
    </row>
    <row r="196">
      <c r="A196" s="20"/>
      <c r="B196" s="24"/>
      <c r="C196" s="24"/>
    </row>
    <row r="197">
      <c r="A197" s="20"/>
      <c r="B197" s="24"/>
      <c r="C197" s="24"/>
    </row>
    <row r="198">
      <c r="A198" s="20"/>
      <c r="B198" s="24"/>
      <c r="C198" s="24"/>
    </row>
    <row r="199">
      <c r="A199" s="20"/>
      <c r="B199" s="24"/>
      <c r="C199" s="24"/>
    </row>
    <row r="200">
      <c r="A200" s="20"/>
      <c r="B200" s="24"/>
      <c r="C200" s="24"/>
    </row>
    <row r="201">
      <c r="A201" s="20"/>
      <c r="B201" s="24"/>
      <c r="C201" s="24"/>
    </row>
    <row r="202">
      <c r="A202" s="20"/>
      <c r="B202" s="24"/>
      <c r="C202" s="24"/>
    </row>
    <row r="203">
      <c r="A203" s="20"/>
      <c r="B203" s="24"/>
      <c r="C203" s="24"/>
    </row>
    <row r="204">
      <c r="A204" s="20"/>
      <c r="B204" s="24"/>
      <c r="C204" s="24"/>
    </row>
    <row r="205">
      <c r="A205" s="20"/>
      <c r="B205" s="24"/>
      <c r="C205" s="24"/>
    </row>
    <row r="206">
      <c r="A206" s="20"/>
      <c r="B206" s="24"/>
      <c r="C206" s="24"/>
    </row>
    <row r="207">
      <c r="A207" s="20"/>
      <c r="B207" s="24"/>
      <c r="C207" s="24"/>
    </row>
    <row r="208">
      <c r="A208" s="20"/>
      <c r="B208" s="24"/>
      <c r="C208" s="24"/>
    </row>
    <row r="209">
      <c r="A209" s="20"/>
      <c r="B209" s="24"/>
      <c r="C209" s="24"/>
    </row>
    <row r="210">
      <c r="A210" s="20"/>
      <c r="B210" s="24"/>
      <c r="C210" s="24"/>
    </row>
    <row r="211">
      <c r="A211" s="20"/>
      <c r="B211" s="24"/>
      <c r="C211" s="24"/>
    </row>
    <row r="212">
      <c r="A212" s="20"/>
      <c r="B212" s="24"/>
      <c r="C212" s="24"/>
    </row>
    <row r="213">
      <c r="A213" s="20"/>
      <c r="B213" s="24"/>
      <c r="C213" s="24"/>
    </row>
    <row r="214">
      <c r="A214" s="20"/>
      <c r="B214" s="24"/>
      <c r="C214" s="24"/>
    </row>
    <row r="215">
      <c r="A215" s="20"/>
      <c r="B215" s="24"/>
      <c r="C215" s="24"/>
    </row>
    <row r="216">
      <c r="A216" s="20"/>
      <c r="B216" s="24"/>
      <c r="C216" s="24"/>
    </row>
    <row r="217">
      <c r="A217" s="20"/>
      <c r="B217" s="24"/>
      <c r="C217" s="24"/>
    </row>
    <row r="218">
      <c r="A218" s="20"/>
      <c r="B218" s="24"/>
      <c r="C218" s="24"/>
    </row>
    <row r="219">
      <c r="A219" s="20"/>
      <c r="B219" s="24"/>
      <c r="C219" s="24"/>
    </row>
    <row r="220">
      <c r="A220" s="20"/>
      <c r="B220" s="24"/>
      <c r="C220" s="24"/>
    </row>
    <row r="221">
      <c r="A221" s="20"/>
      <c r="B221" s="24"/>
      <c r="C221" s="24"/>
    </row>
    <row r="222">
      <c r="A222" s="20"/>
      <c r="B222" s="24"/>
      <c r="C222" s="24"/>
    </row>
    <row r="223">
      <c r="A223" s="20"/>
      <c r="B223" s="24"/>
      <c r="C223" s="24"/>
    </row>
    <row r="224">
      <c r="A224" s="20"/>
      <c r="B224" s="24"/>
      <c r="C224" s="24"/>
    </row>
    <row r="225">
      <c r="A225" s="20"/>
      <c r="B225" s="24"/>
      <c r="C225" s="24"/>
    </row>
    <row r="226">
      <c r="A226" s="20"/>
      <c r="B226" s="24"/>
      <c r="C226" s="24"/>
    </row>
    <row r="227">
      <c r="A227" s="20"/>
      <c r="B227" s="24"/>
      <c r="C227" s="24"/>
    </row>
    <row r="228">
      <c r="A228" s="20"/>
      <c r="B228" s="24"/>
      <c r="C228" s="24"/>
    </row>
    <row r="229">
      <c r="A229" s="20"/>
      <c r="B229" s="24"/>
      <c r="C229" s="24"/>
    </row>
    <row r="230">
      <c r="A230" s="20"/>
      <c r="B230" s="24"/>
      <c r="C230" s="24"/>
    </row>
    <row r="231">
      <c r="A231" s="20"/>
      <c r="B231" s="24"/>
      <c r="C231" s="24"/>
    </row>
    <row r="232">
      <c r="A232" s="20"/>
      <c r="B232" s="24"/>
      <c r="C232" s="24"/>
    </row>
    <row r="233">
      <c r="A233" s="20"/>
      <c r="B233" s="24"/>
      <c r="C233" s="24"/>
    </row>
    <row r="234">
      <c r="A234" s="20"/>
      <c r="B234" s="24"/>
      <c r="C234" s="24"/>
    </row>
    <row r="235">
      <c r="A235" s="20"/>
      <c r="B235" s="24"/>
      <c r="C235" s="24"/>
    </row>
    <row r="236">
      <c r="A236" s="20"/>
      <c r="B236" s="24"/>
      <c r="C236" s="24"/>
    </row>
    <row r="237">
      <c r="A237" s="20"/>
      <c r="B237" s="24"/>
      <c r="C237" s="24"/>
    </row>
    <row r="238">
      <c r="A238" s="20"/>
      <c r="B238" s="24"/>
      <c r="C238" s="24"/>
    </row>
    <row r="239">
      <c r="A239" s="20"/>
      <c r="B239" s="24"/>
      <c r="C239" s="24"/>
    </row>
    <row r="240">
      <c r="A240" s="20"/>
      <c r="B240" s="24"/>
      <c r="C240" s="24"/>
    </row>
    <row r="241">
      <c r="A241" s="20"/>
      <c r="B241" s="24"/>
      <c r="C241" s="24"/>
    </row>
    <row r="242">
      <c r="A242" s="20"/>
      <c r="B242" s="24"/>
      <c r="C242" s="24"/>
    </row>
    <row r="243">
      <c r="A243" s="20"/>
      <c r="B243" s="24"/>
      <c r="C243" s="24"/>
    </row>
    <row r="244">
      <c r="A244" s="20"/>
      <c r="B244" s="24"/>
      <c r="C244" s="24"/>
    </row>
    <row r="245">
      <c r="A245" s="20"/>
      <c r="B245" s="24"/>
      <c r="C245" s="24"/>
    </row>
    <row r="246">
      <c r="A246" s="20"/>
      <c r="B246" s="24"/>
      <c r="C246" s="24"/>
    </row>
    <row r="247">
      <c r="A247" s="20"/>
      <c r="B247" s="24"/>
      <c r="C247" s="24"/>
    </row>
    <row r="248">
      <c r="A248" s="20"/>
      <c r="B248" s="24"/>
      <c r="C248" s="24"/>
    </row>
    <row r="249">
      <c r="A249" s="20"/>
      <c r="B249" s="24"/>
      <c r="C249" s="24"/>
    </row>
    <row r="250">
      <c r="A250" s="20"/>
      <c r="B250" s="24"/>
      <c r="C250" s="24"/>
    </row>
    <row r="251">
      <c r="A251" s="20"/>
      <c r="B251" s="24"/>
      <c r="C251" s="24"/>
    </row>
    <row r="252">
      <c r="A252" s="20"/>
      <c r="B252" s="24"/>
      <c r="C252" s="24"/>
    </row>
    <row r="253">
      <c r="A253" s="20"/>
      <c r="B253" s="24"/>
      <c r="C253" s="24"/>
    </row>
    <row r="254">
      <c r="A254" s="20"/>
      <c r="B254" s="24"/>
      <c r="C254" s="24"/>
    </row>
    <row r="255">
      <c r="A255" s="20"/>
      <c r="B255" s="24"/>
      <c r="C255" s="24"/>
    </row>
    <row r="256">
      <c r="A256" s="20"/>
      <c r="B256" s="24"/>
      <c r="C256" s="24"/>
    </row>
    <row r="257">
      <c r="A257" s="20"/>
      <c r="B257" s="24"/>
      <c r="C257" s="24"/>
    </row>
    <row r="258">
      <c r="A258" s="20"/>
      <c r="B258" s="24"/>
      <c r="C258" s="24"/>
    </row>
    <row r="259">
      <c r="A259" s="20"/>
      <c r="B259" s="24"/>
      <c r="C259" s="24"/>
    </row>
    <row r="260">
      <c r="A260" s="20"/>
      <c r="B260" s="24"/>
      <c r="C260" s="24"/>
    </row>
    <row r="261">
      <c r="A261" s="20"/>
      <c r="B261" s="24"/>
      <c r="C261" s="24"/>
    </row>
    <row r="262">
      <c r="A262" s="20"/>
      <c r="B262" s="24"/>
      <c r="C262" s="24"/>
    </row>
    <row r="263">
      <c r="A263" s="20"/>
      <c r="B263" s="24"/>
      <c r="C263" s="24"/>
    </row>
    <row r="264">
      <c r="A264" s="20"/>
      <c r="B264" s="24"/>
      <c r="C264" s="24"/>
    </row>
    <row r="265">
      <c r="A265" s="20"/>
      <c r="B265" s="24"/>
      <c r="C265" s="24"/>
    </row>
    <row r="266">
      <c r="A266" s="20"/>
      <c r="B266" s="24"/>
      <c r="C266" s="24"/>
    </row>
    <row r="267">
      <c r="A267" s="20"/>
      <c r="B267" s="24"/>
      <c r="C267" s="24"/>
    </row>
    <row r="268">
      <c r="A268" s="20"/>
      <c r="B268" s="24"/>
      <c r="C268" s="24"/>
    </row>
    <row r="269">
      <c r="A269" s="20"/>
      <c r="B269" s="24"/>
      <c r="C269" s="24"/>
    </row>
    <row r="270">
      <c r="A270" s="20"/>
      <c r="B270" s="24"/>
      <c r="C270" s="24"/>
    </row>
    <row r="271">
      <c r="A271" s="20"/>
      <c r="B271" s="24"/>
      <c r="C271" s="24"/>
    </row>
    <row r="272">
      <c r="A272" s="20"/>
      <c r="B272" s="24"/>
      <c r="C272" s="24"/>
    </row>
    <row r="273">
      <c r="A273" s="20"/>
      <c r="B273" s="24"/>
      <c r="C273" s="24"/>
    </row>
    <row r="274">
      <c r="A274" s="20"/>
      <c r="B274" s="24"/>
      <c r="C274" s="24"/>
    </row>
    <row r="275">
      <c r="A275" s="20"/>
      <c r="B275" s="24"/>
      <c r="C275" s="24"/>
    </row>
    <row r="276">
      <c r="A276" s="20"/>
      <c r="B276" s="24"/>
      <c r="C276" s="24"/>
    </row>
    <row r="277">
      <c r="A277" s="20"/>
      <c r="B277" s="24"/>
      <c r="C277" s="24"/>
    </row>
    <row r="278">
      <c r="A278" s="20"/>
      <c r="B278" s="24"/>
      <c r="C278" s="24"/>
    </row>
    <row r="279">
      <c r="A279" s="20"/>
      <c r="B279" s="24"/>
      <c r="C279" s="24"/>
    </row>
    <row r="280">
      <c r="A280" s="20"/>
      <c r="B280" s="24"/>
      <c r="C280" s="24"/>
    </row>
    <row r="281">
      <c r="A281" s="20"/>
      <c r="B281" s="24"/>
      <c r="C281" s="24"/>
    </row>
    <row r="282">
      <c r="A282" s="20"/>
      <c r="B282" s="24"/>
      <c r="C282" s="24"/>
    </row>
    <row r="283">
      <c r="A283" s="20"/>
      <c r="B283" s="24"/>
      <c r="C283" s="24"/>
    </row>
    <row r="284">
      <c r="A284" s="20"/>
      <c r="B284" s="24"/>
      <c r="C284" s="24"/>
    </row>
    <row r="285">
      <c r="A285" s="20"/>
      <c r="B285" s="24"/>
      <c r="C285" s="24"/>
    </row>
    <row r="286">
      <c r="A286" s="20"/>
      <c r="B286" s="24"/>
      <c r="C286" s="24"/>
    </row>
    <row r="287">
      <c r="A287" s="20"/>
      <c r="B287" s="24"/>
      <c r="C287" s="24"/>
    </row>
    <row r="288">
      <c r="A288" s="20"/>
      <c r="B288" s="24"/>
      <c r="C288" s="24"/>
    </row>
    <row r="289">
      <c r="A289" s="20"/>
      <c r="B289" s="24"/>
      <c r="C289" s="24"/>
    </row>
    <row r="290">
      <c r="A290" s="20"/>
      <c r="B290" s="24"/>
      <c r="C290" s="24"/>
    </row>
    <row r="291">
      <c r="A291" s="20"/>
      <c r="B291" s="24"/>
      <c r="C291" s="24"/>
    </row>
    <row r="292">
      <c r="A292" s="20"/>
      <c r="B292" s="24"/>
      <c r="C292" s="24"/>
    </row>
    <row r="293">
      <c r="A293" s="20"/>
      <c r="B293" s="24"/>
      <c r="C293" s="24"/>
    </row>
    <row r="294">
      <c r="A294" s="20"/>
      <c r="B294" s="24"/>
      <c r="C294" s="24"/>
    </row>
    <row r="295">
      <c r="A295" s="20"/>
      <c r="B295" s="24"/>
      <c r="C295" s="24"/>
    </row>
    <row r="296">
      <c r="A296" s="20"/>
      <c r="B296" s="24"/>
      <c r="C296" s="24"/>
    </row>
    <row r="297">
      <c r="A297" s="20"/>
      <c r="B297" s="24"/>
      <c r="C297" s="24"/>
    </row>
    <row r="298">
      <c r="A298" s="20"/>
      <c r="B298" s="24"/>
      <c r="C298" s="24"/>
    </row>
    <row r="299">
      <c r="A299" s="20"/>
      <c r="B299" s="24"/>
      <c r="C299" s="24"/>
    </row>
    <row r="300">
      <c r="A300" s="20"/>
      <c r="B300" s="24"/>
      <c r="C300" s="24"/>
    </row>
    <row r="301">
      <c r="A301" s="20"/>
      <c r="B301" s="24"/>
      <c r="C301" s="24"/>
    </row>
    <row r="302">
      <c r="A302" s="20"/>
      <c r="B302" s="24"/>
      <c r="C302" s="24"/>
    </row>
    <row r="303">
      <c r="A303" s="20"/>
      <c r="B303" s="24"/>
      <c r="C303" s="24"/>
    </row>
    <row r="304">
      <c r="A304" s="20"/>
      <c r="B304" s="24"/>
      <c r="C304" s="24"/>
    </row>
    <row r="305">
      <c r="A305" s="20"/>
      <c r="B305" s="24"/>
      <c r="C305" s="24"/>
    </row>
    <row r="306">
      <c r="A306" s="20"/>
      <c r="B306" s="24"/>
      <c r="C306" s="24"/>
    </row>
    <row r="307">
      <c r="A307" s="20"/>
      <c r="B307" s="24"/>
      <c r="C307" s="24"/>
    </row>
    <row r="308">
      <c r="A308" s="20"/>
      <c r="B308" s="24"/>
      <c r="C308" s="24"/>
    </row>
    <row r="309">
      <c r="A309" s="20"/>
      <c r="B309" s="24"/>
      <c r="C309" s="24"/>
    </row>
    <row r="310">
      <c r="A310" s="20"/>
      <c r="B310" s="24"/>
      <c r="C310" s="24"/>
    </row>
    <row r="311">
      <c r="A311" s="20"/>
      <c r="B311" s="24"/>
      <c r="C311" s="24"/>
    </row>
    <row r="312">
      <c r="A312" s="20"/>
      <c r="B312" s="24"/>
      <c r="C312" s="24"/>
    </row>
    <row r="313">
      <c r="A313" s="20"/>
      <c r="B313" s="24"/>
      <c r="C313" s="24"/>
    </row>
    <row r="314">
      <c r="A314" s="20"/>
      <c r="B314" s="24"/>
      <c r="C314" s="24"/>
    </row>
    <row r="315">
      <c r="A315" s="20"/>
      <c r="B315" s="24"/>
      <c r="C315" s="24"/>
    </row>
    <row r="316">
      <c r="A316" s="20"/>
      <c r="B316" s="24"/>
      <c r="C316" s="24"/>
    </row>
    <row r="317">
      <c r="A317" s="20"/>
      <c r="B317" s="24"/>
      <c r="C317" s="24"/>
    </row>
    <row r="318">
      <c r="A318" s="20"/>
      <c r="B318" s="24"/>
      <c r="C318" s="24"/>
    </row>
    <row r="319">
      <c r="A319" s="20"/>
      <c r="B319" s="24"/>
      <c r="C319" s="24"/>
    </row>
    <row r="320">
      <c r="A320" s="20"/>
      <c r="B320" s="24"/>
      <c r="C320" s="24"/>
    </row>
    <row r="321">
      <c r="A321" s="20"/>
      <c r="B321" s="24"/>
      <c r="C321" s="24"/>
    </row>
    <row r="322">
      <c r="A322" s="20"/>
      <c r="B322" s="24"/>
      <c r="C322" s="24"/>
    </row>
    <row r="323">
      <c r="A323" s="20"/>
      <c r="B323" s="24"/>
      <c r="C323" s="24"/>
    </row>
    <row r="324">
      <c r="A324" s="20"/>
      <c r="B324" s="24"/>
      <c r="C324" s="24"/>
    </row>
    <row r="325">
      <c r="A325" s="20"/>
      <c r="B325" s="24"/>
      <c r="C325" s="24"/>
    </row>
    <row r="326">
      <c r="A326" s="20"/>
      <c r="B326" s="24"/>
      <c r="C326" s="24"/>
    </row>
    <row r="327">
      <c r="A327" s="20"/>
      <c r="B327" s="24"/>
      <c r="C327" s="24"/>
    </row>
    <row r="328">
      <c r="A328" s="20"/>
      <c r="B328" s="24"/>
      <c r="C328" s="24"/>
    </row>
    <row r="329">
      <c r="A329" s="20"/>
      <c r="B329" s="24"/>
      <c r="C329" s="24"/>
    </row>
    <row r="330">
      <c r="A330" s="20"/>
      <c r="B330" s="24"/>
      <c r="C330" s="24"/>
    </row>
    <row r="331">
      <c r="A331" s="20"/>
      <c r="B331" s="24"/>
      <c r="C331" s="24"/>
    </row>
    <row r="332">
      <c r="A332" s="20"/>
      <c r="B332" s="24"/>
      <c r="C332" s="24"/>
    </row>
    <row r="333">
      <c r="A333" s="20"/>
      <c r="B333" s="24"/>
      <c r="C333" s="24"/>
    </row>
    <row r="334">
      <c r="A334" s="20"/>
      <c r="B334" s="24"/>
      <c r="C334" s="24"/>
    </row>
    <row r="335">
      <c r="A335" s="20"/>
      <c r="B335" s="24"/>
      <c r="C335" s="24"/>
    </row>
    <row r="336">
      <c r="A336" s="20"/>
      <c r="B336" s="24"/>
      <c r="C336" s="24"/>
    </row>
    <row r="337">
      <c r="A337" s="20"/>
      <c r="B337" s="24"/>
      <c r="C337" s="24"/>
    </row>
    <row r="338">
      <c r="A338" s="20"/>
      <c r="B338" s="24"/>
      <c r="C338" s="24"/>
    </row>
    <row r="339">
      <c r="A339" s="20"/>
      <c r="B339" s="24"/>
      <c r="C339" s="24"/>
    </row>
    <row r="340">
      <c r="A340" s="20"/>
      <c r="B340" s="24"/>
      <c r="C340" s="24"/>
    </row>
    <row r="341">
      <c r="A341" s="20"/>
      <c r="B341" s="24"/>
      <c r="C341" s="24"/>
    </row>
    <row r="342">
      <c r="A342" s="20"/>
      <c r="B342" s="24"/>
      <c r="C342" s="24"/>
    </row>
    <row r="343">
      <c r="A343" s="20"/>
      <c r="B343" s="24"/>
      <c r="C343" s="24"/>
    </row>
    <row r="344">
      <c r="A344" s="20"/>
      <c r="B344" s="24"/>
      <c r="C344" s="24"/>
    </row>
    <row r="345">
      <c r="A345" s="20"/>
      <c r="B345" s="24"/>
      <c r="C345" s="24"/>
    </row>
    <row r="346">
      <c r="A346" s="20"/>
      <c r="B346" s="24"/>
      <c r="C346" s="24"/>
    </row>
    <row r="347">
      <c r="A347" s="20"/>
      <c r="B347" s="24"/>
      <c r="C347" s="24"/>
    </row>
    <row r="348">
      <c r="A348" s="20"/>
      <c r="B348" s="24"/>
      <c r="C348" s="24"/>
    </row>
    <row r="349">
      <c r="A349" s="20"/>
      <c r="B349" s="24"/>
      <c r="C349" s="24"/>
    </row>
    <row r="350">
      <c r="A350" s="20"/>
      <c r="B350" s="24"/>
      <c r="C350" s="24"/>
    </row>
    <row r="351">
      <c r="A351" s="20"/>
      <c r="B351" s="24"/>
      <c r="C351" s="24"/>
    </row>
    <row r="352">
      <c r="A352" s="20"/>
      <c r="B352" s="24"/>
      <c r="C352" s="24"/>
    </row>
    <row r="353">
      <c r="A353" s="20"/>
      <c r="B353" s="24"/>
      <c r="C353" s="24"/>
    </row>
    <row r="354">
      <c r="A354" s="20"/>
      <c r="B354" s="24"/>
      <c r="C354" s="24"/>
    </row>
    <row r="355">
      <c r="A355" s="20"/>
      <c r="B355" s="24"/>
      <c r="C355" s="24"/>
    </row>
    <row r="356">
      <c r="A356" s="20"/>
      <c r="B356" s="24"/>
      <c r="C356" s="24"/>
    </row>
    <row r="357">
      <c r="A357" s="20"/>
      <c r="B357" s="24"/>
      <c r="C357" s="24"/>
    </row>
    <row r="358">
      <c r="A358" s="20"/>
      <c r="B358" s="24"/>
      <c r="C358" s="24"/>
    </row>
    <row r="359">
      <c r="A359" s="20"/>
      <c r="B359" s="24"/>
      <c r="C359" s="24"/>
    </row>
    <row r="360">
      <c r="A360" s="20"/>
      <c r="B360" s="24"/>
      <c r="C360" s="24"/>
    </row>
    <row r="361">
      <c r="A361" s="20"/>
      <c r="B361" s="24"/>
      <c r="C361" s="24"/>
    </row>
    <row r="362">
      <c r="A362" s="20"/>
      <c r="B362" s="24"/>
      <c r="C362" s="24"/>
    </row>
    <row r="363">
      <c r="A363" s="20"/>
      <c r="B363" s="24"/>
      <c r="C363" s="24"/>
    </row>
    <row r="364">
      <c r="A364" s="20"/>
      <c r="B364" s="24"/>
      <c r="C364" s="24"/>
    </row>
    <row r="365">
      <c r="A365" s="20"/>
      <c r="B365" s="24"/>
      <c r="C365" s="24"/>
    </row>
    <row r="366">
      <c r="A366" s="20"/>
      <c r="B366" s="24"/>
      <c r="C366" s="24"/>
    </row>
    <row r="367">
      <c r="A367" s="20"/>
      <c r="B367" s="24"/>
      <c r="C367" s="24"/>
    </row>
    <row r="368">
      <c r="A368" s="20"/>
      <c r="B368" s="24"/>
      <c r="C368" s="24"/>
    </row>
    <row r="369">
      <c r="A369" s="20"/>
      <c r="B369" s="24"/>
      <c r="C369" s="24"/>
    </row>
    <row r="370">
      <c r="A370" s="20"/>
      <c r="B370" s="24"/>
      <c r="C370" s="24"/>
    </row>
    <row r="371">
      <c r="A371" s="20"/>
      <c r="B371" s="24"/>
      <c r="C371" s="24"/>
    </row>
    <row r="372">
      <c r="A372" s="20"/>
      <c r="B372" s="24"/>
      <c r="C372" s="24"/>
    </row>
    <row r="373">
      <c r="A373" s="20"/>
      <c r="B373" s="24"/>
      <c r="C373" s="24"/>
    </row>
    <row r="374">
      <c r="A374" s="20"/>
      <c r="B374" s="24"/>
      <c r="C374" s="24"/>
    </row>
    <row r="375">
      <c r="A375" s="20"/>
      <c r="B375" s="24"/>
      <c r="C375" s="24"/>
    </row>
    <row r="376">
      <c r="A376" s="20"/>
      <c r="B376" s="24"/>
      <c r="C376" s="24"/>
    </row>
    <row r="377">
      <c r="A377" s="20"/>
      <c r="B377" s="24"/>
      <c r="C377" s="24"/>
    </row>
    <row r="378">
      <c r="A378" s="20"/>
      <c r="B378" s="24"/>
      <c r="C378" s="24"/>
    </row>
    <row r="379">
      <c r="A379" s="20"/>
      <c r="B379" s="24"/>
      <c r="C379" s="24"/>
    </row>
    <row r="380">
      <c r="A380" s="20"/>
      <c r="B380" s="24"/>
      <c r="C380" s="24"/>
    </row>
    <row r="381">
      <c r="A381" s="20"/>
      <c r="B381" s="24"/>
      <c r="C381" s="24"/>
    </row>
    <row r="382">
      <c r="A382" s="20"/>
      <c r="B382" s="24"/>
      <c r="C382" s="24"/>
    </row>
    <row r="383">
      <c r="A383" s="20"/>
      <c r="B383" s="24"/>
      <c r="C383" s="24"/>
    </row>
    <row r="384">
      <c r="A384" s="20"/>
      <c r="B384" s="24"/>
      <c r="C384" s="24"/>
    </row>
    <row r="385">
      <c r="A385" s="20"/>
      <c r="B385" s="24"/>
      <c r="C385" s="24"/>
    </row>
    <row r="386">
      <c r="A386" s="20"/>
      <c r="B386" s="24"/>
      <c r="C386" s="24"/>
    </row>
    <row r="387">
      <c r="A387" s="20"/>
      <c r="B387" s="24"/>
      <c r="C387" s="24"/>
    </row>
    <row r="388">
      <c r="A388" s="20"/>
      <c r="B388" s="24"/>
      <c r="C388" s="24"/>
    </row>
    <row r="389">
      <c r="A389" s="20"/>
      <c r="B389" s="24"/>
      <c r="C389" s="24"/>
    </row>
    <row r="390">
      <c r="A390" s="20"/>
      <c r="B390" s="24"/>
      <c r="C390" s="24"/>
    </row>
    <row r="391">
      <c r="A391" s="20"/>
      <c r="B391" s="24"/>
      <c r="C391" s="24"/>
    </row>
    <row r="392">
      <c r="A392" s="20"/>
      <c r="B392" s="24"/>
      <c r="C392" s="24"/>
    </row>
    <row r="393">
      <c r="A393" s="20"/>
      <c r="B393" s="24"/>
      <c r="C393" s="24"/>
    </row>
    <row r="394">
      <c r="A394" s="20"/>
      <c r="B394" s="24"/>
      <c r="C394" s="24"/>
    </row>
    <row r="395">
      <c r="A395" s="20"/>
      <c r="B395" s="24"/>
      <c r="C395" s="24"/>
    </row>
    <row r="396">
      <c r="A396" s="20"/>
      <c r="B396" s="24"/>
      <c r="C396" s="24"/>
    </row>
    <row r="397">
      <c r="A397" s="20"/>
      <c r="B397" s="24"/>
      <c r="C397" s="24"/>
    </row>
    <row r="398">
      <c r="A398" s="20"/>
      <c r="B398" s="24"/>
      <c r="C398" s="24"/>
    </row>
    <row r="399">
      <c r="A399" s="20"/>
      <c r="B399" s="24"/>
      <c r="C399" s="24"/>
    </row>
    <row r="400">
      <c r="A400" s="20"/>
      <c r="B400" s="24"/>
      <c r="C400" s="24"/>
    </row>
    <row r="401">
      <c r="A401" s="20"/>
      <c r="B401" s="24"/>
      <c r="C401" s="24"/>
    </row>
    <row r="402">
      <c r="A402" s="20"/>
      <c r="B402" s="24"/>
      <c r="C402" s="24"/>
    </row>
    <row r="403">
      <c r="A403" s="20"/>
      <c r="B403" s="24"/>
      <c r="C403" s="24"/>
    </row>
    <row r="404">
      <c r="A404" s="20"/>
      <c r="B404" s="24"/>
      <c r="C404" s="24"/>
    </row>
    <row r="405">
      <c r="A405" s="20"/>
      <c r="B405" s="24"/>
      <c r="C405" s="24"/>
    </row>
    <row r="406">
      <c r="A406" s="20"/>
      <c r="B406" s="24"/>
      <c r="C406" s="24"/>
    </row>
    <row r="407">
      <c r="A407" s="20"/>
      <c r="B407" s="24"/>
      <c r="C407" s="24"/>
    </row>
    <row r="408">
      <c r="A408" s="20"/>
      <c r="B408" s="24"/>
      <c r="C408" s="24"/>
    </row>
    <row r="409">
      <c r="A409" s="20"/>
      <c r="B409" s="24"/>
      <c r="C409" s="24"/>
    </row>
    <row r="410">
      <c r="A410" s="20"/>
      <c r="B410" s="24"/>
      <c r="C410" s="24"/>
    </row>
    <row r="411">
      <c r="A411" s="20"/>
      <c r="B411" s="24"/>
      <c r="C411" s="24"/>
    </row>
    <row r="412">
      <c r="A412" s="20"/>
      <c r="B412" s="24"/>
      <c r="C412" s="24"/>
    </row>
    <row r="413">
      <c r="A413" s="20"/>
      <c r="B413" s="24"/>
      <c r="C413" s="24"/>
    </row>
    <row r="414">
      <c r="A414" s="20"/>
      <c r="B414" s="24"/>
      <c r="C414" s="24"/>
    </row>
    <row r="415">
      <c r="A415" s="20"/>
      <c r="B415" s="24"/>
      <c r="C415" s="24"/>
    </row>
    <row r="416">
      <c r="A416" s="20"/>
      <c r="B416" s="24"/>
      <c r="C416" s="24"/>
    </row>
    <row r="417">
      <c r="A417" s="20"/>
      <c r="B417" s="24"/>
      <c r="C417" s="24"/>
    </row>
    <row r="418">
      <c r="A418" s="20"/>
      <c r="B418" s="24"/>
      <c r="C418" s="24"/>
    </row>
    <row r="419">
      <c r="A419" s="20"/>
      <c r="B419" s="24"/>
      <c r="C419" s="24"/>
    </row>
    <row r="420">
      <c r="A420" s="20"/>
      <c r="B420" s="24"/>
      <c r="C420" s="24"/>
    </row>
    <row r="421">
      <c r="A421" s="20"/>
      <c r="B421" s="24"/>
      <c r="C421" s="24"/>
    </row>
    <row r="422">
      <c r="A422" s="20"/>
      <c r="B422" s="24"/>
      <c r="C422" s="24"/>
    </row>
    <row r="423">
      <c r="A423" s="20"/>
      <c r="B423" s="24"/>
      <c r="C423" s="24"/>
    </row>
    <row r="424">
      <c r="A424" s="20"/>
      <c r="B424" s="24"/>
      <c r="C424" s="24"/>
    </row>
    <row r="425">
      <c r="A425" s="20"/>
      <c r="B425" s="24"/>
      <c r="C425" s="24"/>
    </row>
    <row r="426">
      <c r="A426" s="20"/>
      <c r="B426" s="24"/>
      <c r="C426" s="24"/>
    </row>
    <row r="427">
      <c r="A427" s="20"/>
      <c r="B427" s="24"/>
      <c r="C427" s="24"/>
    </row>
    <row r="428">
      <c r="A428" s="20"/>
      <c r="B428" s="24"/>
      <c r="C428" s="24"/>
    </row>
    <row r="429">
      <c r="A429" s="20"/>
      <c r="B429" s="24"/>
      <c r="C429" s="24"/>
    </row>
    <row r="430">
      <c r="A430" s="20"/>
      <c r="B430" s="24"/>
      <c r="C430" s="24"/>
    </row>
    <row r="431">
      <c r="A431" s="20"/>
      <c r="B431" s="24"/>
      <c r="C431" s="24"/>
    </row>
    <row r="432">
      <c r="A432" s="20"/>
      <c r="B432" s="24"/>
      <c r="C432" s="24"/>
    </row>
    <row r="433">
      <c r="A433" s="20"/>
      <c r="B433" s="24"/>
      <c r="C433" s="24"/>
    </row>
    <row r="434">
      <c r="A434" s="20"/>
      <c r="B434" s="24"/>
      <c r="C434" s="24"/>
    </row>
    <row r="435">
      <c r="A435" s="20"/>
      <c r="B435" s="24"/>
      <c r="C435" s="24"/>
    </row>
    <row r="436">
      <c r="A436" s="20"/>
      <c r="B436" s="24"/>
      <c r="C436" s="24"/>
    </row>
    <row r="437">
      <c r="A437" s="20"/>
      <c r="B437" s="24"/>
      <c r="C437" s="24"/>
    </row>
    <row r="438">
      <c r="A438" s="20"/>
      <c r="B438" s="24"/>
      <c r="C438" s="24"/>
    </row>
    <row r="439">
      <c r="A439" s="20"/>
      <c r="B439" s="24"/>
      <c r="C439" s="24"/>
    </row>
    <row r="440">
      <c r="A440" s="20"/>
      <c r="B440" s="24"/>
      <c r="C440" s="24"/>
    </row>
    <row r="441">
      <c r="A441" s="20"/>
      <c r="B441" s="24"/>
      <c r="C441" s="24"/>
    </row>
    <row r="442">
      <c r="A442" s="20"/>
      <c r="B442" s="24"/>
      <c r="C442" s="24"/>
    </row>
    <row r="443">
      <c r="A443" s="20"/>
      <c r="B443" s="24"/>
      <c r="C443" s="24"/>
    </row>
    <row r="444">
      <c r="A444" s="20"/>
      <c r="B444" s="24"/>
      <c r="C444" s="24"/>
    </row>
    <row r="445">
      <c r="A445" s="20"/>
      <c r="B445" s="24"/>
      <c r="C445" s="24"/>
    </row>
    <row r="446">
      <c r="A446" s="20"/>
      <c r="B446" s="24"/>
      <c r="C446" s="24"/>
    </row>
    <row r="447">
      <c r="A447" s="20"/>
      <c r="B447" s="24"/>
      <c r="C447" s="24"/>
    </row>
    <row r="448">
      <c r="A448" s="20"/>
      <c r="B448" s="24"/>
      <c r="C448" s="24"/>
    </row>
    <row r="449">
      <c r="A449" s="20"/>
      <c r="B449" s="24"/>
      <c r="C449" s="24"/>
    </row>
    <row r="450">
      <c r="A450" s="20"/>
      <c r="B450" s="24"/>
      <c r="C450" s="24"/>
    </row>
    <row r="451">
      <c r="A451" s="20"/>
      <c r="B451" s="24"/>
      <c r="C451" s="24"/>
    </row>
    <row r="452">
      <c r="A452" s="20"/>
      <c r="B452" s="24"/>
      <c r="C452" s="24"/>
    </row>
    <row r="453">
      <c r="A453" s="20"/>
      <c r="B453" s="24"/>
      <c r="C453" s="24"/>
    </row>
    <row r="454">
      <c r="A454" s="20"/>
      <c r="B454" s="24"/>
      <c r="C454" s="24"/>
    </row>
    <row r="455">
      <c r="A455" s="20"/>
      <c r="B455" s="24"/>
      <c r="C455" s="24"/>
    </row>
    <row r="456">
      <c r="A456" s="20"/>
      <c r="B456" s="24"/>
      <c r="C456" s="24"/>
    </row>
    <row r="457">
      <c r="A457" s="20"/>
      <c r="B457" s="24"/>
      <c r="C457" s="24"/>
    </row>
    <row r="458">
      <c r="A458" s="20"/>
      <c r="B458" s="24"/>
      <c r="C458" s="24"/>
    </row>
    <row r="459">
      <c r="A459" s="20"/>
      <c r="B459" s="24"/>
      <c r="C459" s="24"/>
    </row>
    <row r="460">
      <c r="A460" s="20"/>
      <c r="B460" s="24"/>
      <c r="C460" s="24"/>
    </row>
    <row r="461">
      <c r="A461" s="20"/>
      <c r="B461" s="24"/>
      <c r="C461" s="24"/>
    </row>
    <row r="462">
      <c r="A462" s="20"/>
      <c r="B462" s="24"/>
      <c r="C462" s="24"/>
    </row>
    <row r="463">
      <c r="A463" s="20"/>
      <c r="B463" s="24"/>
      <c r="C463" s="24"/>
    </row>
    <row r="464">
      <c r="A464" s="20"/>
      <c r="B464" s="24"/>
      <c r="C464" s="24"/>
    </row>
    <row r="465">
      <c r="A465" s="20"/>
      <c r="B465" s="24"/>
      <c r="C465" s="24"/>
    </row>
    <row r="466">
      <c r="A466" s="20"/>
      <c r="B466" s="24"/>
      <c r="C466" s="24"/>
    </row>
    <row r="467">
      <c r="A467" s="20"/>
      <c r="B467" s="24"/>
      <c r="C467" s="24"/>
    </row>
    <row r="468">
      <c r="A468" s="20"/>
      <c r="B468" s="24"/>
      <c r="C468" s="24"/>
    </row>
    <row r="469">
      <c r="A469" s="20"/>
      <c r="B469" s="24"/>
      <c r="C469" s="24"/>
    </row>
    <row r="470">
      <c r="A470" s="20"/>
      <c r="B470" s="24"/>
      <c r="C470" s="24"/>
    </row>
    <row r="471">
      <c r="A471" s="20"/>
      <c r="B471" s="24"/>
      <c r="C471" s="24"/>
    </row>
    <row r="472">
      <c r="A472" s="20"/>
      <c r="B472" s="24"/>
      <c r="C472" s="24"/>
    </row>
    <row r="473">
      <c r="A473" s="20"/>
      <c r="B473" s="24"/>
      <c r="C473" s="24"/>
    </row>
    <row r="474">
      <c r="A474" s="20"/>
      <c r="B474" s="24"/>
      <c r="C474" s="24"/>
    </row>
    <row r="475">
      <c r="A475" s="20"/>
      <c r="B475" s="24"/>
      <c r="C475" s="24"/>
    </row>
    <row r="476">
      <c r="A476" s="20"/>
      <c r="B476" s="24"/>
      <c r="C476" s="24"/>
    </row>
    <row r="477">
      <c r="A477" s="20"/>
      <c r="B477" s="24"/>
      <c r="C477" s="24"/>
    </row>
    <row r="478">
      <c r="A478" s="20"/>
      <c r="B478" s="24"/>
      <c r="C478" s="24"/>
    </row>
    <row r="479">
      <c r="A479" s="20"/>
      <c r="B479" s="24"/>
      <c r="C479" s="24"/>
    </row>
    <row r="480">
      <c r="A480" s="20"/>
      <c r="B480" s="24"/>
      <c r="C480" s="24"/>
    </row>
    <row r="481">
      <c r="A481" s="20"/>
      <c r="B481" s="24"/>
      <c r="C481" s="24"/>
    </row>
    <row r="482">
      <c r="A482" s="20"/>
      <c r="B482" s="24"/>
      <c r="C482" s="24"/>
    </row>
    <row r="483">
      <c r="A483" s="20"/>
      <c r="B483" s="24"/>
      <c r="C483" s="24"/>
    </row>
    <row r="484">
      <c r="A484" s="20"/>
      <c r="B484" s="24"/>
      <c r="C484" s="24"/>
    </row>
    <row r="485">
      <c r="A485" s="20"/>
      <c r="B485" s="24"/>
      <c r="C485" s="24"/>
    </row>
    <row r="486">
      <c r="A486" s="20"/>
      <c r="B486" s="24"/>
      <c r="C486" s="24"/>
    </row>
    <row r="487">
      <c r="A487" s="20"/>
      <c r="B487" s="24"/>
      <c r="C487" s="24"/>
    </row>
    <row r="488">
      <c r="A488" s="20"/>
      <c r="B488" s="24"/>
      <c r="C488" s="24"/>
    </row>
    <row r="489">
      <c r="A489" s="20"/>
      <c r="B489" s="24"/>
      <c r="C489" s="24"/>
    </row>
    <row r="490">
      <c r="A490" s="20"/>
      <c r="B490" s="24"/>
      <c r="C490" s="24"/>
    </row>
    <row r="491">
      <c r="A491" s="20"/>
      <c r="B491" s="24"/>
      <c r="C491" s="24"/>
    </row>
    <row r="492">
      <c r="A492" s="20"/>
      <c r="B492" s="24"/>
      <c r="C492" s="24"/>
    </row>
    <row r="493">
      <c r="A493" s="20"/>
      <c r="B493" s="24"/>
      <c r="C493" s="24"/>
    </row>
    <row r="494">
      <c r="A494" s="20"/>
      <c r="B494" s="24"/>
      <c r="C494" s="24"/>
    </row>
    <row r="495">
      <c r="A495" s="20"/>
      <c r="B495" s="24"/>
      <c r="C495" s="24"/>
    </row>
    <row r="496">
      <c r="A496" s="20"/>
      <c r="B496" s="24"/>
      <c r="C496" s="24"/>
    </row>
    <row r="497">
      <c r="A497" s="20"/>
      <c r="B497" s="24"/>
      <c r="C497" s="24"/>
    </row>
    <row r="498">
      <c r="A498" s="20"/>
      <c r="B498" s="24"/>
      <c r="C498" s="24"/>
    </row>
    <row r="499">
      <c r="A499" s="20"/>
      <c r="B499" s="24"/>
      <c r="C499" s="24"/>
    </row>
    <row r="500">
      <c r="A500" s="20"/>
      <c r="B500" s="24"/>
      <c r="C500" s="24"/>
    </row>
    <row r="501">
      <c r="A501" s="20"/>
      <c r="B501" s="24"/>
      <c r="C501" s="24"/>
    </row>
    <row r="502">
      <c r="A502" s="20"/>
      <c r="B502" s="24"/>
      <c r="C502" s="24"/>
    </row>
    <row r="503">
      <c r="A503" s="20"/>
      <c r="B503" s="24"/>
      <c r="C503" s="24"/>
    </row>
    <row r="504">
      <c r="A504" s="20"/>
      <c r="B504" s="24"/>
      <c r="C504" s="24"/>
    </row>
    <row r="505">
      <c r="A505" s="20"/>
      <c r="B505" s="24"/>
      <c r="C505" s="24"/>
    </row>
    <row r="506">
      <c r="A506" s="20"/>
      <c r="B506" s="24"/>
      <c r="C506" s="24"/>
    </row>
    <row r="507">
      <c r="A507" s="20"/>
      <c r="B507" s="24"/>
      <c r="C507" s="24"/>
    </row>
    <row r="508">
      <c r="A508" s="20"/>
      <c r="B508" s="24"/>
      <c r="C508" s="24"/>
    </row>
    <row r="509">
      <c r="A509" s="20"/>
      <c r="B509" s="24"/>
      <c r="C509" s="24"/>
    </row>
    <row r="510">
      <c r="A510" s="20"/>
      <c r="B510" s="24"/>
      <c r="C510" s="24"/>
    </row>
    <row r="511">
      <c r="A511" s="20"/>
      <c r="B511" s="24"/>
      <c r="C511" s="24"/>
    </row>
    <row r="512">
      <c r="A512" s="20"/>
      <c r="B512" s="24"/>
      <c r="C512" s="24"/>
    </row>
    <row r="513">
      <c r="A513" s="20"/>
      <c r="B513" s="24"/>
      <c r="C513" s="24"/>
    </row>
    <row r="514">
      <c r="A514" s="20"/>
      <c r="B514" s="24"/>
      <c r="C514" s="24"/>
    </row>
    <row r="515">
      <c r="A515" s="20"/>
      <c r="B515" s="24"/>
      <c r="C515" s="24"/>
    </row>
    <row r="516">
      <c r="A516" s="20"/>
      <c r="B516" s="24"/>
      <c r="C516" s="24"/>
    </row>
    <row r="517">
      <c r="A517" s="20"/>
      <c r="B517" s="24"/>
      <c r="C517" s="24"/>
    </row>
    <row r="518">
      <c r="A518" s="20"/>
      <c r="B518" s="24"/>
      <c r="C518" s="24"/>
    </row>
    <row r="519">
      <c r="A519" s="20"/>
      <c r="B519" s="24"/>
      <c r="C519" s="24"/>
    </row>
    <row r="520">
      <c r="A520" s="20"/>
      <c r="B520" s="24"/>
      <c r="C520" s="24"/>
    </row>
    <row r="521">
      <c r="A521" s="20"/>
      <c r="B521" s="24"/>
      <c r="C521" s="24"/>
    </row>
    <row r="522">
      <c r="A522" s="20"/>
      <c r="B522" s="24"/>
      <c r="C522" s="24"/>
    </row>
    <row r="523">
      <c r="A523" s="20"/>
      <c r="B523" s="24"/>
      <c r="C523" s="24"/>
    </row>
    <row r="524">
      <c r="A524" s="20"/>
      <c r="B524" s="24"/>
      <c r="C524" s="24"/>
    </row>
    <row r="525">
      <c r="A525" s="20"/>
      <c r="B525" s="24"/>
      <c r="C525" s="24"/>
    </row>
    <row r="526">
      <c r="A526" s="20"/>
      <c r="B526" s="24"/>
      <c r="C526" s="24"/>
    </row>
    <row r="527">
      <c r="A527" s="20"/>
      <c r="B527" s="24"/>
      <c r="C527" s="24"/>
    </row>
    <row r="528">
      <c r="A528" s="20"/>
      <c r="B528" s="24"/>
      <c r="C528" s="24"/>
    </row>
    <row r="529">
      <c r="A529" s="20"/>
      <c r="B529" s="24"/>
      <c r="C529" s="24"/>
    </row>
    <row r="530">
      <c r="A530" s="20"/>
      <c r="B530" s="24"/>
      <c r="C530" s="24"/>
    </row>
    <row r="531">
      <c r="A531" s="20"/>
      <c r="B531" s="24"/>
      <c r="C531" s="24"/>
    </row>
    <row r="532">
      <c r="A532" s="20"/>
      <c r="B532" s="24"/>
      <c r="C532" s="24"/>
    </row>
    <row r="533">
      <c r="A533" s="20"/>
      <c r="B533" s="24"/>
      <c r="C533" s="24"/>
    </row>
    <row r="534">
      <c r="A534" s="20"/>
      <c r="B534" s="24"/>
      <c r="C534" s="24"/>
    </row>
    <row r="535">
      <c r="A535" s="20"/>
      <c r="B535" s="24"/>
      <c r="C535" s="24"/>
    </row>
    <row r="536">
      <c r="A536" s="20"/>
      <c r="B536" s="24"/>
      <c r="C536" s="24"/>
    </row>
    <row r="537">
      <c r="A537" s="20"/>
      <c r="B537" s="24"/>
      <c r="C537" s="24"/>
    </row>
    <row r="538">
      <c r="A538" s="20"/>
      <c r="B538" s="24"/>
      <c r="C538" s="24"/>
    </row>
    <row r="539">
      <c r="A539" s="20"/>
      <c r="B539" s="24"/>
      <c r="C539" s="24"/>
    </row>
    <row r="540">
      <c r="A540" s="20"/>
      <c r="B540" s="24"/>
      <c r="C540" s="24"/>
    </row>
    <row r="541">
      <c r="A541" s="20"/>
      <c r="B541" s="24"/>
      <c r="C541" s="24"/>
    </row>
    <row r="542">
      <c r="A542" s="20"/>
      <c r="B542" s="24"/>
      <c r="C542" s="24"/>
    </row>
    <row r="543">
      <c r="A543" s="20"/>
      <c r="B543" s="24"/>
      <c r="C543" s="24"/>
    </row>
    <row r="544">
      <c r="A544" s="20"/>
      <c r="B544" s="24"/>
      <c r="C544" s="24"/>
    </row>
    <row r="545">
      <c r="A545" s="20"/>
      <c r="B545" s="24"/>
      <c r="C545" s="24"/>
    </row>
    <row r="546">
      <c r="A546" s="20"/>
      <c r="B546" s="24"/>
      <c r="C546" s="24"/>
    </row>
    <row r="547">
      <c r="A547" s="20"/>
      <c r="B547" s="24"/>
      <c r="C547" s="24"/>
    </row>
    <row r="548">
      <c r="A548" s="20"/>
      <c r="B548" s="24"/>
      <c r="C548" s="24"/>
    </row>
    <row r="549">
      <c r="A549" s="20"/>
      <c r="B549" s="24"/>
      <c r="C549" s="24"/>
    </row>
    <row r="550">
      <c r="A550" s="20"/>
      <c r="B550" s="24"/>
      <c r="C550" s="24"/>
    </row>
    <row r="551">
      <c r="A551" s="20"/>
      <c r="B551" s="24"/>
      <c r="C551" s="24"/>
    </row>
    <row r="552">
      <c r="A552" s="20"/>
      <c r="B552" s="24"/>
      <c r="C552" s="24"/>
    </row>
    <row r="553">
      <c r="A553" s="20"/>
      <c r="B553" s="24"/>
      <c r="C553" s="24"/>
    </row>
    <row r="554">
      <c r="A554" s="20"/>
      <c r="B554" s="24"/>
      <c r="C554" s="24"/>
    </row>
    <row r="555">
      <c r="A555" s="20"/>
      <c r="B555" s="24"/>
      <c r="C555" s="24"/>
    </row>
    <row r="556">
      <c r="A556" s="20"/>
      <c r="B556" s="24"/>
      <c r="C556" s="24"/>
    </row>
    <row r="557">
      <c r="A557" s="20"/>
      <c r="B557" s="24"/>
      <c r="C557" s="24"/>
    </row>
    <row r="558">
      <c r="A558" s="20"/>
      <c r="B558" s="24"/>
      <c r="C558" s="24"/>
    </row>
    <row r="559">
      <c r="A559" s="20"/>
      <c r="B559" s="24"/>
      <c r="C559" s="24"/>
    </row>
    <row r="560">
      <c r="A560" s="20"/>
      <c r="B560" s="24"/>
      <c r="C560" s="24"/>
    </row>
    <row r="561">
      <c r="A561" s="20"/>
      <c r="B561" s="24"/>
      <c r="C561" s="24"/>
    </row>
    <row r="562">
      <c r="A562" s="20"/>
      <c r="B562" s="24"/>
      <c r="C562" s="24"/>
    </row>
    <row r="563">
      <c r="A563" s="20"/>
      <c r="B563" s="24"/>
      <c r="C563" s="24"/>
    </row>
    <row r="564">
      <c r="A564" s="20"/>
      <c r="B564" s="24"/>
      <c r="C564" s="24"/>
    </row>
    <row r="565">
      <c r="A565" s="20"/>
      <c r="B565" s="24"/>
      <c r="C565" s="24"/>
    </row>
    <row r="566">
      <c r="A566" s="20"/>
      <c r="B566" s="24"/>
      <c r="C566" s="24"/>
    </row>
    <row r="567">
      <c r="A567" s="20"/>
      <c r="B567" s="24"/>
      <c r="C567" s="24"/>
    </row>
    <row r="568">
      <c r="A568" s="20"/>
      <c r="B568" s="24"/>
      <c r="C568" s="24"/>
    </row>
    <row r="569">
      <c r="A569" s="20"/>
      <c r="B569" s="24"/>
      <c r="C569" s="24"/>
    </row>
    <row r="570">
      <c r="A570" s="20"/>
      <c r="B570" s="24"/>
      <c r="C570" s="24"/>
    </row>
    <row r="571">
      <c r="A571" s="20"/>
      <c r="B571" s="24"/>
      <c r="C571" s="24"/>
    </row>
    <row r="572">
      <c r="A572" s="20"/>
      <c r="B572" s="24"/>
      <c r="C572" s="24"/>
    </row>
    <row r="573">
      <c r="A573" s="20"/>
      <c r="B573" s="24"/>
      <c r="C573" s="24"/>
    </row>
    <row r="574">
      <c r="A574" s="20"/>
      <c r="B574" s="24"/>
      <c r="C574" s="24"/>
    </row>
    <row r="575">
      <c r="A575" s="20"/>
      <c r="B575" s="24"/>
      <c r="C575" s="24"/>
    </row>
    <row r="576">
      <c r="A576" s="20"/>
      <c r="B576" s="24"/>
      <c r="C576" s="24"/>
    </row>
    <row r="577">
      <c r="A577" s="20"/>
      <c r="B577" s="24"/>
      <c r="C577" s="24"/>
    </row>
    <row r="578">
      <c r="A578" s="20"/>
      <c r="B578" s="24"/>
      <c r="C578" s="24"/>
    </row>
    <row r="579">
      <c r="A579" s="20"/>
      <c r="B579" s="24"/>
      <c r="C579" s="24"/>
    </row>
    <row r="580">
      <c r="A580" s="20"/>
      <c r="B580" s="24"/>
      <c r="C580" s="24"/>
    </row>
    <row r="581">
      <c r="A581" s="20"/>
      <c r="B581" s="24"/>
      <c r="C581" s="24"/>
    </row>
    <row r="582">
      <c r="A582" s="20"/>
      <c r="B582" s="24"/>
      <c r="C582" s="24"/>
    </row>
    <row r="583">
      <c r="A583" s="20"/>
      <c r="B583" s="24"/>
      <c r="C583" s="24"/>
    </row>
    <row r="584">
      <c r="A584" s="20"/>
      <c r="B584" s="24"/>
      <c r="C584" s="24"/>
    </row>
    <row r="585">
      <c r="A585" s="20"/>
      <c r="B585" s="24"/>
      <c r="C585" s="24"/>
    </row>
    <row r="586">
      <c r="A586" s="20"/>
      <c r="B586" s="24"/>
      <c r="C586" s="24"/>
    </row>
    <row r="587">
      <c r="A587" s="20"/>
      <c r="B587" s="24"/>
      <c r="C587" s="24"/>
    </row>
    <row r="588">
      <c r="A588" s="20"/>
      <c r="B588" s="24"/>
      <c r="C588" s="24"/>
    </row>
    <row r="589">
      <c r="A589" s="20"/>
      <c r="B589" s="24"/>
      <c r="C589" s="24"/>
    </row>
    <row r="590">
      <c r="A590" s="20"/>
      <c r="B590" s="24"/>
      <c r="C590" s="24"/>
    </row>
    <row r="591">
      <c r="A591" s="20"/>
      <c r="B591" s="24"/>
      <c r="C591" s="24"/>
    </row>
    <row r="592">
      <c r="A592" s="20"/>
      <c r="B592" s="24"/>
      <c r="C592" s="24"/>
    </row>
    <row r="593">
      <c r="A593" s="20"/>
      <c r="B593" s="24"/>
      <c r="C593" s="24"/>
    </row>
    <row r="594">
      <c r="A594" s="20"/>
      <c r="B594" s="24"/>
      <c r="C594" s="24"/>
    </row>
    <row r="595">
      <c r="A595" s="20"/>
      <c r="B595" s="24"/>
      <c r="C595" s="24"/>
    </row>
    <row r="596">
      <c r="A596" s="20"/>
      <c r="B596" s="24"/>
      <c r="C596" s="24"/>
    </row>
    <row r="597">
      <c r="A597" s="20"/>
      <c r="B597" s="24"/>
      <c r="C597" s="24"/>
    </row>
    <row r="598">
      <c r="A598" s="20"/>
      <c r="B598" s="24"/>
      <c r="C598" s="24"/>
    </row>
    <row r="599">
      <c r="A599" s="20"/>
      <c r="B599" s="24"/>
      <c r="C599" s="24"/>
    </row>
    <row r="600">
      <c r="A600" s="20"/>
      <c r="B600" s="24"/>
      <c r="C600" s="24"/>
    </row>
    <row r="601">
      <c r="A601" s="20"/>
      <c r="B601" s="24"/>
      <c r="C601" s="24"/>
    </row>
    <row r="602">
      <c r="A602" s="20"/>
      <c r="B602" s="24"/>
      <c r="C602" s="24"/>
    </row>
    <row r="603">
      <c r="A603" s="20"/>
      <c r="B603" s="24"/>
      <c r="C603" s="24"/>
    </row>
    <row r="604">
      <c r="A604" s="20"/>
      <c r="B604" s="24"/>
      <c r="C604" s="24"/>
    </row>
    <row r="605">
      <c r="A605" s="20"/>
      <c r="B605" s="24"/>
      <c r="C605" s="24"/>
    </row>
    <row r="606">
      <c r="A606" s="20"/>
      <c r="B606" s="24"/>
      <c r="C606" s="24"/>
    </row>
    <row r="607">
      <c r="A607" s="20"/>
      <c r="B607" s="24"/>
      <c r="C607" s="24"/>
    </row>
    <row r="608">
      <c r="A608" s="20"/>
      <c r="B608" s="24"/>
      <c r="C608" s="24"/>
    </row>
    <row r="609">
      <c r="A609" s="20"/>
      <c r="B609" s="24"/>
      <c r="C609" s="24"/>
    </row>
    <row r="610">
      <c r="A610" s="20"/>
      <c r="B610" s="24"/>
      <c r="C610" s="24"/>
    </row>
    <row r="611">
      <c r="A611" s="20"/>
      <c r="B611" s="24"/>
      <c r="C611" s="24"/>
    </row>
    <row r="612">
      <c r="A612" s="20"/>
      <c r="B612" s="24"/>
      <c r="C612" s="24"/>
    </row>
    <row r="613">
      <c r="A613" s="20"/>
      <c r="B613" s="24"/>
      <c r="C613" s="24"/>
    </row>
    <row r="614">
      <c r="A614" s="20"/>
      <c r="B614" s="24"/>
      <c r="C614" s="24"/>
    </row>
    <row r="615">
      <c r="A615" s="20"/>
      <c r="B615" s="24"/>
      <c r="C615" s="24"/>
    </row>
    <row r="616">
      <c r="A616" s="20"/>
      <c r="B616" s="24"/>
      <c r="C616" s="24"/>
    </row>
    <row r="617">
      <c r="A617" s="20"/>
      <c r="B617" s="24"/>
      <c r="C617" s="24"/>
    </row>
    <row r="618">
      <c r="A618" s="20"/>
      <c r="B618" s="24"/>
      <c r="C618" s="24"/>
    </row>
    <row r="619">
      <c r="A619" s="20"/>
      <c r="B619" s="24"/>
      <c r="C619" s="24"/>
    </row>
    <row r="620">
      <c r="A620" s="20"/>
      <c r="B620" s="24"/>
      <c r="C620" s="24"/>
    </row>
    <row r="621">
      <c r="A621" s="20"/>
      <c r="B621" s="24"/>
      <c r="C621" s="24"/>
    </row>
    <row r="622">
      <c r="A622" s="20"/>
      <c r="B622" s="24"/>
      <c r="C622" s="24"/>
    </row>
    <row r="623">
      <c r="A623" s="20"/>
      <c r="B623" s="24"/>
      <c r="C623" s="24"/>
    </row>
    <row r="624">
      <c r="A624" s="20"/>
      <c r="B624" s="24"/>
      <c r="C624" s="24"/>
    </row>
    <row r="625">
      <c r="A625" s="20"/>
      <c r="B625" s="24"/>
      <c r="C625" s="24"/>
    </row>
    <row r="626">
      <c r="A626" s="20"/>
      <c r="B626" s="24"/>
      <c r="C626" s="24"/>
    </row>
    <row r="627">
      <c r="A627" s="20"/>
      <c r="B627" s="24"/>
      <c r="C627" s="24"/>
    </row>
    <row r="628">
      <c r="A628" s="20"/>
      <c r="B628" s="24"/>
      <c r="C628" s="24"/>
    </row>
    <row r="629">
      <c r="A629" s="20"/>
      <c r="B629" s="24"/>
      <c r="C629" s="24"/>
    </row>
    <row r="630">
      <c r="A630" s="20"/>
      <c r="B630" s="24"/>
      <c r="C630" s="24"/>
    </row>
    <row r="631">
      <c r="A631" s="20"/>
      <c r="B631" s="24"/>
      <c r="C631" s="24"/>
    </row>
    <row r="632">
      <c r="A632" s="20"/>
      <c r="B632" s="24"/>
      <c r="C632" s="24"/>
    </row>
    <row r="633">
      <c r="A633" s="20"/>
      <c r="B633" s="24"/>
      <c r="C633" s="24"/>
    </row>
    <row r="634">
      <c r="A634" s="20"/>
      <c r="B634" s="24"/>
      <c r="C634" s="24"/>
    </row>
    <row r="635">
      <c r="A635" s="20"/>
      <c r="B635" s="24"/>
      <c r="C635" s="24"/>
    </row>
    <row r="636">
      <c r="A636" s="20"/>
      <c r="B636" s="24"/>
      <c r="C636" s="24"/>
    </row>
    <row r="637">
      <c r="A637" s="20"/>
      <c r="B637" s="24"/>
      <c r="C637" s="24"/>
    </row>
    <row r="638">
      <c r="A638" s="20"/>
      <c r="B638" s="24"/>
      <c r="C638" s="24"/>
    </row>
    <row r="639">
      <c r="A639" s="20"/>
      <c r="B639" s="24"/>
      <c r="C639" s="24"/>
    </row>
    <row r="640">
      <c r="A640" s="20"/>
      <c r="B640" s="24"/>
      <c r="C640" s="24"/>
    </row>
    <row r="641">
      <c r="A641" s="20"/>
      <c r="B641" s="24"/>
      <c r="C641" s="24"/>
    </row>
    <row r="642">
      <c r="A642" s="20"/>
      <c r="B642" s="24"/>
      <c r="C642" s="24"/>
    </row>
    <row r="643">
      <c r="A643" s="20"/>
      <c r="B643" s="24"/>
      <c r="C643" s="24"/>
    </row>
    <row r="644">
      <c r="A644" s="20"/>
      <c r="B644" s="24"/>
      <c r="C644" s="24"/>
    </row>
    <row r="645">
      <c r="A645" s="20"/>
      <c r="B645" s="24"/>
      <c r="C645" s="24"/>
    </row>
    <row r="646">
      <c r="A646" s="20"/>
      <c r="B646" s="24"/>
      <c r="C646" s="24"/>
    </row>
    <row r="647">
      <c r="A647" s="20"/>
      <c r="B647" s="24"/>
      <c r="C647" s="24"/>
    </row>
    <row r="648">
      <c r="A648" s="20"/>
      <c r="B648" s="24"/>
      <c r="C648" s="24"/>
    </row>
    <row r="649">
      <c r="A649" s="20"/>
      <c r="B649" s="24"/>
      <c r="C649" s="24"/>
    </row>
    <row r="650">
      <c r="A650" s="20"/>
      <c r="B650" s="24"/>
      <c r="C650" s="24"/>
    </row>
    <row r="651">
      <c r="A651" s="20"/>
      <c r="B651" s="24"/>
      <c r="C651" s="24"/>
    </row>
    <row r="652">
      <c r="A652" s="20"/>
      <c r="B652" s="24"/>
      <c r="C652" s="24"/>
    </row>
    <row r="653">
      <c r="A653" s="20"/>
      <c r="B653" s="24"/>
      <c r="C653" s="24"/>
    </row>
    <row r="654">
      <c r="A654" s="20"/>
      <c r="B654" s="24"/>
      <c r="C654" s="24"/>
    </row>
    <row r="655">
      <c r="A655" s="20"/>
      <c r="B655" s="24"/>
      <c r="C655" s="24"/>
    </row>
    <row r="656">
      <c r="A656" s="20"/>
      <c r="B656" s="24"/>
      <c r="C656" s="24"/>
    </row>
    <row r="657">
      <c r="A657" s="20"/>
      <c r="B657" s="24"/>
      <c r="C657" s="24"/>
    </row>
    <row r="658">
      <c r="A658" s="20"/>
      <c r="B658" s="24"/>
      <c r="C658" s="24"/>
    </row>
    <row r="659">
      <c r="A659" s="20"/>
      <c r="B659" s="24"/>
      <c r="C659" s="24"/>
    </row>
    <row r="660">
      <c r="A660" s="20"/>
      <c r="B660" s="24"/>
      <c r="C660" s="24"/>
    </row>
    <row r="661">
      <c r="A661" s="20"/>
      <c r="B661" s="24"/>
      <c r="C661" s="24"/>
    </row>
    <row r="662">
      <c r="A662" s="20"/>
      <c r="B662" s="24"/>
      <c r="C662" s="24"/>
    </row>
    <row r="663">
      <c r="A663" s="20"/>
      <c r="B663" s="24"/>
      <c r="C663" s="24"/>
    </row>
    <row r="664">
      <c r="A664" s="20"/>
      <c r="B664" s="24"/>
      <c r="C664" s="24"/>
    </row>
    <row r="665">
      <c r="A665" s="20"/>
      <c r="B665" s="24"/>
      <c r="C665" s="24"/>
    </row>
    <row r="666">
      <c r="A666" s="20"/>
      <c r="B666" s="24"/>
      <c r="C666" s="24"/>
    </row>
    <row r="667">
      <c r="A667" s="20"/>
      <c r="B667" s="24"/>
      <c r="C667" s="24"/>
    </row>
    <row r="668">
      <c r="A668" s="20"/>
      <c r="B668" s="24"/>
      <c r="C668" s="24"/>
    </row>
    <row r="669">
      <c r="A669" s="20"/>
      <c r="B669" s="24"/>
      <c r="C669" s="24"/>
    </row>
    <row r="670">
      <c r="A670" s="20"/>
      <c r="B670" s="24"/>
      <c r="C670" s="24"/>
    </row>
    <row r="671">
      <c r="A671" s="20"/>
      <c r="B671" s="24"/>
      <c r="C671" s="24"/>
    </row>
    <row r="672">
      <c r="A672" s="20"/>
      <c r="B672" s="24"/>
      <c r="C672" s="24"/>
    </row>
    <row r="673">
      <c r="A673" s="20"/>
      <c r="B673" s="24"/>
      <c r="C673" s="24"/>
    </row>
    <row r="674">
      <c r="A674" s="20"/>
      <c r="B674" s="24"/>
      <c r="C674" s="24"/>
    </row>
    <row r="675">
      <c r="A675" s="20"/>
      <c r="B675" s="24"/>
      <c r="C675" s="24"/>
    </row>
    <row r="676">
      <c r="A676" s="20"/>
      <c r="B676" s="24"/>
      <c r="C676" s="24"/>
    </row>
    <row r="677">
      <c r="A677" s="20"/>
      <c r="B677" s="24"/>
      <c r="C677" s="24"/>
    </row>
    <row r="678">
      <c r="A678" s="20"/>
      <c r="B678" s="24"/>
      <c r="C678" s="24"/>
    </row>
    <row r="679">
      <c r="A679" s="20"/>
      <c r="B679" s="24"/>
      <c r="C679" s="24"/>
    </row>
    <row r="680">
      <c r="A680" s="20"/>
      <c r="B680" s="24"/>
      <c r="C680" s="24"/>
    </row>
    <row r="681">
      <c r="A681" s="20"/>
      <c r="B681" s="24"/>
      <c r="C681" s="24"/>
    </row>
    <row r="682">
      <c r="A682" s="20"/>
      <c r="B682" s="24"/>
      <c r="C682" s="24"/>
    </row>
    <row r="683">
      <c r="A683" s="20"/>
      <c r="B683" s="24"/>
      <c r="C683" s="24"/>
    </row>
    <row r="684">
      <c r="A684" s="20"/>
      <c r="B684" s="24"/>
      <c r="C684" s="24"/>
    </row>
    <row r="685">
      <c r="A685" s="20"/>
      <c r="B685" s="24"/>
      <c r="C685" s="24"/>
    </row>
    <row r="686">
      <c r="A686" s="20"/>
      <c r="B686" s="24"/>
      <c r="C686" s="24"/>
    </row>
    <row r="687">
      <c r="A687" s="20"/>
      <c r="B687" s="24"/>
      <c r="C687" s="24"/>
    </row>
    <row r="688">
      <c r="A688" s="20"/>
      <c r="B688" s="24"/>
      <c r="C688" s="24"/>
    </row>
    <row r="689">
      <c r="A689" s="20"/>
      <c r="B689" s="24"/>
      <c r="C689" s="24"/>
    </row>
    <row r="690">
      <c r="A690" s="20"/>
      <c r="B690" s="24"/>
      <c r="C690" s="24"/>
    </row>
    <row r="691">
      <c r="A691" s="20"/>
      <c r="B691" s="24"/>
      <c r="C691" s="24"/>
    </row>
    <row r="692">
      <c r="A692" s="20"/>
      <c r="B692" s="24"/>
      <c r="C692" s="24"/>
    </row>
    <row r="693">
      <c r="A693" s="20"/>
      <c r="B693" s="24"/>
      <c r="C693" s="24"/>
    </row>
    <row r="694">
      <c r="A694" s="20"/>
      <c r="B694" s="24"/>
      <c r="C694" s="24"/>
    </row>
    <row r="695">
      <c r="A695" s="20"/>
      <c r="B695" s="24"/>
      <c r="C695" s="24"/>
    </row>
    <row r="696">
      <c r="A696" s="20"/>
      <c r="B696" s="24"/>
      <c r="C696" s="24"/>
    </row>
    <row r="697">
      <c r="A697" s="20"/>
      <c r="B697" s="24"/>
      <c r="C697" s="24"/>
    </row>
    <row r="698">
      <c r="A698" s="20"/>
      <c r="B698" s="24"/>
      <c r="C698" s="24"/>
    </row>
    <row r="699">
      <c r="A699" s="20"/>
      <c r="B699" s="24"/>
      <c r="C699" s="24"/>
    </row>
    <row r="700">
      <c r="A700" s="20"/>
      <c r="B700" s="24"/>
      <c r="C700" s="24"/>
    </row>
    <row r="701">
      <c r="A701" s="20"/>
      <c r="B701" s="24"/>
      <c r="C701" s="24"/>
    </row>
    <row r="702">
      <c r="A702" s="20"/>
      <c r="B702" s="24"/>
      <c r="C702" s="24"/>
    </row>
    <row r="703">
      <c r="A703" s="20"/>
      <c r="B703" s="24"/>
      <c r="C703" s="24"/>
    </row>
    <row r="704">
      <c r="A704" s="20"/>
      <c r="B704" s="24"/>
      <c r="C704" s="24"/>
    </row>
    <row r="705">
      <c r="A705" s="20"/>
      <c r="B705" s="24"/>
      <c r="C705" s="24"/>
    </row>
    <row r="706">
      <c r="A706" s="20"/>
      <c r="B706" s="24"/>
      <c r="C706" s="24"/>
    </row>
    <row r="707">
      <c r="A707" s="20"/>
      <c r="B707" s="24"/>
      <c r="C707" s="24"/>
    </row>
    <row r="708">
      <c r="A708" s="20"/>
      <c r="B708" s="24"/>
      <c r="C708" s="24"/>
    </row>
    <row r="709">
      <c r="A709" s="20"/>
      <c r="B709" s="24"/>
      <c r="C709" s="24"/>
    </row>
    <row r="710">
      <c r="A710" s="20"/>
      <c r="B710" s="24"/>
      <c r="C710" s="24"/>
    </row>
    <row r="711">
      <c r="A711" s="20"/>
      <c r="B711" s="24"/>
      <c r="C711" s="24"/>
    </row>
    <row r="712">
      <c r="A712" s="20"/>
      <c r="B712" s="24"/>
      <c r="C712" s="24"/>
    </row>
    <row r="713">
      <c r="A713" s="20"/>
      <c r="B713" s="24"/>
      <c r="C713" s="24"/>
    </row>
    <row r="714">
      <c r="A714" s="20"/>
      <c r="B714" s="24"/>
      <c r="C714" s="24"/>
    </row>
    <row r="715">
      <c r="A715" s="20"/>
      <c r="B715" s="24"/>
      <c r="C715" s="24"/>
    </row>
    <row r="716">
      <c r="A716" s="20"/>
      <c r="B716" s="24"/>
      <c r="C716" s="24"/>
    </row>
    <row r="717">
      <c r="A717" s="20"/>
      <c r="B717" s="24"/>
      <c r="C717" s="24"/>
    </row>
    <row r="718">
      <c r="A718" s="20"/>
      <c r="B718" s="24"/>
      <c r="C718" s="24"/>
    </row>
    <row r="719">
      <c r="A719" s="20"/>
      <c r="B719" s="24"/>
      <c r="C719" s="24"/>
    </row>
    <row r="720">
      <c r="A720" s="20"/>
      <c r="B720" s="24"/>
      <c r="C720" s="24"/>
    </row>
    <row r="721">
      <c r="A721" s="20"/>
      <c r="B721" s="24"/>
      <c r="C721" s="24"/>
    </row>
    <row r="722">
      <c r="A722" s="20"/>
      <c r="B722" s="24"/>
      <c r="C722" s="24"/>
    </row>
    <row r="723">
      <c r="A723" s="20"/>
      <c r="B723" s="24"/>
      <c r="C723" s="24"/>
    </row>
    <row r="724">
      <c r="A724" s="20"/>
      <c r="B724" s="24"/>
      <c r="C724" s="24"/>
    </row>
    <row r="725">
      <c r="A725" s="20"/>
      <c r="B725" s="24"/>
      <c r="C725" s="24"/>
    </row>
    <row r="726">
      <c r="A726" s="20"/>
      <c r="B726" s="24"/>
      <c r="C726" s="24"/>
    </row>
    <row r="727">
      <c r="A727" s="20"/>
      <c r="B727" s="24"/>
      <c r="C727" s="24"/>
    </row>
    <row r="728">
      <c r="A728" s="20"/>
      <c r="B728" s="24"/>
      <c r="C728" s="24"/>
    </row>
    <row r="729">
      <c r="A729" s="20"/>
      <c r="B729" s="24"/>
      <c r="C729" s="24"/>
    </row>
    <row r="730">
      <c r="A730" s="20"/>
      <c r="B730" s="24"/>
      <c r="C730" s="24"/>
    </row>
    <row r="731">
      <c r="A731" s="20"/>
      <c r="B731" s="24"/>
      <c r="C731" s="24"/>
    </row>
    <row r="732">
      <c r="A732" s="20"/>
      <c r="B732" s="24"/>
      <c r="C732" s="24"/>
    </row>
    <row r="733">
      <c r="A733" s="20"/>
      <c r="B733" s="24"/>
      <c r="C733" s="24"/>
    </row>
    <row r="734">
      <c r="A734" s="20"/>
      <c r="B734" s="24"/>
      <c r="C734" s="24"/>
    </row>
    <row r="735">
      <c r="A735" s="20"/>
      <c r="B735" s="24"/>
      <c r="C735" s="24"/>
    </row>
    <row r="736">
      <c r="A736" s="20"/>
      <c r="B736" s="24"/>
      <c r="C736" s="24"/>
    </row>
    <row r="737">
      <c r="A737" s="20"/>
      <c r="B737" s="24"/>
      <c r="C737" s="24"/>
    </row>
    <row r="738">
      <c r="A738" s="20"/>
      <c r="B738" s="24"/>
      <c r="C738" s="24"/>
    </row>
    <row r="739">
      <c r="A739" s="20"/>
      <c r="B739" s="24"/>
      <c r="C739" s="24"/>
    </row>
    <row r="740">
      <c r="A740" s="20"/>
      <c r="B740" s="24"/>
      <c r="C740" s="24"/>
    </row>
    <row r="741">
      <c r="A741" s="20"/>
      <c r="B741" s="24"/>
      <c r="C741" s="24"/>
    </row>
    <row r="742">
      <c r="A742" s="20"/>
      <c r="B742" s="24"/>
      <c r="C742" s="24"/>
    </row>
    <row r="743">
      <c r="A743" s="20"/>
      <c r="B743" s="24"/>
      <c r="C743" s="24"/>
    </row>
    <row r="744">
      <c r="A744" s="20"/>
      <c r="B744" s="24"/>
      <c r="C744" s="24"/>
    </row>
    <row r="745">
      <c r="A745" s="20"/>
      <c r="B745" s="24"/>
      <c r="C745" s="24"/>
    </row>
    <row r="746">
      <c r="A746" s="20"/>
      <c r="B746" s="24"/>
      <c r="C746" s="24"/>
    </row>
    <row r="747">
      <c r="A747" s="20"/>
      <c r="B747" s="24"/>
      <c r="C747" s="24"/>
    </row>
    <row r="748">
      <c r="A748" s="20"/>
      <c r="B748" s="24"/>
      <c r="C748" s="24"/>
    </row>
    <row r="749">
      <c r="A749" s="20"/>
      <c r="B749" s="24"/>
      <c r="C749" s="24"/>
    </row>
    <row r="750">
      <c r="A750" s="20"/>
      <c r="B750" s="24"/>
      <c r="C750" s="24"/>
    </row>
    <row r="751">
      <c r="A751" s="20"/>
      <c r="B751" s="24"/>
      <c r="C751" s="24"/>
    </row>
    <row r="752">
      <c r="A752" s="20"/>
      <c r="B752" s="24"/>
      <c r="C752" s="24"/>
    </row>
    <row r="753">
      <c r="A753" s="20"/>
      <c r="B753" s="24"/>
      <c r="C753" s="24"/>
    </row>
    <row r="754">
      <c r="A754" s="20"/>
      <c r="B754" s="24"/>
      <c r="C754" s="24"/>
    </row>
    <row r="755">
      <c r="A755" s="20"/>
      <c r="B755" s="24"/>
      <c r="C755" s="24"/>
    </row>
    <row r="756">
      <c r="A756" s="20"/>
      <c r="B756" s="24"/>
      <c r="C756" s="24"/>
    </row>
    <row r="757">
      <c r="A757" s="20"/>
      <c r="B757" s="24"/>
      <c r="C757" s="24"/>
    </row>
    <row r="758">
      <c r="A758" s="20"/>
      <c r="B758" s="24"/>
      <c r="C758" s="24"/>
    </row>
    <row r="759">
      <c r="A759" s="20"/>
      <c r="B759" s="24"/>
      <c r="C759" s="24"/>
    </row>
    <row r="760">
      <c r="A760" s="20"/>
      <c r="B760" s="24"/>
      <c r="C760" s="24"/>
    </row>
    <row r="761">
      <c r="A761" s="20"/>
      <c r="B761" s="24"/>
      <c r="C761" s="24"/>
    </row>
    <row r="762">
      <c r="A762" s="20"/>
      <c r="B762" s="24"/>
      <c r="C762" s="24"/>
    </row>
    <row r="763">
      <c r="A763" s="20"/>
      <c r="B763" s="24"/>
      <c r="C763" s="24"/>
    </row>
    <row r="764">
      <c r="A764" s="20"/>
      <c r="B764" s="24"/>
      <c r="C764" s="24"/>
    </row>
    <row r="765">
      <c r="A765" s="20"/>
      <c r="B765" s="24"/>
      <c r="C765" s="24"/>
    </row>
    <row r="766">
      <c r="A766" s="20"/>
      <c r="B766" s="24"/>
      <c r="C766" s="24"/>
    </row>
    <row r="767">
      <c r="A767" s="20"/>
      <c r="B767" s="24"/>
      <c r="C767" s="24"/>
    </row>
    <row r="768">
      <c r="A768" s="20"/>
      <c r="B768" s="24"/>
      <c r="C768" s="24"/>
    </row>
    <row r="769">
      <c r="A769" s="20"/>
      <c r="B769" s="24"/>
      <c r="C769" s="24"/>
    </row>
    <row r="770">
      <c r="A770" s="20"/>
      <c r="B770" s="24"/>
      <c r="C770" s="24"/>
    </row>
    <row r="771">
      <c r="A771" s="20"/>
      <c r="B771" s="24"/>
      <c r="C771" s="24"/>
    </row>
    <row r="772">
      <c r="A772" s="20"/>
      <c r="B772" s="24"/>
      <c r="C772" s="24"/>
    </row>
    <row r="773">
      <c r="A773" s="20"/>
      <c r="B773" s="24"/>
      <c r="C773" s="24"/>
    </row>
    <row r="774">
      <c r="A774" s="20"/>
      <c r="B774" s="24"/>
      <c r="C774" s="24"/>
    </row>
    <row r="775">
      <c r="A775" s="20"/>
      <c r="B775" s="24"/>
      <c r="C775" s="24"/>
    </row>
    <row r="776">
      <c r="A776" s="20"/>
      <c r="B776" s="24"/>
      <c r="C776" s="24"/>
    </row>
    <row r="777">
      <c r="A777" s="20"/>
      <c r="B777" s="24"/>
      <c r="C777" s="24"/>
    </row>
    <row r="778">
      <c r="A778" s="20"/>
      <c r="B778" s="24"/>
      <c r="C778" s="24"/>
    </row>
    <row r="779">
      <c r="A779" s="20"/>
      <c r="B779" s="24"/>
      <c r="C779" s="24"/>
    </row>
    <row r="780">
      <c r="A780" s="20"/>
      <c r="B780" s="24"/>
      <c r="C780" s="24"/>
    </row>
    <row r="781">
      <c r="A781" s="20"/>
      <c r="B781" s="24"/>
      <c r="C781" s="24"/>
    </row>
    <row r="782">
      <c r="A782" s="20"/>
      <c r="B782" s="24"/>
      <c r="C782" s="24"/>
    </row>
    <row r="783">
      <c r="A783" s="20"/>
      <c r="B783" s="24"/>
      <c r="C783" s="24"/>
    </row>
    <row r="784">
      <c r="A784" s="20"/>
      <c r="B784" s="24"/>
      <c r="C784" s="24"/>
    </row>
    <row r="785">
      <c r="A785" s="20"/>
      <c r="B785" s="24"/>
      <c r="C785" s="24"/>
    </row>
    <row r="786">
      <c r="A786" s="20"/>
      <c r="B786" s="24"/>
      <c r="C786" s="24"/>
    </row>
    <row r="787">
      <c r="A787" s="20"/>
      <c r="B787" s="24"/>
      <c r="C787" s="24"/>
    </row>
    <row r="788">
      <c r="A788" s="20"/>
      <c r="B788" s="24"/>
      <c r="C788" s="24"/>
    </row>
    <row r="789">
      <c r="A789" s="20"/>
      <c r="B789" s="24"/>
      <c r="C789" s="24"/>
    </row>
    <row r="790">
      <c r="A790" s="20"/>
      <c r="B790" s="24"/>
      <c r="C790" s="24"/>
    </row>
    <row r="791">
      <c r="A791" s="20"/>
      <c r="B791" s="24"/>
      <c r="C791" s="24"/>
    </row>
    <row r="792">
      <c r="A792" s="20"/>
      <c r="B792" s="24"/>
      <c r="C792" s="24"/>
    </row>
    <row r="793">
      <c r="A793" s="20"/>
      <c r="B793" s="24"/>
      <c r="C793" s="24"/>
    </row>
    <row r="794">
      <c r="A794" s="20"/>
      <c r="B794" s="24"/>
      <c r="C794" s="24"/>
    </row>
    <row r="795">
      <c r="A795" s="20"/>
      <c r="B795" s="24"/>
      <c r="C795" s="24"/>
    </row>
    <row r="796">
      <c r="A796" s="20"/>
      <c r="B796" s="24"/>
      <c r="C796" s="24"/>
    </row>
    <row r="797">
      <c r="A797" s="20"/>
      <c r="B797" s="24"/>
      <c r="C797" s="24"/>
    </row>
    <row r="798">
      <c r="A798" s="20"/>
      <c r="B798" s="24"/>
      <c r="C798" s="24"/>
    </row>
    <row r="799">
      <c r="A799" s="20"/>
      <c r="B799" s="24"/>
      <c r="C799" s="24"/>
    </row>
    <row r="800">
      <c r="A800" s="20"/>
      <c r="B800" s="24"/>
      <c r="C800" s="24"/>
    </row>
    <row r="801">
      <c r="A801" s="20"/>
      <c r="B801" s="24"/>
      <c r="C801" s="24"/>
    </row>
    <row r="802">
      <c r="A802" s="20"/>
      <c r="B802" s="24"/>
      <c r="C802" s="24"/>
    </row>
    <row r="803">
      <c r="A803" s="20"/>
      <c r="B803" s="24"/>
      <c r="C803" s="24"/>
    </row>
    <row r="804">
      <c r="A804" s="20"/>
      <c r="B804" s="24"/>
      <c r="C804" s="24"/>
    </row>
    <row r="805">
      <c r="A805" s="20"/>
      <c r="B805" s="24"/>
      <c r="C805" s="24"/>
    </row>
    <row r="806">
      <c r="A806" s="20"/>
      <c r="B806" s="24"/>
      <c r="C806" s="24"/>
    </row>
    <row r="807">
      <c r="A807" s="20"/>
      <c r="B807" s="24"/>
      <c r="C807" s="24"/>
    </row>
    <row r="808">
      <c r="A808" s="20"/>
      <c r="B808" s="24"/>
      <c r="C808" s="24"/>
    </row>
    <row r="809">
      <c r="A809" s="20"/>
      <c r="B809" s="24"/>
      <c r="C809" s="24"/>
    </row>
    <row r="810">
      <c r="A810" s="20"/>
      <c r="B810" s="24"/>
      <c r="C810" s="24"/>
    </row>
    <row r="811">
      <c r="A811" s="20"/>
      <c r="B811" s="24"/>
      <c r="C811" s="24"/>
    </row>
    <row r="812">
      <c r="A812" s="20"/>
      <c r="B812" s="24"/>
      <c r="C812" s="24"/>
    </row>
    <row r="813">
      <c r="A813" s="20"/>
      <c r="B813" s="24"/>
      <c r="C813" s="24"/>
    </row>
    <row r="814">
      <c r="A814" s="20"/>
      <c r="B814" s="24"/>
      <c r="C814" s="24"/>
    </row>
    <row r="815">
      <c r="A815" s="20"/>
      <c r="B815" s="24"/>
      <c r="C815" s="24"/>
    </row>
    <row r="816">
      <c r="A816" s="20"/>
      <c r="B816" s="24"/>
      <c r="C816" s="24"/>
    </row>
    <row r="817">
      <c r="A817" s="20"/>
      <c r="B817" s="24"/>
      <c r="C817" s="24"/>
    </row>
    <row r="818">
      <c r="A818" s="20"/>
      <c r="B818" s="24"/>
      <c r="C818" s="24"/>
    </row>
    <row r="819">
      <c r="A819" s="20"/>
      <c r="B819" s="24"/>
      <c r="C819" s="24"/>
    </row>
    <row r="820">
      <c r="A820" s="20"/>
      <c r="B820" s="24"/>
      <c r="C820" s="24"/>
    </row>
    <row r="821">
      <c r="A821" s="20"/>
      <c r="B821" s="24"/>
      <c r="C821" s="24"/>
    </row>
    <row r="822">
      <c r="A822" s="20"/>
      <c r="B822" s="24"/>
      <c r="C822" s="24"/>
    </row>
    <row r="823">
      <c r="A823" s="20"/>
      <c r="B823" s="24"/>
      <c r="C823" s="24"/>
    </row>
    <row r="824">
      <c r="A824" s="20"/>
      <c r="B824" s="24"/>
      <c r="C824" s="24"/>
    </row>
    <row r="825">
      <c r="A825" s="20"/>
      <c r="B825" s="24"/>
      <c r="C825" s="24"/>
    </row>
    <row r="826">
      <c r="A826" s="20"/>
      <c r="B826" s="24"/>
      <c r="C826" s="24"/>
    </row>
    <row r="827">
      <c r="A827" s="20"/>
      <c r="B827" s="24"/>
      <c r="C827" s="24"/>
    </row>
    <row r="828">
      <c r="A828" s="20"/>
      <c r="B828" s="24"/>
      <c r="C828" s="24"/>
    </row>
    <row r="829">
      <c r="A829" s="20"/>
      <c r="B829" s="24"/>
      <c r="C829" s="24"/>
    </row>
    <row r="830">
      <c r="A830" s="20"/>
      <c r="B830" s="24"/>
      <c r="C830" s="24"/>
    </row>
    <row r="831">
      <c r="A831" s="20"/>
      <c r="B831" s="24"/>
      <c r="C831" s="24"/>
    </row>
    <row r="832">
      <c r="A832" s="20"/>
      <c r="B832" s="24"/>
      <c r="C832" s="24"/>
    </row>
    <row r="833">
      <c r="A833" s="20"/>
      <c r="B833" s="24"/>
      <c r="C833" s="24"/>
    </row>
    <row r="834">
      <c r="A834" s="20"/>
      <c r="B834" s="24"/>
      <c r="C834" s="24"/>
    </row>
    <row r="835">
      <c r="A835" s="20"/>
      <c r="B835" s="24"/>
      <c r="C835" s="24"/>
    </row>
    <row r="836">
      <c r="A836" s="20"/>
      <c r="B836" s="24"/>
      <c r="C836" s="24"/>
    </row>
    <row r="837">
      <c r="A837" s="20"/>
      <c r="B837" s="24"/>
      <c r="C837" s="24"/>
    </row>
    <row r="838">
      <c r="A838" s="20"/>
      <c r="B838" s="24"/>
      <c r="C838" s="24"/>
    </row>
    <row r="839">
      <c r="A839" s="20"/>
      <c r="B839" s="24"/>
      <c r="C839" s="24"/>
    </row>
    <row r="840">
      <c r="A840" s="20"/>
      <c r="B840" s="24"/>
      <c r="C840" s="24"/>
    </row>
    <row r="841">
      <c r="A841" s="20"/>
      <c r="B841" s="24"/>
      <c r="C841" s="24"/>
    </row>
    <row r="842">
      <c r="A842" s="20"/>
      <c r="B842" s="24"/>
      <c r="C842" s="24"/>
    </row>
    <row r="843">
      <c r="A843" s="20"/>
      <c r="B843" s="24"/>
      <c r="C843" s="24"/>
    </row>
    <row r="844">
      <c r="A844" s="20"/>
      <c r="B844" s="24"/>
      <c r="C844" s="24"/>
    </row>
    <row r="845">
      <c r="A845" s="20"/>
      <c r="B845" s="24"/>
      <c r="C845" s="24"/>
    </row>
    <row r="846">
      <c r="A846" s="20"/>
      <c r="B846" s="24"/>
      <c r="C846" s="24"/>
    </row>
    <row r="847">
      <c r="A847" s="20"/>
      <c r="B847" s="24"/>
      <c r="C847" s="24"/>
    </row>
    <row r="848">
      <c r="A848" s="20"/>
      <c r="B848" s="24"/>
      <c r="C848" s="24"/>
    </row>
    <row r="849">
      <c r="A849" s="20"/>
      <c r="B849" s="24"/>
      <c r="C849" s="24"/>
    </row>
    <row r="850">
      <c r="A850" s="20"/>
      <c r="B850" s="24"/>
      <c r="C850" s="24"/>
    </row>
    <row r="851">
      <c r="A851" s="20"/>
      <c r="B851" s="24"/>
      <c r="C851" s="24"/>
    </row>
    <row r="852">
      <c r="A852" s="20"/>
      <c r="B852" s="24"/>
      <c r="C852" s="24"/>
    </row>
    <row r="853">
      <c r="A853" s="20"/>
      <c r="B853" s="24"/>
      <c r="C853" s="24"/>
    </row>
    <row r="854">
      <c r="A854" s="20"/>
      <c r="B854" s="24"/>
      <c r="C854" s="24"/>
    </row>
    <row r="855">
      <c r="A855" s="20"/>
      <c r="B855" s="24"/>
      <c r="C855" s="24"/>
    </row>
    <row r="856">
      <c r="A856" s="20"/>
      <c r="B856" s="24"/>
      <c r="C856" s="24"/>
    </row>
    <row r="857">
      <c r="A857" s="20"/>
      <c r="B857" s="24"/>
      <c r="C857" s="24"/>
    </row>
    <row r="858">
      <c r="A858" s="20"/>
      <c r="B858" s="24"/>
      <c r="C858" s="24"/>
    </row>
    <row r="859">
      <c r="A859" s="20"/>
      <c r="B859" s="24"/>
      <c r="C859" s="24"/>
    </row>
    <row r="860">
      <c r="A860" s="20"/>
      <c r="B860" s="24"/>
      <c r="C860" s="24"/>
    </row>
    <row r="861">
      <c r="A861" s="20"/>
      <c r="B861" s="24"/>
      <c r="C861" s="24"/>
    </row>
    <row r="862">
      <c r="A862" s="20"/>
      <c r="B862" s="24"/>
      <c r="C862" s="24"/>
    </row>
    <row r="863">
      <c r="A863" s="20"/>
      <c r="B863" s="24"/>
      <c r="C863" s="24"/>
    </row>
    <row r="864">
      <c r="A864" s="20"/>
      <c r="B864" s="24"/>
      <c r="C864" s="24"/>
    </row>
    <row r="865">
      <c r="A865" s="20"/>
      <c r="B865" s="24"/>
      <c r="C865" s="24"/>
    </row>
    <row r="866">
      <c r="A866" s="20"/>
      <c r="B866" s="24"/>
      <c r="C866" s="24"/>
    </row>
    <row r="867">
      <c r="A867" s="20"/>
      <c r="B867" s="24"/>
      <c r="C867" s="24"/>
    </row>
    <row r="868">
      <c r="A868" s="20"/>
      <c r="B868" s="24"/>
      <c r="C868" s="24"/>
    </row>
    <row r="869">
      <c r="A869" s="20"/>
      <c r="B869" s="24"/>
      <c r="C869" s="24"/>
    </row>
    <row r="870">
      <c r="A870" s="20"/>
      <c r="B870" s="24"/>
      <c r="C870" s="24"/>
    </row>
    <row r="871">
      <c r="A871" s="20"/>
      <c r="B871" s="24"/>
      <c r="C871" s="24"/>
    </row>
    <row r="872">
      <c r="A872" s="20"/>
      <c r="B872" s="24"/>
      <c r="C872" s="24"/>
    </row>
    <row r="873">
      <c r="A873" s="20"/>
      <c r="B873" s="24"/>
      <c r="C873" s="24"/>
    </row>
    <row r="874">
      <c r="A874" s="20"/>
      <c r="B874" s="24"/>
      <c r="C874" s="24"/>
    </row>
    <row r="875">
      <c r="A875" s="20"/>
      <c r="B875" s="24"/>
      <c r="C875" s="24"/>
    </row>
    <row r="876">
      <c r="A876" s="20"/>
      <c r="B876" s="24"/>
      <c r="C876" s="24"/>
    </row>
    <row r="877">
      <c r="A877" s="20"/>
      <c r="B877" s="24"/>
      <c r="C877" s="24"/>
    </row>
    <row r="878">
      <c r="A878" s="20"/>
      <c r="B878" s="24"/>
      <c r="C878" s="24"/>
    </row>
    <row r="879">
      <c r="A879" s="20"/>
      <c r="B879" s="24"/>
      <c r="C879" s="24"/>
    </row>
    <row r="880">
      <c r="A880" s="20"/>
      <c r="B880" s="24"/>
      <c r="C880" s="24"/>
    </row>
    <row r="881">
      <c r="A881" s="20"/>
      <c r="B881" s="24"/>
      <c r="C881" s="24"/>
    </row>
    <row r="882">
      <c r="A882" s="20"/>
      <c r="B882" s="24"/>
      <c r="C882" s="24"/>
    </row>
    <row r="883">
      <c r="A883" s="20"/>
      <c r="B883" s="24"/>
      <c r="C883" s="24"/>
    </row>
    <row r="884">
      <c r="A884" s="20"/>
      <c r="B884" s="24"/>
      <c r="C884" s="24"/>
    </row>
    <row r="885">
      <c r="A885" s="20"/>
      <c r="B885" s="24"/>
      <c r="C885" s="24"/>
    </row>
    <row r="886">
      <c r="A886" s="20"/>
      <c r="B886" s="24"/>
      <c r="C886" s="24"/>
    </row>
    <row r="887">
      <c r="A887" s="20"/>
      <c r="B887" s="24"/>
      <c r="C887" s="24"/>
    </row>
    <row r="888">
      <c r="A888" s="20"/>
      <c r="B888" s="24"/>
      <c r="C888" s="24"/>
    </row>
    <row r="889">
      <c r="A889" s="20"/>
      <c r="B889" s="24"/>
      <c r="C889" s="24"/>
    </row>
    <row r="890">
      <c r="A890" s="20"/>
      <c r="B890" s="24"/>
      <c r="C890" s="24"/>
    </row>
    <row r="891">
      <c r="A891" s="20"/>
      <c r="B891" s="24"/>
      <c r="C891" s="24"/>
    </row>
    <row r="892">
      <c r="A892" s="20"/>
      <c r="B892" s="24"/>
      <c r="C892" s="24"/>
    </row>
    <row r="893">
      <c r="A893" s="20"/>
      <c r="B893" s="24"/>
      <c r="C893" s="24"/>
    </row>
    <row r="894">
      <c r="A894" s="20"/>
      <c r="B894" s="24"/>
      <c r="C894" s="24"/>
    </row>
    <row r="895">
      <c r="A895" s="20"/>
      <c r="B895" s="24"/>
      <c r="C895" s="24"/>
    </row>
    <row r="896">
      <c r="A896" s="20"/>
      <c r="B896" s="24"/>
      <c r="C896" s="24"/>
    </row>
    <row r="897">
      <c r="A897" s="20"/>
      <c r="B897" s="24"/>
      <c r="C897" s="24"/>
    </row>
    <row r="898">
      <c r="A898" s="20"/>
      <c r="B898" s="24"/>
      <c r="C898" s="24"/>
    </row>
    <row r="899">
      <c r="A899" s="20"/>
      <c r="B899" s="24"/>
      <c r="C899" s="24"/>
    </row>
    <row r="900">
      <c r="A900" s="20"/>
      <c r="B900" s="24"/>
      <c r="C900" s="24"/>
    </row>
    <row r="901">
      <c r="A901" s="20"/>
      <c r="B901" s="24"/>
      <c r="C901" s="24"/>
    </row>
    <row r="902">
      <c r="A902" s="20"/>
      <c r="B902" s="24"/>
      <c r="C902" s="24"/>
    </row>
    <row r="903">
      <c r="A903" s="20"/>
      <c r="B903" s="24"/>
      <c r="C903" s="24"/>
    </row>
    <row r="904">
      <c r="A904" s="20"/>
      <c r="B904" s="24"/>
      <c r="C904" s="24"/>
    </row>
    <row r="905">
      <c r="A905" s="20"/>
      <c r="B905" s="24"/>
      <c r="C905" s="24"/>
    </row>
    <row r="906">
      <c r="A906" s="20"/>
      <c r="B906" s="24"/>
      <c r="C906" s="24"/>
    </row>
    <row r="907">
      <c r="A907" s="20"/>
      <c r="B907" s="24"/>
      <c r="C907" s="24"/>
    </row>
    <row r="908">
      <c r="A908" s="20"/>
      <c r="B908" s="24"/>
      <c r="C908" s="24"/>
    </row>
    <row r="909">
      <c r="A909" s="20"/>
      <c r="B909" s="24"/>
      <c r="C909" s="24"/>
    </row>
    <row r="910">
      <c r="A910" s="20"/>
      <c r="B910" s="24"/>
      <c r="C910" s="24"/>
    </row>
    <row r="911">
      <c r="A911" s="20"/>
      <c r="B911" s="24"/>
      <c r="C911" s="24"/>
    </row>
    <row r="912">
      <c r="A912" s="20"/>
      <c r="B912" s="24"/>
      <c r="C912" s="24"/>
    </row>
    <row r="913">
      <c r="A913" s="20"/>
      <c r="B913" s="24"/>
      <c r="C913" s="24"/>
    </row>
    <row r="914">
      <c r="A914" s="20"/>
      <c r="B914" s="24"/>
      <c r="C914" s="24"/>
    </row>
    <row r="915">
      <c r="A915" s="20"/>
      <c r="B915" s="24"/>
      <c r="C915" s="24"/>
    </row>
    <row r="916">
      <c r="A916" s="20"/>
      <c r="B916" s="24"/>
      <c r="C916" s="24"/>
    </row>
    <row r="917">
      <c r="A917" s="20"/>
      <c r="B917" s="24"/>
      <c r="C917" s="24"/>
    </row>
    <row r="918">
      <c r="A918" s="20"/>
      <c r="B918" s="24"/>
      <c r="C918" s="24"/>
    </row>
    <row r="919">
      <c r="A919" s="20"/>
      <c r="B919" s="24"/>
      <c r="C919" s="24"/>
    </row>
    <row r="920">
      <c r="A920" s="20"/>
      <c r="B920" s="24"/>
      <c r="C920" s="24"/>
    </row>
    <row r="921">
      <c r="A921" s="20"/>
      <c r="B921" s="24"/>
      <c r="C921" s="24"/>
    </row>
    <row r="922">
      <c r="A922" s="20"/>
      <c r="B922" s="24"/>
      <c r="C922" s="24"/>
    </row>
    <row r="923">
      <c r="A923" s="20"/>
      <c r="B923" s="24"/>
      <c r="C923" s="24"/>
    </row>
    <row r="924">
      <c r="A924" s="20"/>
      <c r="B924" s="24"/>
      <c r="C924" s="24"/>
    </row>
    <row r="925">
      <c r="A925" s="20"/>
      <c r="B925" s="24"/>
      <c r="C925" s="24"/>
    </row>
    <row r="926">
      <c r="A926" s="20"/>
      <c r="B926" s="24"/>
      <c r="C926" s="24"/>
    </row>
    <row r="927">
      <c r="A927" s="20"/>
      <c r="B927" s="24"/>
      <c r="C927" s="24"/>
    </row>
    <row r="928">
      <c r="A928" s="20"/>
      <c r="B928" s="24"/>
      <c r="C928" s="24"/>
    </row>
    <row r="929">
      <c r="A929" s="20"/>
      <c r="B929" s="24"/>
      <c r="C929" s="24"/>
    </row>
    <row r="930">
      <c r="A930" s="20"/>
      <c r="B930" s="24"/>
      <c r="C930" s="24"/>
    </row>
    <row r="931">
      <c r="A931" s="20"/>
      <c r="B931" s="24"/>
      <c r="C931" s="24"/>
    </row>
    <row r="932">
      <c r="A932" s="20"/>
      <c r="B932" s="24"/>
      <c r="C932" s="24"/>
    </row>
    <row r="933">
      <c r="A933" s="20"/>
      <c r="B933" s="24"/>
      <c r="C933" s="24"/>
    </row>
    <row r="934">
      <c r="A934" s="20"/>
      <c r="B934" s="24"/>
      <c r="C934" s="24"/>
    </row>
    <row r="935">
      <c r="A935" s="20"/>
      <c r="B935" s="24"/>
      <c r="C935" s="24"/>
    </row>
    <row r="936">
      <c r="A936" s="20"/>
      <c r="B936" s="24"/>
      <c r="C936" s="24"/>
    </row>
    <row r="937">
      <c r="A937" s="20"/>
      <c r="B937" s="24"/>
      <c r="C937" s="24"/>
    </row>
    <row r="938">
      <c r="A938" s="20"/>
      <c r="B938" s="24"/>
      <c r="C938" s="24"/>
    </row>
    <row r="939">
      <c r="A939" s="20"/>
      <c r="B939" s="24"/>
      <c r="C939" s="24"/>
    </row>
    <row r="940">
      <c r="A940" s="20"/>
      <c r="B940" s="24"/>
      <c r="C940" s="24"/>
    </row>
    <row r="941">
      <c r="A941" s="20"/>
      <c r="B941" s="24"/>
      <c r="C941" s="24"/>
    </row>
    <row r="942">
      <c r="A942" s="20"/>
      <c r="B942" s="24"/>
      <c r="C942" s="24"/>
    </row>
    <row r="943">
      <c r="A943" s="20"/>
      <c r="B943" s="24"/>
      <c r="C943" s="24"/>
    </row>
    <row r="944">
      <c r="A944" s="20"/>
      <c r="B944" s="24"/>
      <c r="C944" s="24"/>
    </row>
    <row r="945">
      <c r="A945" s="20"/>
      <c r="B945" s="24"/>
      <c r="C945" s="24"/>
    </row>
    <row r="946">
      <c r="A946" s="20"/>
      <c r="B946" s="24"/>
      <c r="C946" s="24"/>
    </row>
    <row r="947">
      <c r="A947" s="20"/>
      <c r="B947" s="24"/>
      <c r="C947" s="24"/>
    </row>
    <row r="948">
      <c r="A948" s="20"/>
      <c r="B948" s="24"/>
      <c r="C948" s="24"/>
    </row>
    <row r="949">
      <c r="A949" s="20"/>
      <c r="B949" s="24"/>
      <c r="C949" s="24"/>
    </row>
    <row r="950">
      <c r="A950" s="20"/>
      <c r="B950" s="24"/>
      <c r="C950" s="24"/>
    </row>
    <row r="951">
      <c r="A951" s="20"/>
      <c r="B951" s="24"/>
      <c r="C951" s="24"/>
    </row>
    <row r="952">
      <c r="A952" s="20"/>
      <c r="B952" s="24"/>
      <c r="C952" s="24"/>
    </row>
    <row r="953">
      <c r="A953" s="20"/>
      <c r="B953" s="24"/>
      <c r="C953" s="24"/>
    </row>
    <row r="954">
      <c r="A954" s="20"/>
      <c r="B954" s="24"/>
      <c r="C954" s="24"/>
    </row>
    <row r="955">
      <c r="A955" s="20"/>
      <c r="B955" s="24"/>
      <c r="C955" s="24"/>
    </row>
    <row r="956">
      <c r="A956" s="20"/>
      <c r="B956" s="24"/>
      <c r="C956" s="24"/>
    </row>
  </sheetData>
  <drawing r:id="rId1"/>
</worksheet>
</file>